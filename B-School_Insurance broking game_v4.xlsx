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8"/>
  <workbookPr defaultThemeVersion="124226"/>
  <mc:AlternateContent xmlns:mc="http://schemas.openxmlformats.org/markup-compatibility/2006">
    <mc:Choice Requires="x15">
      <x15ac:absPath xmlns:x15ac="http://schemas.microsoft.com/office/spreadsheetml/2010/11/ac" url="D:\academics\6. Aug 2023 - Jan 2024\summer game dev\"/>
    </mc:Choice>
  </mc:AlternateContent>
  <xr:revisionPtr revIDLastSave="0" documentId="13_ncr:1_{A5C6434D-727D-4EB3-B0AE-CE3D233C3F9A}" xr6:coauthVersionLast="36" xr6:coauthVersionMax="36" xr10:uidLastSave="{00000000-0000-0000-0000-000000000000}"/>
  <bookViews>
    <workbookView xWindow="0" yWindow="0" windowWidth="20490" windowHeight="7545" tabRatio="825" activeTab="4" xr2:uid="{00000000-000D-0000-FFFF-FFFF00000000}"/>
  </bookViews>
  <sheets>
    <sheet name="Asset Allocation" sheetId="1" r:id="rId1"/>
    <sheet name="Peril Sheet" sheetId="16" r:id="rId2"/>
    <sheet name="Probabilty Distribution" sheetId="14" r:id="rId3"/>
    <sheet name="Input Sheet year 1" sheetId="18" r:id="rId4"/>
    <sheet name="Year 1 Results" sheetId="17" r:id="rId5"/>
    <sheet name="Input Sheet year 2" sheetId="8" r:id="rId6"/>
    <sheet name="Year 2 Results" sheetId="20" r:id="rId7"/>
    <sheet name="Event Trigger" sheetId="7" r:id="rId8"/>
    <sheet name="Asset Master" sheetId="5" r:id="rId9"/>
    <sheet name="Risk Master" sheetId="6" r:id="rId10"/>
    <sheet name="Probabilty Distribution (2)" sheetId="21" state="hidden" r:id="rId11"/>
    <sheet name="research" sheetId="3" state="hidden" r:id="rId12"/>
    <sheet name="Sheet4" sheetId="4" state="hidden" r:id="rId13"/>
    <sheet name="Event list" sheetId="10" state="hidden" r:id="rId14"/>
  </sheets>
  <definedNames>
    <definedName name="_xlnm._FilterDatabase" localSheetId="9" hidden="1">'Risk Master'!$A$1:$N$184</definedName>
  </definedNames>
  <calcPr calcId="191029"/>
</workbook>
</file>

<file path=xl/calcChain.xml><?xml version="1.0" encoding="utf-8"?>
<calcChain xmlns="http://schemas.openxmlformats.org/spreadsheetml/2006/main">
  <c r="E8" i="6" l="1"/>
  <c r="L8" i="6"/>
  <c r="C5" i="6"/>
  <c r="E5" i="6" s="1"/>
  <c r="L5" i="6" s="1"/>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CX37" i="21"/>
  <c r="CW37" i="21"/>
  <c r="CV37" i="21"/>
  <c r="CU37" i="21"/>
  <c r="CT37" i="21"/>
  <c r="CS37" i="21"/>
  <c r="CR37" i="21"/>
  <c r="CQ37" i="21"/>
  <c r="CP37" i="21"/>
  <c r="CO37" i="21"/>
  <c r="CN37" i="21"/>
  <c r="CM37" i="21"/>
  <c r="CL37" i="21"/>
  <c r="CK37" i="21"/>
  <c r="CJ37" i="21"/>
  <c r="CI37" i="21"/>
  <c r="CH37" i="21"/>
  <c r="CG37" i="21"/>
  <c r="CF37" i="21"/>
  <c r="CE37" i="21"/>
  <c r="CD37" i="21"/>
  <c r="CC37" i="21"/>
  <c r="CB37" i="21"/>
  <c r="CA37" i="21"/>
  <c r="BZ37" i="21"/>
  <c r="BY37" i="21"/>
  <c r="BX37" i="21"/>
  <c r="BW37" i="21"/>
  <c r="BV37" i="21"/>
  <c r="BU37" i="21"/>
  <c r="BT37" i="21"/>
  <c r="BS37" i="21"/>
  <c r="BR37" i="21"/>
  <c r="BQ37" i="21"/>
  <c r="BP37" i="21"/>
  <c r="BO37" i="21"/>
  <c r="BN37" i="21"/>
  <c r="BM37" i="21"/>
  <c r="BL37" i="21"/>
  <c r="BK37" i="21"/>
  <c r="BJ37" i="21"/>
  <c r="BI37" i="21"/>
  <c r="BH37" i="21"/>
  <c r="BG37" i="21"/>
  <c r="BF37" i="21"/>
  <c r="BE37" i="21"/>
  <c r="BD37" i="21"/>
  <c r="BC37" i="21"/>
  <c r="BB37" i="21"/>
  <c r="BA37"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CX36" i="21"/>
  <c r="CW36" i="21"/>
  <c r="CV36" i="21"/>
  <c r="CU36" i="21"/>
  <c r="CT36" i="21"/>
  <c r="CS36" i="21"/>
  <c r="CR36" i="21"/>
  <c r="CQ36" i="21"/>
  <c r="CP36" i="21"/>
  <c r="CO36" i="21"/>
  <c r="CN36" i="21"/>
  <c r="CM36" i="21"/>
  <c r="CL36" i="21"/>
  <c r="CK36" i="21"/>
  <c r="CJ36" i="21"/>
  <c r="CI36" i="21"/>
  <c r="CH36" i="21"/>
  <c r="CG36" i="21"/>
  <c r="CF36" i="21"/>
  <c r="CE36" i="21"/>
  <c r="CD36" i="21"/>
  <c r="CC36" i="21"/>
  <c r="CB36" i="21"/>
  <c r="CA36" i="21"/>
  <c r="BZ36" i="21"/>
  <c r="BY36" i="21"/>
  <c r="BX36" i="21"/>
  <c r="BW36" i="21"/>
  <c r="BV36" i="21"/>
  <c r="BU36" i="21"/>
  <c r="BT36" i="21"/>
  <c r="BS36" i="21"/>
  <c r="BR36" i="21"/>
  <c r="BQ36" i="21"/>
  <c r="BP36" i="21"/>
  <c r="BO36" i="21"/>
  <c r="BN36" i="21"/>
  <c r="BM36" i="21"/>
  <c r="BL36" i="21"/>
  <c r="BK36" i="21"/>
  <c r="BJ36" i="21"/>
  <c r="BI36" i="21"/>
  <c r="BH36" i="21"/>
  <c r="BG36" i="21"/>
  <c r="BF36" i="21"/>
  <c r="BE36" i="21"/>
  <c r="BD36" i="21"/>
  <c r="BC36" i="21"/>
  <c r="BB36" i="21"/>
  <c r="BA36"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CX35" i="21"/>
  <c r="CW35" i="21"/>
  <c r="CV35" i="21"/>
  <c r="CU35" i="21"/>
  <c r="CT35" i="21"/>
  <c r="CS35" i="21"/>
  <c r="CR35" i="21"/>
  <c r="CQ35" i="21"/>
  <c r="CP35" i="21"/>
  <c r="CO35" i="21"/>
  <c r="CN35" i="21"/>
  <c r="CM35" i="21"/>
  <c r="CL35" i="21"/>
  <c r="CK35" i="21"/>
  <c r="CJ35" i="21"/>
  <c r="CI35" i="21"/>
  <c r="CH35" i="21"/>
  <c r="CG35" i="21"/>
  <c r="CF35" i="21"/>
  <c r="CE35" i="21"/>
  <c r="CD35" i="21"/>
  <c r="CC35" i="21"/>
  <c r="CB35" i="21"/>
  <c r="CA35" i="21"/>
  <c r="BZ35" i="21"/>
  <c r="BY35" i="21"/>
  <c r="BX35" i="21"/>
  <c r="BW35" i="21"/>
  <c r="BV35" i="21"/>
  <c r="BU35" i="21"/>
  <c r="BT35" i="21"/>
  <c r="BS35" i="21"/>
  <c r="BR35" i="21"/>
  <c r="BQ35" i="21"/>
  <c r="BP35" i="21"/>
  <c r="BO35" i="21"/>
  <c r="BN35" i="21"/>
  <c r="BM35" i="21"/>
  <c r="BL35" i="21"/>
  <c r="BK35" i="21"/>
  <c r="BJ35" i="21"/>
  <c r="BI35" i="21"/>
  <c r="BH35" i="21"/>
  <c r="BG35" i="21"/>
  <c r="BF35" i="21"/>
  <c r="BE35" i="21"/>
  <c r="BD35" i="21"/>
  <c r="BC35" i="21"/>
  <c r="BB35" i="21"/>
  <c r="BA35"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CX34" i="21"/>
  <c r="CW34" i="21"/>
  <c r="CV34" i="21"/>
  <c r="CU34" i="21"/>
  <c r="CT34" i="21"/>
  <c r="CS34" i="21"/>
  <c r="CR34" i="21"/>
  <c r="CQ34" i="21"/>
  <c r="CP34" i="21"/>
  <c r="CO34" i="21"/>
  <c r="CN34" i="21"/>
  <c r="CM34" i="21"/>
  <c r="CL34" i="21"/>
  <c r="CK34" i="21"/>
  <c r="CJ34" i="21"/>
  <c r="CI34" i="21"/>
  <c r="CH34" i="21"/>
  <c r="CG34" i="21"/>
  <c r="CF34" i="21"/>
  <c r="CE34" i="21"/>
  <c r="CD34" i="21"/>
  <c r="CC34" i="21"/>
  <c r="CB34" i="21"/>
  <c r="CA34" i="21"/>
  <c r="BZ34" i="21"/>
  <c r="BY34" i="21"/>
  <c r="BX34" i="21"/>
  <c r="BW34" i="21"/>
  <c r="BV34" i="21"/>
  <c r="BU34" i="21"/>
  <c r="BT34" i="21"/>
  <c r="BS34" i="21"/>
  <c r="BR34" i="21"/>
  <c r="BQ34" i="21"/>
  <c r="BP34" i="21"/>
  <c r="BO34" i="21"/>
  <c r="BN34" i="21"/>
  <c r="BM34" i="21"/>
  <c r="BL34" i="21"/>
  <c r="BK34" i="21"/>
  <c r="BJ34" i="21"/>
  <c r="BI34" i="21"/>
  <c r="BH34" i="21"/>
  <c r="BG34" i="21"/>
  <c r="BF34" i="21"/>
  <c r="BE34" i="21"/>
  <c r="BD34" i="21"/>
  <c r="BC34" i="21"/>
  <c r="BB34" i="21"/>
  <c r="BA34"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CX33" i="21"/>
  <c r="CW33" i="21"/>
  <c r="CV33" i="21"/>
  <c r="CU33" i="21"/>
  <c r="CT33" i="21"/>
  <c r="CS33" i="21"/>
  <c r="CR33" i="21"/>
  <c r="CQ33" i="21"/>
  <c r="CP33" i="21"/>
  <c r="CO33" i="21"/>
  <c r="CN33" i="21"/>
  <c r="CM33" i="21"/>
  <c r="CL33" i="21"/>
  <c r="CK33" i="21"/>
  <c r="CJ33" i="21"/>
  <c r="CI33" i="21"/>
  <c r="CH33" i="21"/>
  <c r="CG33" i="21"/>
  <c r="CF33" i="21"/>
  <c r="CE33" i="21"/>
  <c r="CD33" i="21"/>
  <c r="CC33" i="21"/>
  <c r="CB33" i="21"/>
  <c r="CA33" i="21"/>
  <c r="BZ33" i="21"/>
  <c r="BY33" i="21"/>
  <c r="BX33" i="21"/>
  <c r="BW33" i="21"/>
  <c r="BV33" i="21"/>
  <c r="BU33" i="21"/>
  <c r="BT33" i="21"/>
  <c r="BS33" i="21"/>
  <c r="BR33" i="21"/>
  <c r="BQ33" i="21"/>
  <c r="BP33" i="21"/>
  <c r="BO33" i="21"/>
  <c r="BN33" i="21"/>
  <c r="BM33" i="21"/>
  <c r="BL33" i="21"/>
  <c r="BK33" i="21"/>
  <c r="BJ33" i="21"/>
  <c r="BI33" i="21"/>
  <c r="BH33" i="21"/>
  <c r="BG33" i="21"/>
  <c r="BF33" i="21"/>
  <c r="BE33" i="21"/>
  <c r="BD33" i="21"/>
  <c r="BC33" i="21"/>
  <c r="BB33" i="21"/>
  <c r="BA33"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CX32" i="21"/>
  <c r="CW32" i="21"/>
  <c r="CV32" i="21"/>
  <c r="CU32" i="21"/>
  <c r="CT32" i="21"/>
  <c r="CS32" i="21"/>
  <c r="CR32" i="21"/>
  <c r="CQ32" i="21"/>
  <c r="CP32" i="21"/>
  <c r="CO32" i="21"/>
  <c r="CN32" i="21"/>
  <c r="CM32" i="21"/>
  <c r="CL32" i="21"/>
  <c r="CK32" i="21"/>
  <c r="CJ32" i="21"/>
  <c r="CI32" i="21"/>
  <c r="CH32" i="21"/>
  <c r="CG32" i="21"/>
  <c r="CF32" i="21"/>
  <c r="CE32" i="21"/>
  <c r="CD32" i="21"/>
  <c r="CC32" i="21"/>
  <c r="CB32" i="21"/>
  <c r="CA32" i="21"/>
  <c r="BZ32" i="21"/>
  <c r="BY32" i="21"/>
  <c r="BX32" i="21"/>
  <c r="BW32" i="21"/>
  <c r="BV32" i="21"/>
  <c r="BU32" i="21"/>
  <c r="BT32" i="21"/>
  <c r="BS32" i="21"/>
  <c r="BR32" i="21"/>
  <c r="BQ32" i="21"/>
  <c r="BP32" i="21"/>
  <c r="BO32" i="21"/>
  <c r="BN32" i="21"/>
  <c r="BM32" i="21"/>
  <c r="BL32" i="21"/>
  <c r="BK32" i="21"/>
  <c r="BJ32" i="21"/>
  <c r="BI32" i="21"/>
  <c r="BH32" i="21"/>
  <c r="BG32" i="21"/>
  <c r="BF32" i="21"/>
  <c r="BE32" i="21"/>
  <c r="BD32" i="21"/>
  <c r="BC32" i="21"/>
  <c r="BB32" i="21"/>
  <c r="BA32"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CX31" i="21"/>
  <c r="CW31" i="21"/>
  <c r="CV31" i="21"/>
  <c r="CU31" i="21"/>
  <c r="CT31" i="21"/>
  <c r="CS31" i="21"/>
  <c r="CR31" i="21"/>
  <c r="CQ31" i="21"/>
  <c r="CP31" i="21"/>
  <c r="CO31" i="21"/>
  <c r="CN31" i="21"/>
  <c r="CM31" i="21"/>
  <c r="CL31" i="21"/>
  <c r="CK31" i="21"/>
  <c r="CJ31" i="21"/>
  <c r="CI31" i="21"/>
  <c r="CH31" i="21"/>
  <c r="CG31" i="21"/>
  <c r="CF31" i="21"/>
  <c r="CE31" i="21"/>
  <c r="CD31" i="21"/>
  <c r="CC31" i="21"/>
  <c r="CB31" i="21"/>
  <c r="CA31" i="21"/>
  <c r="BZ31" i="21"/>
  <c r="BY31" i="21"/>
  <c r="BX31" i="21"/>
  <c r="BW31" i="21"/>
  <c r="BV31" i="21"/>
  <c r="BU31" i="21"/>
  <c r="BT31" i="21"/>
  <c r="BS31" i="21"/>
  <c r="BR31" i="21"/>
  <c r="BQ31" i="21"/>
  <c r="BP31" i="21"/>
  <c r="BO31" i="21"/>
  <c r="BN31" i="21"/>
  <c r="BM31" i="21"/>
  <c r="BL31" i="21"/>
  <c r="BK31" i="21"/>
  <c r="BJ31" i="21"/>
  <c r="BI31" i="21"/>
  <c r="BH31" i="21"/>
  <c r="BG31" i="21"/>
  <c r="BF31" i="21"/>
  <c r="BE31" i="21"/>
  <c r="BD31" i="21"/>
  <c r="BC31" i="21"/>
  <c r="BB31" i="21"/>
  <c r="BA31"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CX30" i="21"/>
  <c r="CW30" i="21"/>
  <c r="CV30" i="21"/>
  <c r="CU30" i="21"/>
  <c r="CT30" i="21"/>
  <c r="CS30" i="21"/>
  <c r="CR30" i="21"/>
  <c r="CQ30" i="21"/>
  <c r="CP30" i="21"/>
  <c r="CO30" i="21"/>
  <c r="CN30" i="21"/>
  <c r="CM30" i="21"/>
  <c r="CL30" i="21"/>
  <c r="CK30" i="21"/>
  <c r="CJ30" i="21"/>
  <c r="CI30" i="21"/>
  <c r="CH30" i="21"/>
  <c r="CG30" i="21"/>
  <c r="CF30" i="21"/>
  <c r="CE30" i="21"/>
  <c r="CD30" i="21"/>
  <c r="CC30" i="21"/>
  <c r="CB30" i="21"/>
  <c r="CA30" i="21"/>
  <c r="BZ30" i="21"/>
  <c r="BY30" i="21"/>
  <c r="BX30" i="21"/>
  <c r="BW30" i="21"/>
  <c r="BV30" i="21"/>
  <c r="BU30" i="21"/>
  <c r="BT30" i="21"/>
  <c r="BS30" i="21"/>
  <c r="BR30" i="21"/>
  <c r="BQ30" i="21"/>
  <c r="BP30" i="21"/>
  <c r="BO30" i="21"/>
  <c r="BN30" i="21"/>
  <c r="BM30" i="21"/>
  <c r="BL30" i="21"/>
  <c r="BK30" i="21"/>
  <c r="BJ30" i="21"/>
  <c r="BI30" i="21"/>
  <c r="BH30" i="21"/>
  <c r="BG30" i="21"/>
  <c r="BF30" i="21"/>
  <c r="BE30" i="21"/>
  <c r="BD30" i="21"/>
  <c r="BC30" i="21"/>
  <c r="BB30" i="21"/>
  <c r="BA30"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CX29" i="21"/>
  <c r="CW29" i="21"/>
  <c r="CV29" i="21"/>
  <c r="CU29" i="21"/>
  <c r="CT29" i="21"/>
  <c r="CS29" i="21"/>
  <c r="CR29" i="21"/>
  <c r="CQ29" i="21"/>
  <c r="CP29" i="21"/>
  <c r="CO29" i="21"/>
  <c r="CN29" i="21"/>
  <c r="CM29" i="21"/>
  <c r="CL29" i="21"/>
  <c r="CK29" i="21"/>
  <c r="CJ29" i="21"/>
  <c r="CI29" i="21"/>
  <c r="CH29" i="21"/>
  <c r="CG29" i="21"/>
  <c r="CF29" i="21"/>
  <c r="CE29" i="21"/>
  <c r="CD29" i="21"/>
  <c r="CC29" i="21"/>
  <c r="CB29" i="21"/>
  <c r="CA29" i="21"/>
  <c r="BZ29" i="21"/>
  <c r="BY29" i="21"/>
  <c r="BX29" i="21"/>
  <c r="BW29" i="21"/>
  <c r="BV29" i="21"/>
  <c r="BU29" i="21"/>
  <c r="BT29" i="21"/>
  <c r="BS29" i="21"/>
  <c r="BR29" i="21"/>
  <c r="BQ29" i="21"/>
  <c r="BP29" i="21"/>
  <c r="BO29" i="21"/>
  <c r="BN29" i="21"/>
  <c r="BM29" i="21"/>
  <c r="BL29" i="21"/>
  <c r="BK29" i="21"/>
  <c r="BJ29" i="21"/>
  <c r="BI29" i="21"/>
  <c r="BH29" i="21"/>
  <c r="BG29" i="21"/>
  <c r="BF29" i="21"/>
  <c r="BE29" i="21"/>
  <c r="BD29" i="21"/>
  <c r="BC29" i="21"/>
  <c r="BB29" i="21"/>
  <c r="BA29"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CX28" i="21"/>
  <c r="CW28" i="21"/>
  <c r="CV28" i="21"/>
  <c r="CU28" i="21"/>
  <c r="CT28" i="21"/>
  <c r="CS28" i="21"/>
  <c r="CR28" i="21"/>
  <c r="CQ28" i="21"/>
  <c r="CP28" i="21"/>
  <c r="CO28" i="21"/>
  <c r="CN28" i="21"/>
  <c r="CM28" i="21"/>
  <c r="CL28" i="21"/>
  <c r="CK28" i="21"/>
  <c r="CJ28" i="21"/>
  <c r="CI28" i="21"/>
  <c r="CH28" i="21"/>
  <c r="CG28" i="21"/>
  <c r="CF28" i="21"/>
  <c r="CE28" i="21"/>
  <c r="CD28" i="21"/>
  <c r="CC28" i="21"/>
  <c r="CB28" i="21"/>
  <c r="CA28" i="21"/>
  <c r="BZ28" i="21"/>
  <c r="BY28" i="21"/>
  <c r="BX28" i="21"/>
  <c r="BW28" i="21"/>
  <c r="BV28" i="21"/>
  <c r="BU28" i="21"/>
  <c r="BT28" i="21"/>
  <c r="BS28" i="21"/>
  <c r="BR28" i="21"/>
  <c r="BQ28" i="21"/>
  <c r="BP28" i="21"/>
  <c r="BO28" i="21"/>
  <c r="BN28" i="21"/>
  <c r="BM28" i="21"/>
  <c r="BL28" i="21"/>
  <c r="BK28" i="21"/>
  <c r="BJ28" i="21"/>
  <c r="BI28" i="21"/>
  <c r="BH28" i="21"/>
  <c r="BG28" i="21"/>
  <c r="BF28" i="21"/>
  <c r="BE28" i="21"/>
  <c r="BD28" i="21"/>
  <c r="BC28" i="21"/>
  <c r="BB28" i="21"/>
  <c r="BA28"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CX27" i="21"/>
  <c r="CW27" i="21"/>
  <c r="CV27" i="21"/>
  <c r="CU27" i="21"/>
  <c r="CT27" i="21"/>
  <c r="CS27" i="21"/>
  <c r="CR27" i="21"/>
  <c r="CQ27" i="21"/>
  <c r="CP27" i="21"/>
  <c r="CO27" i="21"/>
  <c r="CN27" i="21"/>
  <c r="CM27" i="21"/>
  <c r="CL27" i="21"/>
  <c r="CK27" i="21"/>
  <c r="CJ27" i="21"/>
  <c r="CI27" i="21"/>
  <c r="CH27" i="21"/>
  <c r="CG27" i="21"/>
  <c r="CF27" i="21"/>
  <c r="CE27" i="21"/>
  <c r="CD27" i="21"/>
  <c r="CC27" i="21"/>
  <c r="CB27" i="21"/>
  <c r="CA27" i="21"/>
  <c r="BZ27" i="21"/>
  <c r="BY27" i="21"/>
  <c r="BX27" i="21"/>
  <c r="BW27" i="21"/>
  <c r="BV27" i="21"/>
  <c r="BU27" i="21"/>
  <c r="BT27" i="21"/>
  <c r="BS27" i="21"/>
  <c r="BR27" i="21"/>
  <c r="BQ27" i="21"/>
  <c r="BP27" i="21"/>
  <c r="BO27" i="21"/>
  <c r="BN27" i="21"/>
  <c r="BM27" i="21"/>
  <c r="BL27" i="21"/>
  <c r="BK27" i="21"/>
  <c r="BJ27" i="21"/>
  <c r="BI27" i="21"/>
  <c r="BH27" i="21"/>
  <c r="BG27" i="21"/>
  <c r="BF27" i="21"/>
  <c r="BE27" i="21"/>
  <c r="BD27" i="21"/>
  <c r="BC27" i="21"/>
  <c r="BB27" i="21"/>
  <c r="BA27"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CX26" i="21"/>
  <c r="CW26" i="21"/>
  <c r="CV26" i="21"/>
  <c r="CU26" i="21"/>
  <c r="CT26" i="21"/>
  <c r="CS26" i="21"/>
  <c r="CR26" i="21"/>
  <c r="CQ26" i="21"/>
  <c r="CP26" i="21"/>
  <c r="CO26" i="21"/>
  <c r="CN26" i="21"/>
  <c r="CM26" i="21"/>
  <c r="CL26" i="21"/>
  <c r="CK26" i="21"/>
  <c r="CJ26" i="21"/>
  <c r="CI26" i="21"/>
  <c r="CH26" i="21"/>
  <c r="CG26" i="21"/>
  <c r="CF26" i="21"/>
  <c r="CE26" i="21"/>
  <c r="CD26" i="21"/>
  <c r="CC26" i="21"/>
  <c r="CB26" i="21"/>
  <c r="CA26" i="21"/>
  <c r="BZ26" i="21"/>
  <c r="BY26" i="21"/>
  <c r="BX26" i="21"/>
  <c r="BW26" i="21"/>
  <c r="BV26" i="21"/>
  <c r="BU26" i="21"/>
  <c r="BT26" i="21"/>
  <c r="BS26" i="21"/>
  <c r="BR26" i="21"/>
  <c r="BQ26" i="21"/>
  <c r="BP26" i="21"/>
  <c r="BO26" i="21"/>
  <c r="BN26" i="21"/>
  <c r="BM26" i="21"/>
  <c r="BL26" i="21"/>
  <c r="BK26" i="21"/>
  <c r="BJ26" i="21"/>
  <c r="BI26" i="21"/>
  <c r="BH26" i="21"/>
  <c r="BG26" i="21"/>
  <c r="BF26" i="21"/>
  <c r="BE26" i="21"/>
  <c r="BD26" i="21"/>
  <c r="BC26" i="21"/>
  <c r="BB26" i="21"/>
  <c r="BA26"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CX25" i="21"/>
  <c r="CW25" i="21"/>
  <c r="CV25" i="21"/>
  <c r="CU25" i="21"/>
  <c r="CT25" i="21"/>
  <c r="CS25" i="21"/>
  <c r="CR25" i="21"/>
  <c r="CQ25" i="21"/>
  <c r="CP25" i="21"/>
  <c r="CO25" i="21"/>
  <c r="CN25" i="21"/>
  <c r="CM25" i="21"/>
  <c r="CL25" i="21"/>
  <c r="CK25" i="21"/>
  <c r="CJ25" i="21"/>
  <c r="CI25" i="21"/>
  <c r="CH25" i="21"/>
  <c r="CG25" i="21"/>
  <c r="CF25" i="21"/>
  <c r="CE25" i="21"/>
  <c r="CD25" i="21"/>
  <c r="CC25" i="21"/>
  <c r="CB25" i="21"/>
  <c r="CA25" i="21"/>
  <c r="BZ25" i="21"/>
  <c r="BY25" i="21"/>
  <c r="BX25" i="21"/>
  <c r="BW25" i="21"/>
  <c r="BV25" i="21"/>
  <c r="BU25" i="21"/>
  <c r="BT25" i="21"/>
  <c r="BS25" i="21"/>
  <c r="BR25" i="21"/>
  <c r="BQ25" i="21"/>
  <c r="BP25" i="21"/>
  <c r="BO25" i="21"/>
  <c r="BN25" i="21"/>
  <c r="BM25" i="21"/>
  <c r="BL25" i="21"/>
  <c r="BK25" i="21"/>
  <c r="BJ25" i="21"/>
  <c r="BI25" i="21"/>
  <c r="BH25" i="21"/>
  <c r="BG25" i="21"/>
  <c r="BF25" i="21"/>
  <c r="BE25" i="21"/>
  <c r="BD25" i="21"/>
  <c r="BC25" i="21"/>
  <c r="BB25" i="21"/>
  <c r="BA25"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CX24" i="21"/>
  <c r="CW24" i="21"/>
  <c r="CV24" i="21"/>
  <c r="CU24" i="21"/>
  <c r="CT24" i="21"/>
  <c r="CS24" i="21"/>
  <c r="CR24" i="21"/>
  <c r="CQ24" i="21"/>
  <c r="CP24" i="21"/>
  <c r="CO24" i="21"/>
  <c r="CN24" i="21"/>
  <c r="CM24" i="21"/>
  <c r="CL24" i="21"/>
  <c r="CK24" i="21"/>
  <c r="CJ24" i="21"/>
  <c r="CI24" i="21"/>
  <c r="CH24" i="21"/>
  <c r="CG24" i="21"/>
  <c r="CF24" i="21"/>
  <c r="CE24" i="21"/>
  <c r="CD24" i="21"/>
  <c r="CC24" i="21"/>
  <c r="CB24" i="21"/>
  <c r="CA24" i="21"/>
  <c r="BZ24" i="21"/>
  <c r="BY24" i="21"/>
  <c r="BX24" i="21"/>
  <c r="BW24" i="21"/>
  <c r="BV24" i="21"/>
  <c r="BU24" i="21"/>
  <c r="BT24" i="21"/>
  <c r="BS24" i="21"/>
  <c r="BR24" i="21"/>
  <c r="BQ24" i="21"/>
  <c r="BP24" i="21"/>
  <c r="BO24" i="21"/>
  <c r="BN24" i="21"/>
  <c r="BM24" i="21"/>
  <c r="BL24" i="21"/>
  <c r="BK24" i="21"/>
  <c r="BJ24" i="21"/>
  <c r="BI24" i="21"/>
  <c r="BH24" i="21"/>
  <c r="BG24" i="21"/>
  <c r="BF24" i="21"/>
  <c r="BE24" i="21"/>
  <c r="BD24" i="21"/>
  <c r="BC24" i="21"/>
  <c r="BB24" i="21"/>
  <c r="BA24"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CX23" i="21"/>
  <c r="CW23" i="21"/>
  <c r="CV23" i="21"/>
  <c r="CU23" i="21"/>
  <c r="CT23" i="21"/>
  <c r="CS23" i="21"/>
  <c r="CR23" i="21"/>
  <c r="CQ23" i="21"/>
  <c r="CP23" i="21"/>
  <c r="CO23" i="21"/>
  <c r="CN23" i="21"/>
  <c r="CM23" i="21"/>
  <c r="CL23" i="21"/>
  <c r="CK23" i="21"/>
  <c r="CJ23" i="21"/>
  <c r="CI23" i="21"/>
  <c r="CH23" i="21"/>
  <c r="CG23" i="21"/>
  <c r="CF23" i="21"/>
  <c r="CE23" i="21"/>
  <c r="CD23" i="21"/>
  <c r="CC23" i="21"/>
  <c r="CB23" i="21"/>
  <c r="CA23" i="21"/>
  <c r="BZ23" i="21"/>
  <c r="BY23" i="21"/>
  <c r="BX23" i="21"/>
  <c r="BW23" i="21"/>
  <c r="BV23" i="21"/>
  <c r="BU23" i="21"/>
  <c r="BT23" i="21"/>
  <c r="BS23" i="21"/>
  <c r="BR23" i="21"/>
  <c r="BQ23" i="21"/>
  <c r="BP23" i="21"/>
  <c r="BO23" i="21"/>
  <c r="BN23" i="21"/>
  <c r="BM23" i="21"/>
  <c r="BL23" i="21"/>
  <c r="BK23" i="21"/>
  <c r="BJ23" i="21"/>
  <c r="BI23" i="21"/>
  <c r="BH23" i="21"/>
  <c r="BG23" i="21"/>
  <c r="BF23" i="21"/>
  <c r="BE23" i="21"/>
  <c r="BD23" i="21"/>
  <c r="BC23" i="21"/>
  <c r="BB23" i="21"/>
  <c r="BA23"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CX22" i="21"/>
  <c r="CW22" i="21"/>
  <c r="CV22" i="21"/>
  <c r="CU22" i="21"/>
  <c r="CT22" i="21"/>
  <c r="CS22" i="21"/>
  <c r="CR22" i="21"/>
  <c r="CQ22" i="21"/>
  <c r="CP22" i="21"/>
  <c r="CO22" i="21"/>
  <c r="CN22" i="21"/>
  <c r="CM22" i="21"/>
  <c r="CL22" i="21"/>
  <c r="CK22" i="21"/>
  <c r="CJ22" i="21"/>
  <c r="CI22" i="21"/>
  <c r="CH22" i="21"/>
  <c r="CG22" i="21"/>
  <c r="CF22" i="21"/>
  <c r="CE22" i="21"/>
  <c r="CD22" i="21"/>
  <c r="CC22" i="21"/>
  <c r="CB22" i="21"/>
  <c r="CA22" i="21"/>
  <c r="BZ22" i="21"/>
  <c r="BY22" i="21"/>
  <c r="BX22" i="21"/>
  <c r="BW22" i="21"/>
  <c r="BV22" i="21"/>
  <c r="BU22" i="21"/>
  <c r="BT22" i="21"/>
  <c r="BS22" i="21"/>
  <c r="BR22" i="21"/>
  <c r="BQ22" i="21"/>
  <c r="BP22" i="21"/>
  <c r="BO22" i="21"/>
  <c r="BN22" i="21"/>
  <c r="BM22" i="21"/>
  <c r="BL22" i="21"/>
  <c r="BK22" i="21"/>
  <c r="BJ22" i="21"/>
  <c r="BI22" i="21"/>
  <c r="BH22" i="21"/>
  <c r="BG22" i="21"/>
  <c r="BF22" i="21"/>
  <c r="BE22" i="21"/>
  <c r="BD22" i="21"/>
  <c r="BC22" i="21"/>
  <c r="BB22" i="21"/>
  <c r="BA22"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CX21" i="21"/>
  <c r="CW21" i="21"/>
  <c r="CV21" i="21"/>
  <c r="CU21" i="21"/>
  <c r="CT21" i="21"/>
  <c r="CS21" i="21"/>
  <c r="CR21" i="21"/>
  <c r="CQ21" i="21"/>
  <c r="CP21" i="21"/>
  <c r="CO21" i="21"/>
  <c r="CN21" i="21"/>
  <c r="CM21" i="21"/>
  <c r="CL21" i="21"/>
  <c r="CK21" i="21"/>
  <c r="CJ21" i="21"/>
  <c r="CI21" i="21"/>
  <c r="CH21" i="21"/>
  <c r="CG21" i="21"/>
  <c r="CF21" i="21"/>
  <c r="CE21" i="21"/>
  <c r="CD21" i="21"/>
  <c r="CC21" i="21"/>
  <c r="CB21" i="21"/>
  <c r="CA21" i="21"/>
  <c r="BZ21" i="21"/>
  <c r="BY21" i="21"/>
  <c r="BX21" i="21"/>
  <c r="BW21" i="21"/>
  <c r="BV21" i="21"/>
  <c r="BU21" i="21"/>
  <c r="BT21" i="21"/>
  <c r="BS21" i="21"/>
  <c r="BR21" i="21"/>
  <c r="BQ21" i="21"/>
  <c r="BP21" i="21"/>
  <c r="BO21" i="21"/>
  <c r="BN21" i="21"/>
  <c r="BM21" i="21"/>
  <c r="BL21" i="21"/>
  <c r="BK21" i="21"/>
  <c r="BJ21" i="21"/>
  <c r="BI21" i="21"/>
  <c r="BH21" i="21"/>
  <c r="BG21" i="21"/>
  <c r="BF21" i="21"/>
  <c r="BE21" i="21"/>
  <c r="BD21" i="21"/>
  <c r="BC21" i="21"/>
  <c r="BB21" i="21"/>
  <c r="BA21"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CX20" i="21"/>
  <c r="CW20" i="21"/>
  <c r="CV20" i="21"/>
  <c r="CU20" i="21"/>
  <c r="CT20" i="21"/>
  <c r="CS20" i="21"/>
  <c r="CR20" i="21"/>
  <c r="CQ20" i="21"/>
  <c r="CP20" i="21"/>
  <c r="CO20" i="21"/>
  <c r="CN20" i="21"/>
  <c r="CM20" i="21"/>
  <c r="CL20" i="21"/>
  <c r="CK20" i="21"/>
  <c r="CJ20" i="21"/>
  <c r="CI20" i="21"/>
  <c r="CH20" i="21"/>
  <c r="CG20" i="21"/>
  <c r="CF20" i="21"/>
  <c r="CE20" i="21"/>
  <c r="CD20" i="21"/>
  <c r="CC20" i="21"/>
  <c r="CB20" i="21"/>
  <c r="CA20" i="21"/>
  <c r="BZ20" i="21"/>
  <c r="BY20" i="21"/>
  <c r="BX20" i="21"/>
  <c r="BW20" i="21"/>
  <c r="BV20" i="21"/>
  <c r="BU20" i="21"/>
  <c r="BT20" i="21"/>
  <c r="BS20" i="21"/>
  <c r="BR20" i="21"/>
  <c r="BQ20" i="21"/>
  <c r="BP20" i="21"/>
  <c r="BO20" i="21"/>
  <c r="BN20" i="21"/>
  <c r="BM20" i="21"/>
  <c r="BL20" i="21"/>
  <c r="BK20" i="21"/>
  <c r="BJ20" i="21"/>
  <c r="BI20" i="21"/>
  <c r="BH20" i="21"/>
  <c r="BG20" i="21"/>
  <c r="BF20" i="21"/>
  <c r="BE20" i="21"/>
  <c r="BD20" i="21"/>
  <c r="BC20" i="21"/>
  <c r="BB20" i="21"/>
  <c r="BA20"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CX19" i="21"/>
  <c r="CW19" i="21"/>
  <c r="CV19" i="21"/>
  <c r="CU19" i="21"/>
  <c r="CT19" i="21"/>
  <c r="CS19" i="21"/>
  <c r="CR19" i="21"/>
  <c r="CQ19" i="21"/>
  <c r="CP19" i="21"/>
  <c r="CO19" i="21"/>
  <c r="CN19" i="21"/>
  <c r="CM19" i="21"/>
  <c r="CL19" i="21"/>
  <c r="CK19" i="21"/>
  <c r="CJ19" i="21"/>
  <c r="CI19" i="21"/>
  <c r="CH19" i="21"/>
  <c r="CG19" i="21"/>
  <c r="CF19" i="21"/>
  <c r="CE19" i="21"/>
  <c r="CD19" i="21"/>
  <c r="CC19" i="21"/>
  <c r="CB19" i="21"/>
  <c r="CA19" i="21"/>
  <c r="BZ19" i="21"/>
  <c r="BY19" i="21"/>
  <c r="BX19" i="21"/>
  <c r="BW19" i="21"/>
  <c r="BV19" i="21"/>
  <c r="BU19" i="21"/>
  <c r="BT19" i="21"/>
  <c r="BS19" i="21"/>
  <c r="BR19" i="21"/>
  <c r="BQ19" i="21"/>
  <c r="BP19" i="21"/>
  <c r="BO19" i="21"/>
  <c r="BN19" i="21"/>
  <c r="BM19" i="21"/>
  <c r="BL19" i="21"/>
  <c r="BK19" i="21"/>
  <c r="BJ19" i="21"/>
  <c r="BI19" i="21"/>
  <c r="BH19" i="21"/>
  <c r="BG19" i="21"/>
  <c r="BF19" i="21"/>
  <c r="BE19" i="21"/>
  <c r="BD19" i="21"/>
  <c r="BC19" i="21"/>
  <c r="BB19" i="21"/>
  <c r="BA19"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CX18" i="21"/>
  <c r="CW18" i="21"/>
  <c r="CV18" i="21"/>
  <c r="CU18" i="21"/>
  <c r="CT18" i="21"/>
  <c r="CS18" i="21"/>
  <c r="CR18" i="21"/>
  <c r="CQ18" i="21"/>
  <c r="CP18" i="21"/>
  <c r="CO18" i="21"/>
  <c r="CN18" i="21"/>
  <c r="CM18" i="21"/>
  <c r="CL18" i="21"/>
  <c r="CK18" i="21"/>
  <c r="CJ18" i="21"/>
  <c r="CI18" i="21"/>
  <c r="CH18" i="21"/>
  <c r="CG18" i="21"/>
  <c r="CF18" i="21"/>
  <c r="CE18" i="21"/>
  <c r="CD18" i="21"/>
  <c r="CC18" i="21"/>
  <c r="CB18" i="21"/>
  <c r="CA18" i="21"/>
  <c r="BZ18" i="21"/>
  <c r="BY18" i="21"/>
  <c r="BX18" i="21"/>
  <c r="BW18" i="21"/>
  <c r="BV18" i="21"/>
  <c r="BU18" i="21"/>
  <c r="BT18" i="21"/>
  <c r="BS18" i="21"/>
  <c r="BR18" i="21"/>
  <c r="BQ18" i="21"/>
  <c r="BP18" i="21"/>
  <c r="BO18" i="21"/>
  <c r="BN18" i="21"/>
  <c r="BM18" i="21"/>
  <c r="BL18" i="21"/>
  <c r="BK18" i="21"/>
  <c r="BJ18" i="21"/>
  <c r="BI18" i="21"/>
  <c r="BH18" i="21"/>
  <c r="BG18" i="21"/>
  <c r="BF18" i="21"/>
  <c r="BE18" i="21"/>
  <c r="BD18" i="21"/>
  <c r="BC18" i="21"/>
  <c r="BB18" i="21"/>
  <c r="BA18"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CX17" i="21"/>
  <c r="CW17" i="21"/>
  <c r="CV17" i="21"/>
  <c r="CU17" i="21"/>
  <c r="CT17" i="21"/>
  <c r="CS17" i="21"/>
  <c r="CR17" i="21"/>
  <c r="CQ17" i="21"/>
  <c r="CP17" i="21"/>
  <c r="CO17" i="21"/>
  <c r="CN17" i="21"/>
  <c r="CM17" i="21"/>
  <c r="CL17" i="21"/>
  <c r="CK17" i="21"/>
  <c r="CJ17" i="21"/>
  <c r="CI17" i="21"/>
  <c r="CH17" i="21"/>
  <c r="CG17" i="21"/>
  <c r="CF17" i="21"/>
  <c r="CE17" i="21"/>
  <c r="CD17" i="21"/>
  <c r="CC17" i="21"/>
  <c r="CB17" i="21"/>
  <c r="CA17" i="21"/>
  <c r="BZ17" i="21"/>
  <c r="BY17" i="21"/>
  <c r="BX17" i="21"/>
  <c r="BW17" i="21"/>
  <c r="BV17" i="21"/>
  <c r="BU17" i="21"/>
  <c r="BT17" i="21"/>
  <c r="BS17" i="21"/>
  <c r="BR17" i="21"/>
  <c r="BQ17" i="21"/>
  <c r="BP17" i="21"/>
  <c r="BO17" i="21"/>
  <c r="BN17" i="21"/>
  <c r="BM17" i="21"/>
  <c r="BL17" i="21"/>
  <c r="BK17" i="21"/>
  <c r="BJ17" i="21"/>
  <c r="BI17" i="21"/>
  <c r="BH17" i="21"/>
  <c r="BG17" i="21"/>
  <c r="BF17" i="21"/>
  <c r="BE17" i="21"/>
  <c r="BD17" i="21"/>
  <c r="BC17" i="21"/>
  <c r="BB17" i="21"/>
  <c r="BA17"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CX16" i="21"/>
  <c r="CW16" i="21"/>
  <c r="CV16" i="21"/>
  <c r="CU16" i="21"/>
  <c r="CT16" i="21"/>
  <c r="CS16" i="21"/>
  <c r="CR16" i="21"/>
  <c r="CQ16" i="21"/>
  <c r="CP16" i="21"/>
  <c r="CO16" i="21"/>
  <c r="CN16" i="21"/>
  <c r="CM16" i="21"/>
  <c r="CL16" i="21"/>
  <c r="CK16" i="21"/>
  <c r="CJ16" i="21"/>
  <c r="CI16" i="21"/>
  <c r="CH16" i="21"/>
  <c r="CG16" i="21"/>
  <c r="CF16" i="21"/>
  <c r="CE16" i="21"/>
  <c r="CD16" i="21"/>
  <c r="CC16" i="21"/>
  <c r="CB16" i="21"/>
  <c r="CA16" i="21"/>
  <c r="BZ16" i="21"/>
  <c r="BY16" i="21"/>
  <c r="BX16" i="21"/>
  <c r="BW16" i="21"/>
  <c r="BV16" i="21"/>
  <c r="BU16" i="21"/>
  <c r="BT16" i="21"/>
  <c r="BS16" i="21"/>
  <c r="BR16" i="21"/>
  <c r="BQ16" i="21"/>
  <c r="BP16" i="21"/>
  <c r="BO16" i="21"/>
  <c r="BN16" i="21"/>
  <c r="BM16" i="21"/>
  <c r="BL16" i="21"/>
  <c r="BK16" i="21"/>
  <c r="BJ16" i="21"/>
  <c r="BI16" i="21"/>
  <c r="BH16" i="21"/>
  <c r="BG16" i="21"/>
  <c r="BF16" i="21"/>
  <c r="BE16" i="21"/>
  <c r="BD16" i="21"/>
  <c r="BC16" i="21"/>
  <c r="BB16" i="21"/>
  <c r="BA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CX15" i="21"/>
  <c r="CW15" i="21"/>
  <c r="CV15" i="21"/>
  <c r="CU15" i="21"/>
  <c r="CT15" i="21"/>
  <c r="CS15" i="21"/>
  <c r="CR15" i="21"/>
  <c r="CQ15" i="21"/>
  <c r="CP15" i="21"/>
  <c r="CO15" i="21"/>
  <c r="CN15" i="21"/>
  <c r="CM15" i="21"/>
  <c r="CL15" i="21"/>
  <c r="CK15" i="21"/>
  <c r="CJ15" i="21"/>
  <c r="CI15" i="21"/>
  <c r="CH15" i="21"/>
  <c r="CG15" i="21"/>
  <c r="CF15" i="21"/>
  <c r="CE15" i="21"/>
  <c r="CD15" i="21"/>
  <c r="CC15" i="21"/>
  <c r="CB15" i="21"/>
  <c r="CA15" i="21"/>
  <c r="BZ15" i="21"/>
  <c r="BY15" i="21"/>
  <c r="BX15" i="21"/>
  <c r="BW15" i="21"/>
  <c r="BV15" i="21"/>
  <c r="BU15" i="21"/>
  <c r="BT15" i="21"/>
  <c r="BS15" i="21"/>
  <c r="BR15" i="21"/>
  <c r="BQ15" i="21"/>
  <c r="BP15" i="21"/>
  <c r="BO15" i="21"/>
  <c r="BN15" i="21"/>
  <c r="BM15" i="21"/>
  <c r="BL15" i="21"/>
  <c r="BK15" i="21"/>
  <c r="BJ15" i="21"/>
  <c r="BI15" i="21"/>
  <c r="BH15" i="21"/>
  <c r="BG15" i="21"/>
  <c r="BF15" i="21"/>
  <c r="BE15" i="21"/>
  <c r="BD15" i="21"/>
  <c r="BC15" i="21"/>
  <c r="BB15" i="21"/>
  <c r="BA15"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CX14" i="21"/>
  <c r="CW14" i="21"/>
  <c r="CV14" i="21"/>
  <c r="CU14" i="21"/>
  <c r="CT14" i="21"/>
  <c r="CS14" i="21"/>
  <c r="CR14" i="21"/>
  <c r="CQ14" i="21"/>
  <c r="CP14" i="21"/>
  <c r="CO14" i="21"/>
  <c r="CN14" i="21"/>
  <c r="CM14" i="21"/>
  <c r="CL14" i="21"/>
  <c r="CK14" i="21"/>
  <c r="CJ14" i="21"/>
  <c r="CI14" i="21"/>
  <c r="CH14" i="21"/>
  <c r="CG14" i="21"/>
  <c r="CF14" i="21"/>
  <c r="CE14" i="21"/>
  <c r="CD14" i="21"/>
  <c r="CC14" i="21"/>
  <c r="CB14" i="21"/>
  <c r="CA14" i="21"/>
  <c r="BZ14" i="21"/>
  <c r="BY14" i="21"/>
  <c r="BX14" i="21"/>
  <c r="BW14" i="21"/>
  <c r="BV14" i="21"/>
  <c r="BU14" i="21"/>
  <c r="BT14" i="21"/>
  <c r="BS14" i="21"/>
  <c r="BR14" i="21"/>
  <c r="BQ14" i="21"/>
  <c r="BP14" i="21"/>
  <c r="BO14" i="21"/>
  <c r="BN14" i="21"/>
  <c r="BM14" i="21"/>
  <c r="BL14" i="21"/>
  <c r="BK14" i="21"/>
  <c r="BJ14" i="21"/>
  <c r="BI14" i="21"/>
  <c r="BH14" i="21"/>
  <c r="BG14" i="21"/>
  <c r="BF14" i="21"/>
  <c r="BE14" i="21"/>
  <c r="BD14" i="21"/>
  <c r="BC14" i="21"/>
  <c r="BB14" i="21"/>
  <c r="BA14"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CX13" i="21"/>
  <c r="CW13" i="21"/>
  <c r="CV13" i="21"/>
  <c r="CU13" i="21"/>
  <c r="CT13" i="21"/>
  <c r="CS13" i="21"/>
  <c r="CR13" i="21"/>
  <c r="CQ13" i="21"/>
  <c r="CP13" i="21"/>
  <c r="CO13" i="21"/>
  <c r="CN13" i="21"/>
  <c r="CM13" i="21"/>
  <c r="CL13" i="21"/>
  <c r="CK13" i="21"/>
  <c r="CJ13" i="21"/>
  <c r="CI13" i="21"/>
  <c r="CH13" i="21"/>
  <c r="CG13" i="21"/>
  <c r="CF13" i="21"/>
  <c r="CE13" i="21"/>
  <c r="CD13" i="21"/>
  <c r="CC13" i="21"/>
  <c r="CB13" i="21"/>
  <c r="CA13" i="21"/>
  <c r="BZ13" i="21"/>
  <c r="BY13" i="21"/>
  <c r="BX13" i="21"/>
  <c r="BW13" i="21"/>
  <c r="BV13" i="21"/>
  <c r="BU13" i="21"/>
  <c r="BT13" i="21"/>
  <c r="BS13" i="21"/>
  <c r="BR13" i="21"/>
  <c r="BQ13" i="21"/>
  <c r="BP13" i="21"/>
  <c r="BO13" i="21"/>
  <c r="BN13" i="21"/>
  <c r="BM13" i="21"/>
  <c r="BL13" i="21"/>
  <c r="BK13" i="21"/>
  <c r="BJ13" i="21"/>
  <c r="BI13" i="21"/>
  <c r="BH13" i="21"/>
  <c r="BG13" i="21"/>
  <c r="BF13" i="21"/>
  <c r="BE13" i="21"/>
  <c r="BD13" i="21"/>
  <c r="BC13" i="21"/>
  <c r="BB13" i="21"/>
  <c r="BA13"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CX12" i="21"/>
  <c r="CW12" i="21"/>
  <c r="CV12" i="21"/>
  <c r="CU12" i="21"/>
  <c r="CT12" i="21"/>
  <c r="CS12" i="21"/>
  <c r="CR12" i="21"/>
  <c r="CQ12" i="21"/>
  <c r="CP12" i="21"/>
  <c r="CO12" i="21"/>
  <c r="CN12" i="21"/>
  <c r="CM12" i="21"/>
  <c r="CL12" i="21"/>
  <c r="CK12" i="21"/>
  <c r="CJ12" i="21"/>
  <c r="CI12" i="21"/>
  <c r="CH12" i="21"/>
  <c r="CG12" i="21"/>
  <c r="CF12" i="21"/>
  <c r="CE12" i="21"/>
  <c r="CD12" i="21"/>
  <c r="CC12" i="21"/>
  <c r="CB12" i="21"/>
  <c r="CA12" i="21"/>
  <c r="BZ12" i="21"/>
  <c r="BY12" i="21"/>
  <c r="BX12" i="21"/>
  <c r="BW12" i="21"/>
  <c r="BV12" i="21"/>
  <c r="BU12" i="21"/>
  <c r="BT12" i="21"/>
  <c r="BS12" i="21"/>
  <c r="BR12" i="21"/>
  <c r="BQ12" i="21"/>
  <c r="BP12" i="21"/>
  <c r="BO12" i="21"/>
  <c r="BN12" i="21"/>
  <c r="BM12" i="21"/>
  <c r="BL12" i="21"/>
  <c r="BK12" i="21"/>
  <c r="BJ12" i="21"/>
  <c r="BI12" i="21"/>
  <c r="BH12" i="21"/>
  <c r="BG12" i="21"/>
  <c r="BF12" i="21"/>
  <c r="BE12" i="21"/>
  <c r="BD12" i="21"/>
  <c r="BC12" i="21"/>
  <c r="BB12" i="21"/>
  <c r="BA12"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CX11" i="21"/>
  <c r="CW11" i="21"/>
  <c r="CV11" i="21"/>
  <c r="CU11" i="21"/>
  <c r="CT11" i="21"/>
  <c r="CS11" i="21"/>
  <c r="CR11" i="21"/>
  <c r="CQ11" i="21"/>
  <c r="CP11" i="21"/>
  <c r="CO11" i="21"/>
  <c r="CN11" i="21"/>
  <c r="CM11" i="21"/>
  <c r="CL11" i="21"/>
  <c r="CK11" i="21"/>
  <c r="CJ11" i="21"/>
  <c r="CI11" i="21"/>
  <c r="CH11" i="21"/>
  <c r="CG11" i="21"/>
  <c r="CF11" i="21"/>
  <c r="CE11" i="21"/>
  <c r="CD11" i="21"/>
  <c r="CC11" i="21"/>
  <c r="CB11" i="21"/>
  <c r="CA11" i="21"/>
  <c r="BZ11" i="21"/>
  <c r="BY11" i="21"/>
  <c r="BX11" i="21"/>
  <c r="BW11" i="21"/>
  <c r="BV11" i="21"/>
  <c r="BU11" i="21"/>
  <c r="BT11" i="21"/>
  <c r="BS11" i="21"/>
  <c r="BR11" i="21"/>
  <c r="BQ11" i="21"/>
  <c r="BP11" i="21"/>
  <c r="BO11" i="21"/>
  <c r="BN11" i="21"/>
  <c r="BM11" i="21"/>
  <c r="BL11" i="21"/>
  <c r="BK11" i="21"/>
  <c r="BJ11" i="21"/>
  <c r="BI11" i="21"/>
  <c r="BH11" i="21"/>
  <c r="BG11" i="21"/>
  <c r="BF11" i="21"/>
  <c r="BE11" i="21"/>
  <c r="BD11" i="21"/>
  <c r="BC11" i="21"/>
  <c r="BB11" i="21"/>
  <c r="BA11"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CX10" i="21"/>
  <c r="CW10" i="21"/>
  <c r="CV10" i="21"/>
  <c r="CU10" i="21"/>
  <c r="CT10" i="21"/>
  <c r="CS10" i="21"/>
  <c r="CR10" i="21"/>
  <c r="CQ10" i="21"/>
  <c r="CP10" i="21"/>
  <c r="CO10" i="21"/>
  <c r="CN10" i="21"/>
  <c r="CM10" i="21"/>
  <c r="CL10" i="21"/>
  <c r="CK10" i="21"/>
  <c r="CJ10" i="21"/>
  <c r="CI10" i="21"/>
  <c r="CH10" i="21"/>
  <c r="CG10" i="21"/>
  <c r="CF10" i="21"/>
  <c r="CE10" i="21"/>
  <c r="CD10" i="21"/>
  <c r="CC10" i="21"/>
  <c r="CB10" i="21"/>
  <c r="CA10" i="21"/>
  <c r="BZ10" i="21"/>
  <c r="BY10" i="21"/>
  <c r="BX10" i="21"/>
  <c r="BW10" i="21"/>
  <c r="BV10" i="21"/>
  <c r="BU10" i="21"/>
  <c r="BT10" i="21"/>
  <c r="BS10" i="21"/>
  <c r="BR10" i="21"/>
  <c r="BQ10" i="21"/>
  <c r="BP10" i="21"/>
  <c r="BO10" i="21"/>
  <c r="BN10" i="21"/>
  <c r="BM10" i="21"/>
  <c r="BL10" i="21"/>
  <c r="BK10" i="21"/>
  <c r="BJ10" i="21"/>
  <c r="BI10" i="21"/>
  <c r="BH10" i="21"/>
  <c r="BG10" i="21"/>
  <c r="BF10" i="21"/>
  <c r="BE10" i="21"/>
  <c r="BD10" i="21"/>
  <c r="BC10" i="21"/>
  <c r="BB10" i="21"/>
  <c r="BA10"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CX9" i="21"/>
  <c r="CW9" i="21"/>
  <c r="CV9" i="21"/>
  <c r="CU9" i="21"/>
  <c r="CT9" i="21"/>
  <c r="CS9" i="21"/>
  <c r="CR9" i="21"/>
  <c r="CQ9" i="21"/>
  <c r="CP9" i="21"/>
  <c r="CO9" i="21"/>
  <c r="CN9" i="21"/>
  <c r="CM9" i="21"/>
  <c r="CL9" i="21"/>
  <c r="CK9" i="21"/>
  <c r="CJ9" i="21"/>
  <c r="CI9" i="21"/>
  <c r="CH9" i="21"/>
  <c r="CG9" i="21"/>
  <c r="CF9" i="21"/>
  <c r="CE9" i="21"/>
  <c r="CD9" i="21"/>
  <c r="CC9" i="21"/>
  <c r="CB9" i="21"/>
  <c r="CA9" i="21"/>
  <c r="BZ9" i="21"/>
  <c r="BY9" i="21"/>
  <c r="BX9" i="21"/>
  <c r="BW9" i="21"/>
  <c r="BV9" i="21"/>
  <c r="BU9" i="21"/>
  <c r="BT9" i="21"/>
  <c r="BS9" i="21"/>
  <c r="BR9" i="21"/>
  <c r="BQ9" i="21"/>
  <c r="BP9" i="21"/>
  <c r="BO9" i="21"/>
  <c r="BN9" i="21"/>
  <c r="BM9" i="21"/>
  <c r="BL9" i="21"/>
  <c r="BK9" i="21"/>
  <c r="BJ9" i="21"/>
  <c r="BI9" i="21"/>
  <c r="BH9" i="21"/>
  <c r="BG9" i="21"/>
  <c r="BF9" i="21"/>
  <c r="BE9" i="21"/>
  <c r="BD9" i="21"/>
  <c r="BC9" i="21"/>
  <c r="BB9" i="21"/>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CX8" i="21"/>
  <c r="CW8" i="21"/>
  <c r="CV8" i="21"/>
  <c r="CU8" i="21"/>
  <c r="CT8" i="21"/>
  <c r="CS8" i="21"/>
  <c r="CR8" i="21"/>
  <c r="CQ8" i="21"/>
  <c r="CP8" i="21"/>
  <c r="CO8" i="21"/>
  <c r="CN8" i="21"/>
  <c r="CM8" i="21"/>
  <c r="CL8" i="21"/>
  <c r="CK8" i="21"/>
  <c r="CJ8" i="21"/>
  <c r="CI8" i="21"/>
  <c r="CH8" i="21"/>
  <c r="CG8" i="21"/>
  <c r="CF8" i="21"/>
  <c r="CE8" i="21"/>
  <c r="CD8" i="21"/>
  <c r="CC8" i="21"/>
  <c r="CB8" i="21"/>
  <c r="CA8" i="21"/>
  <c r="BZ8" i="21"/>
  <c r="BY8" i="21"/>
  <c r="BX8" i="21"/>
  <c r="BW8" i="21"/>
  <c r="BV8" i="21"/>
  <c r="BU8" i="21"/>
  <c r="BT8" i="21"/>
  <c r="BS8" i="21"/>
  <c r="BR8" i="21"/>
  <c r="BQ8" i="21"/>
  <c r="BP8" i="21"/>
  <c r="BO8" i="21"/>
  <c r="BN8" i="21"/>
  <c r="BM8" i="21"/>
  <c r="BL8" i="21"/>
  <c r="BK8" i="21"/>
  <c r="BJ8" i="21"/>
  <c r="BI8" i="21"/>
  <c r="BH8" i="21"/>
  <c r="BG8" i="21"/>
  <c r="BF8" i="21"/>
  <c r="BE8" i="21"/>
  <c r="BD8" i="21"/>
  <c r="BC8" i="21"/>
  <c r="BB8" i="21"/>
  <c r="BA8"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CX7" i="21"/>
  <c r="CW7" i="21"/>
  <c r="CV7" i="21"/>
  <c r="CU7" i="21"/>
  <c r="CT7" i="21"/>
  <c r="CS7" i="21"/>
  <c r="CR7" i="21"/>
  <c r="CQ7" i="21"/>
  <c r="CP7" i="21"/>
  <c r="CO7" i="21"/>
  <c r="CN7" i="21"/>
  <c r="CM7" i="21"/>
  <c r="CL7" i="21"/>
  <c r="CK7" i="21"/>
  <c r="CJ7"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CX6" i="21"/>
  <c r="CW6" i="21"/>
  <c r="CV6" i="21"/>
  <c r="CU6" i="21"/>
  <c r="CT6" i="21"/>
  <c r="CS6" i="21"/>
  <c r="CR6" i="21"/>
  <c r="CQ6" i="21"/>
  <c r="CP6" i="21"/>
  <c r="CO6" i="21"/>
  <c r="CN6" i="21"/>
  <c r="CM6" i="21"/>
  <c r="CL6" i="21"/>
  <c r="CK6" i="21"/>
  <c r="CJ6" i="21"/>
  <c r="CI6" i="21"/>
  <c r="CH6" i="21"/>
  <c r="CG6" i="21"/>
  <c r="CF6" i="21"/>
  <c r="CE6" i="21"/>
  <c r="CD6" i="21"/>
  <c r="CC6" i="21"/>
  <c r="CB6" i="21"/>
  <c r="CA6" i="21"/>
  <c r="BZ6" i="21"/>
  <c r="BY6" i="21"/>
  <c r="BX6" i="21"/>
  <c r="BW6" i="21"/>
  <c r="BV6" i="21"/>
  <c r="BU6" i="21"/>
  <c r="BT6" i="21"/>
  <c r="BS6" i="21"/>
  <c r="BR6" i="21"/>
  <c r="BQ6" i="21"/>
  <c r="BP6" i="21"/>
  <c r="BO6" i="21"/>
  <c r="BN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CX5" i="21"/>
  <c r="CW5" i="21"/>
  <c r="CV5" i="21"/>
  <c r="CU5" i="21"/>
  <c r="CT5" i="21"/>
  <c r="CS5" i="21"/>
  <c r="CR5" i="21"/>
  <c r="CQ5" i="21"/>
  <c r="CP5" i="21"/>
  <c r="CO5" i="21"/>
  <c r="CN5" i="21"/>
  <c r="CM5" i="21"/>
  <c r="CL5" i="21"/>
  <c r="CK5" i="21"/>
  <c r="CJ5" i="21"/>
  <c r="CI5" i="21"/>
  <c r="CH5" i="21"/>
  <c r="CG5" i="21"/>
  <c r="CF5" i="21"/>
  <c r="CE5" i="21"/>
  <c r="CD5" i="21"/>
  <c r="CC5" i="21"/>
  <c r="CB5" i="21"/>
  <c r="CA5" i="21"/>
  <c r="BZ5" i="21"/>
  <c r="BY5" i="21"/>
  <c r="BX5" i="21"/>
  <c r="BW5" i="21"/>
  <c r="BV5" i="21"/>
  <c r="BU5" i="21"/>
  <c r="BT5" i="21"/>
  <c r="BS5" i="21"/>
  <c r="BR5" i="21"/>
  <c r="BQ5" i="21"/>
  <c r="BP5" i="21"/>
  <c r="BO5" i="21"/>
  <c r="BN5" i="21"/>
  <c r="BM5" i="21"/>
  <c r="BL5" i="21"/>
  <c r="BK5" i="21"/>
  <c r="BJ5" i="21"/>
  <c r="BI5" i="21"/>
  <c r="BH5" i="21"/>
  <c r="BG5" i="21"/>
  <c r="BF5" i="21"/>
  <c r="BE5" i="21"/>
  <c r="BD5" i="21"/>
  <c r="BC5" i="21"/>
  <c r="BB5" i="21"/>
  <c r="BA5"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CX4" i="21"/>
  <c r="CW4" i="21"/>
  <c r="CV4" i="21"/>
  <c r="CU4" i="21"/>
  <c r="CT4" i="21"/>
  <c r="CS4" i="21"/>
  <c r="CR4" i="21"/>
  <c r="CQ4" i="21"/>
  <c r="CP4" i="21"/>
  <c r="CO4" i="21"/>
  <c r="CN4" i="21"/>
  <c r="CM4" i="21"/>
  <c r="CL4" i="21"/>
  <c r="CK4" i="21"/>
  <c r="CJ4" i="21"/>
  <c r="CI4" i="21"/>
  <c r="CH4" i="21"/>
  <c r="CG4" i="21"/>
  <c r="CF4" i="21"/>
  <c r="CE4" i="21"/>
  <c r="CD4" i="21"/>
  <c r="CC4" i="21"/>
  <c r="CB4" i="21"/>
  <c r="CA4" i="21"/>
  <c r="BZ4" i="21"/>
  <c r="BY4" i="21"/>
  <c r="BX4" i="21"/>
  <c r="BW4" i="21"/>
  <c r="BV4" i="21"/>
  <c r="BU4" i="21"/>
  <c r="BT4" i="21"/>
  <c r="BS4" i="21"/>
  <c r="BR4" i="21"/>
  <c r="BQ4" i="21"/>
  <c r="BP4" i="21"/>
  <c r="BO4" i="21"/>
  <c r="BN4" i="21"/>
  <c r="BM4" i="21"/>
  <c r="BL4" i="21"/>
  <c r="BK4" i="21"/>
  <c r="BJ4" i="21"/>
  <c r="BI4" i="21"/>
  <c r="BH4" i="21"/>
  <c r="BG4" i="21"/>
  <c r="BF4" i="21"/>
  <c r="BE4" i="21"/>
  <c r="BD4" i="21"/>
  <c r="BC4" i="21"/>
  <c r="BB4" i="21"/>
  <c r="BA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CX3" i="21"/>
  <c r="CW3" i="21"/>
  <c r="CV3" i="21"/>
  <c r="CU3" i="21"/>
  <c r="CT3" i="21"/>
  <c r="CS3" i="21"/>
  <c r="CR3" i="21"/>
  <c r="CQ3" i="21"/>
  <c r="CP3" i="21"/>
  <c r="CO3" i="21"/>
  <c r="CN3" i="21"/>
  <c r="CM3" i="21"/>
  <c r="CL3" i="21"/>
  <c r="CK3" i="21"/>
  <c r="CJ3" i="21"/>
  <c r="CI3" i="21"/>
  <c r="CH3" i="21"/>
  <c r="CG3" i="21"/>
  <c r="CF3" i="21"/>
  <c r="CE3" i="21"/>
  <c r="CD3" i="21"/>
  <c r="CC3" i="21"/>
  <c r="CB3" i="21"/>
  <c r="CA3" i="21"/>
  <c r="BZ3" i="21"/>
  <c r="BY3" i="21"/>
  <c r="BX3" i="21"/>
  <c r="BW3" i="21"/>
  <c r="BV3" i="21"/>
  <c r="BU3" i="21"/>
  <c r="BT3" i="21"/>
  <c r="BS3" i="21"/>
  <c r="BR3" i="21"/>
  <c r="BQ3" i="21"/>
  <c r="BP3" i="21"/>
  <c r="BO3" i="21"/>
  <c r="BN3" i="21"/>
  <c r="BM3" i="21"/>
  <c r="BL3" i="21"/>
  <c r="BK3" i="21"/>
  <c r="BJ3" i="21"/>
  <c r="BI3" i="21"/>
  <c r="BH3" i="21"/>
  <c r="BG3" i="21"/>
  <c r="BF3" i="21"/>
  <c r="BE3" i="21"/>
  <c r="BD3" i="21"/>
  <c r="BC3" i="21"/>
  <c r="BB3" i="21"/>
  <c r="BA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CX2" i="21"/>
  <c r="CW2" i="21"/>
  <c r="CV2" i="21"/>
  <c r="CV38" i="21" s="1"/>
  <c r="CU2" i="21"/>
  <c r="CU38" i="21" s="1"/>
  <c r="CT2" i="21"/>
  <c r="CT38" i="21" s="1"/>
  <c r="CS2" i="21"/>
  <c r="CR2" i="21"/>
  <c r="CQ2" i="21"/>
  <c r="CP2" i="21"/>
  <c r="CO2" i="21"/>
  <c r="CN2" i="21"/>
  <c r="CN38" i="21" s="1"/>
  <c r="CM2" i="21"/>
  <c r="CM38" i="21" s="1"/>
  <c r="CL2" i="21"/>
  <c r="CK2" i="21"/>
  <c r="CJ2" i="21"/>
  <c r="CI2" i="21"/>
  <c r="CH2" i="21"/>
  <c r="CG2" i="21"/>
  <c r="CF2" i="21"/>
  <c r="CF38" i="21" s="1"/>
  <c r="CE2" i="21"/>
  <c r="CE38" i="21" s="1"/>
  <c r="CD2" i="21"/>
  <c r="CD38" i="21" s="1"/>
  <c r="CC2" i="21"/>
  <c r="CB2" i="21"/>
  <c r="CA2" i="21"/>
  <c r="BZ2" i="21"/>
  <c r="BY2" i="21"/>
  <c r="BX2" i="21"/>
  <c r="BX38" i="21" s="1"/>
  <c r="BW2" i="21"/>
  <c r="BW38" i="21" s="1"/>
  <c r="BV2" i="21"/>
  <c r="BV38" i="21" s="1"/>
  <c r="BU2" i="21"/>
  <c r="BT2" i="21"/>
  <c r="BS2" i="21"/>
  <c r="BR2" i="21"/>
  <c r="BQ2" i="21"/>
  <c r="BP2" i="21"/>
  <c r="BP38" i="21" s="1"/>
  <c r="BO2" i="21"/>
  <c r="BO38" i="21" s="1"/>
  <c r="BN2" i="21"/>
  <c r="BN38" i="21" s="1"/>
  <c r="BM2" i="21"/>
  <c r="BL2" i="21"/>
  <c r="BK2" i="21"/>
  <c r="BJ2" i="21"/>
  <c r="BI2" i="21"/>
  <c r="BH2" i="21"/>
  <c r="BH38" i="21" s="1"/>
  <c r="BG2" i="21"/>
  <c r="BG38" i="21" s="1"/>
  <c r="BF2" i="21"/>
  <c r="BF38" i="21" s="1"/>
  <c r="BE2" i="21"/>
  <c r="BD2" i="21"/>
  <c r="BC2" i="21"/>
  <c r="BB2" i="21"/>
  <c r="BA2" i="21"/>
  <c r="AZ2" i="21"/>
  <c r="AZ38" i="21" s="1"/>
  <c r="AY2" i="21"/>
  <c r="AY38" i="21" s="1"/>
  <c r="AX2" i="21"/>
  <c r="AX38" i="21" s="1"/>
  <c r="AW2" i="21"/>
  <c r="AV2" i="21"/>
  <c r="AU2" i="21"/>
  <c r="AT2" i="21"/>
  <c r="AS2" i="21"/>
  <c r="AR2" i="21"/>
  <c r="AR38" i="21" s="1"/>
  <c r="AQ2" i="21"/>
  <c r="AQ38" i="21" s="1"/>
  <c r="AP2" i="21"/>
  <c r="AP38" i="21" s="1"/>
  <c r="AO2" i="21"/>
  <c r="AN2" i="21"/>
  <c r="AM2" i="21"/>
  <c r="AL2" i="21"/>
  <c r="AK2" i="21"/>
  <c r="AJ2" i="21"/>
  <c r="AJ38" i="21" s="1"/>
  <c r="AI2" i="21"/>
  <c r="AI38" i="21" s="1"/>
  <c r="AH2" i="21"/>
  <c r="AH38" i="21" s="1"/>
  <c r="AG2" i="21"/>
  <c r="AF2" i="21"/>
  <c r="AE2" i="21"/>
  <c r="AD2" i="21"/>
  <c r="AC2" i="21"/>
  <c r="AB2" i="21"/>
  <c r="AB38" i="21" s="1"/>
  <c r="AA2" i="21"/>
  <c r="AA38" i="21" s="1"/>
  <c r="Z2" i="21"/>
  <c r="Z38" i="21" s="1"/>
  <c r="Y2" i="21"/>
  <c r="X2" i="21"/>
  <c r="W2" i="21"/>
  <c r="V2" i="21"/>
  <c r="U2" i="21"/>
  <c r="T2" i="21"/>
  <c r="T38" i="21" s="1"/>
  <c r="S2" i="21"/>
  <c r="S38" i="21" s="1"/>
  <c r="R2" i="21"/>
  <c r="R38" i="21" s="1"/>
  <c r="Q2" i="21"/>
  <c r="P2" i="21"/>
  <c r="O2" i="21"/>
  <c r="N2" i="21"/>
  <c r="M2" i="21"/>
  <c r="L2" i="21"/>
  <c r="L38" i="21" s="1"/>
  <c r="K2" i="21"/>
  <c r="K38" i="21" s="1"/>
  <c r="J2" i="21"/>
  <c r="J38" i="21" s="1"/>
  <c r="I2" i="21"/>
  <c r="H2" i="21"/>
  <c r="G2" i="21"/>
  <c r="F2" i="21"/>
  <c r="E2" i="21"/>
  <c r="D2" i="21"/>
  <c r="D38" i="21" s="1"/>
  <c r="C2" i="21"/>
  <c r="C38" i="21" s="1"/>
  <c r="C183" i="20"/>
  <c r="A183" i="20"/>
  <c r="C182" i="20"/>
  <c r="A182" i="20"/>
  <c r="C181" i="20"/>
  <c r="A181" i="20"/>
  <c r="C180" i="20"/>
  <c r="A180" i="20"/>
  <c r="C179" i="20"/>
  <c r="A179" i="20"/>
  <c r="C178" i="20"/>
  <c r="A178" i="20"/>
  <c r="C177" i="20"/>
  <c r="A177" i="20"/>
  <c r="C176" i="20"/>
  <c r="A176" i="20"/>
  <c r="C175" i="20"/>
  <c r="A175" i="20"/>
  <c r="C174" i="20"/>
  <c r="A174" i="20"/>
  <c r="C173" i="20"/>
  <c r="A173" i="20"/>
  <c r="C172" i="20"/>
  <c r="A172" i="20"/>
  <c r="C171" i="20"/>
  <c r="A171" i="20"/>
  <c r="C170" i="20"/>
  <c r="A170" i="20"/>
  <c r="C169" i="20"/>
  <c r="A169" i="20"/>
  <c r="C168" i="20"/>
  <c r="A168" i="20"/>
  <c r="C167" i="20"/>
  <c r="A167" i="20"/>
  <c r="C166" i="20"/>
  <c r="A166" i="20"/>
  <c r="C165" i="20"/>
  <c r="A165" i="20"/>
  <c r="C164" i="20"/>
  <c r="A164" i="20"/>
  <c r="C163" i="20"/>
  <c r="A163" i="20"/>
  <c r="C162" i="20"/>
  <c r="A162" i="20"/>
  <c r="C161" i="20"/>
  <c r="A161" i="20"/>
  <c r="C160" i="20"/>
  <c r="A160" i="20"/>
  <c r="C159" i="20"/>
  <c r="A159" i="20"/>
  <c r="C158" i="20"/>
  <c r="A158" i="20"/>
  <c r="C157" i="20"/>
  <c r="A157" i="20"/>
  <c r="C156" i="20"/>
  <c r="A156" i="20"/>
  <c r="C155" i="20"/>
  <c r="A155" i="20"/>
  <c r="C154" i="20"/>
  <c r="A154" i="20"/>
  <c r="C153" i="20"/>
  <c r="A153" i="20"/>
  <c r="C152" i="20"/>
  <c r="A152" i="20"/>
  <c r="C151" i="20"/>
  <c r="A151" i="20"/>
  <c r="C150" i="20"/>
  <c r="A150" i="20"/>
  <c r="C149" i="20"/>
  <c r="A149" i="20"/>
  <c r="C148" i="20"/>
  <c r="A148" i="20"/>
  <c r="C147" i="20"/>
  <c r="A147" i="20"/>
  <c r="C146" i="20"/>
  <c r="A146" i="20"/>
  <c r="C145" i="20"/>
  <c r="A145" i="20"/>
  <c r="C144" i="20"/>
  <c r="A144" i="20"/>
  <c r="C143" i="20"/>
  <c r="A143" i="20"/>
  <c r="C142" i="20"/>
  <c r="A142" i="20"/>
  <c r="C141" i="20"/>
  <c r="A141" i="20"/>
  <c r="C140" i="20"/>
  <c r="A140" i="20"/>
  <c r="C139" i="20"/>
  <c r="A139" i="20"/>
  <c r="C138" i="20"/>
  <c r="A138" i="20"/>
  <c r="C137" i="20"/>
  <c r="A137" i="20"/>
  <c r="C136" i="20"/>
  <c r="A136" i="20"/>
  <c r="C135" i="20"/>
  <c r="A135" i="20"/>
  <c r="C134" i="20"/>
  <c r="A134" i="20"/>
  <c r="C133" i="20"/>
  <c r="A133" i="20"/>
  <c r="C132" i="20"/>
  <c r="A132" i="20"/>
  <c r="C131" i="20"/>
  <c r="A131" i="20"/>
  <c r="C130" i="20"/>
  <c r="A130" i="20"/>
  <c r="C129" i="20"/>
  <c r="A129" i="20"/>
  <c r="C128" i="20"/>
  <c r="A128" i="20"/>
  <c r="C127" i="20"/>
  <c r="A127" i="20"/>
  <c r="C126" i="20"/>
  <c r="A126" i="20"/>
  <c r="C125" i="20"/>
  <c r="A125" i="20"/>
  <c r="C124" i="20"/>
  <c r="A124" i="20"/>
  <c r="C123" i="20"/>
  <c r="A123" i="20"/>
  <c r="C122" i="20"/>
  <c r="A122" i="20"/>
  <c r="C121" i="20"/>
  <c r="A121" i="20"/>
  <c r="C120" i="20"/>
  <c r="A120" i="20"/>
  <c r="C119" i="20"/>
  <c r="A119" i="20"/>
  <c r="C118" i="20"/>
  <c r="A118" i="20"/>
  <c r="C117" i="20"/>
  <c r="A117" i="20"/>
  <c r="C116" i="20"/>
  <c r="A116" i="20"/>
  <c r="C115" i="20"/>
  <c r="A115" i="20"/>
  <c r="C114" i="20"/>
  <c r="A114" i="20"/>
  <c r="C113" i="20"/>
  <c r="A113" i="20"/>
  <c r="C112" i="20"/>
  <c r="A112" i="20"/>
  <c r="C111" i="20"/>
  <c r="A111" i="20"/>
  <c r="C110" i="20"/>
  <c r="A110" i="20"/>
  <c r="C109" i="20"/>
  <c r="A109" i="20"/>
  <c r="C108" i="20"/>
  <c r="A108" i="20"/>
  <c r="C107" i="20"/>
  <c r="A107" i="20"/>
  <c r="C106" i="20"/>
  <c r="A106" i="20"/>
  <c r="C105" i="20"/>
  <c r="A105" i="20"/>
  <c r="C104" i="20"/>
  <c r="A104" i="20"/>
  <c r="C103" i="20"/>
  <c r="A103" i="20"/>
  <c r="C102" i="20"/>
  <c r="A102" i="20"/>
  <c r="C101" i="20"/>
  <c r="A101" i="20"/>
  <c r="C100" i="20"/>
  <c r="A100" i="20"/>
  <c r="C99" i="20"/>
  <c r="A99" i="20"/>
  <c r="C98" i="20"/>
  <c r="A98" i="20"/>
  <c r="C97" i="20"/>
  <c r="A97" i="20"/>
  <c r="C96" i="20"/>
  <c r="A96" i="20"/>
  <c r="C95" i="20"/>
  <c r="A95" i="20"/>
  <c r="C94" i="20"/>
  <c r="A94" i="20"/>
  <c r="C93" i="20"/>
  <c r="A93" i="20"/>
  <c r="C92" i="20"/>
  <c r="A92" i="20"/>
  <c r="C91" i="20"/>
  <c r="A91" i="20"/>
  <c r="C90" i="20"/>
  <c r="A90" i="20"/>
  <c r="C89" i="20"/>
  <c r="A89" i="20"/>
  <c r="C88" i="20"/>
  <c r="A88" i="20"/>
  <c r="C87" i="20"/>
  <c r="A87" i="20"/>
  <c r="C86" i="20"/>
  <c r="A86" i="20"/>
  <c r="C85" i="20"/>
  <c r="A85" i="20"/>
  <c r="C84" i="20"/>
  <c r="A84" i="20"/>
  <c r="C83" i="20"/>
  <c r="A83" i="20"/>
  <c r="C82" i="20"/>
  <c r="A82" i="20"/>
  <c r="C81" i="20"/>
  <c r="A81" i="20"/>
  <c r="C80" i="20"/>
  <c r="A80" i="20"/>
  <c r="C79" i="20"/>
  <c r="A79" i="20"/>
  <c r="C78" i="20"/>
  <c r="A78" i="20"/>
  <c r="C77" i="20"/>
  <c r="A77" i="20"/>
  <c r="C76" i="20"/>
  <c r="A76" i="20"/>
  <c r="C75" i="20"/>
  <c r="A75" i="20"/>
  <c r="C74" i="20"/>
  <c r="A74" i="20"/>
  <c r="C73" i="20"/>
  <c r="A73" i="20"/>
  <c r="C72" i="20"/>
  <c r="A72" i="20"/>
  <c r="C71" i="20"/>
  <c r="A71" i="20"/>
  <c r="C70" i="20"/>
  <c r="A70" i="20"/>
  <c r="C69" i="20"/>
  <c r="A69" i="20"/>
  <c r="C68" i="20"/>
  <c r="A68" i="20"/>
  <c r="C67" i="20"/>
  <c r="A67" i="20"/>
  <c r="C66" i="20"/>
  <c r="A66" i="20"/>
  <c r="C65" i="20"/>
  <c r="A65" i="20"/>
  <c r="C64" i="20"/>
  <c r="A64" i="20"/>
  <c r="C63" i="20"/>
  <c r="A63" i="20"/>
  <c r="C62" i="20"/>
  <c r="A62" i="20"/>
  <c r="C61" i="20"/>
  <c r="A61" i="20"/>
  <c r="C60" i="20"/>
  <c r="A60" i="20"/>
  <c r="C59" i="20"/>
  <c r="A59" i="20"/>
  <c r="C58" i="20"/>
  <c r="A58" i="20"/>
  <c r="C57" i="20"/>
  <c r="A57" i="20"/>
  <c r="C56" i="20"/>
  <c r="A56" i="20"/>
  <c r="C55" i="20"/>
  <c r="A55" i="20"/>
  <c r="C54" i="20"/>
  <c r="A54" i="20"/>
  <c r="C53" i="20"/>
  <c r="A53" i="20"/>
  <c r="C52" i="20"/>
  <c r="A52" i="20"/>
  <c r="C51" i="20"/>
  <c r="A51" i="20"/>
  <c r="C50" i="20"/>
  <c r="A50" i="20"/>
  <c r="C49" i="20"/>
  <c r="A49" i="20"/>
  <c r="C48" i="20"/>
  <c r="A48" i="20"/>
  <c r="C47" i="20"/>
  <c r="A47" i="20"/>
  <c r="C46" i="20"/>
  <c r="A46" i="20"/>
  <c r="C45" i="20"/>
  <c r="A45" i="20"/>
  <c r="C44" i="20"/>
  <c r="A44" i="20"/>
  <c r="C43" i="20"/>
  <c r="A43" i="20"/>
  <c r="C42" i="20"/>
  <c r="A42" i="20"/>
  <c r="C41" i="20"/>
  <c r="A41" i="20"/>
  <c r="C40" i="20"/>
  <c r="A40" i="20"/>
  <c r="C39" i="20"/>
  <c r="A39" i="20"/>
  <c r="C38" i="20"/>
  <c r="A38" i="20"/>
  <c r="C37" i="20"/>
  <c r="A37" i="20"/>
  <c r="C36" i="20"/>
  <c r="A36" i="20"/>
  <c r="C35" i="20"/>
  <c r="A35" i="20"/>
  <c r="C34" i="20"/>
  <c r="A34" i="20"/>
  <c r="C33" i="20"/>
  <c r="A33" i="20"/>
  <c r="C32" i="20"/>
  <c r="A32" i="20"/>
  <c r="C31" i="20"/>
  <c r="A31" i="20"/>
  <c r="C30" i="20"/>
  <c r="A30" i="20"/>
  <c r="C29" i="20"/>
  <c r="A29" i="20"/>
  <c r="C28" i="20"/>
  <c r="A28" i="20"/>
  <c r="C27" i="20"/>
  <c r="A27" i="20"/>
  <c r="C26" i="20"/>
  <c r="A26" i="20"/>
  <c r="C25" i="20"/>
  <c r="A25" i="20"/>
  <c r="C24" i="20"/>
  <c r="A24" i="20"/>
  <c r="C23" i="20"/>
  <c r="A23" i="20"/>
  <c r="C22" i="20"/>
  <c r="A22" i="20"/>
  <c r="C21" i="20"/>
  <c r="A21" i="20"/>
  <c r="C20" i="20"/>
  <c r="A20" i="20"/>
  <c r="C19" i="20"/>
  <c r="A19" i="20"/>
  <c r="C18" i="20"/>
  <c r="A18" i="20"/>
  <c r="C17" i="20"/>
  <c r="A17" i="20"/>
  <c r="C16" i="20"/>
  <c r="A16" i="20"/>
  <c r="C15" i="20"/>
  <c r="A15" i="20"/>
  <c r="C14" i="20"/>
  <c r="A14" i="20"/>
  <c r="C13" i="20"/>
  <c r="A13" i="20"/>
  <c r="C12" i="20"/>
  <c r="A12" i="20"/>
  <c r="C11" i="20"/>
  <c r="A11" i="20"/>
  <c r="C10" i="20"/>
  <c r="A10" i="20"/>
  <c r="C9" i="20"/>
  <c r="A9" i="20"/>
  <c r="C8" i="20"/>
  <c r="A8" i="20"/>
  <c r="C7" i="20"/>
  <c r="A7" i="20"/>
  <c r="C6" i="20"/>
  <c r="A6" i="20"/>
  <c r="C5" i="20"/>
  <c r="A5" i="20"/>
  <c r="C4" i="20"/>
  <c r="A4" i="20"/>
  <c r="C3" i="20"/>
  <c r="A3" i="20"/>
  <c r="C2" i="20"/>
  <c r="A2" i="20"/>
  <c r="I38" i="21" l="1"/>
  <c r="Q38" i="21"/>
  <c r="Y38" i="21"/>
  <c r="AG38" i="21"/>
  <c r="AW38" i="21"/>
  <c r="BE38" i="21"/>
  <c r="BM38" i="21"/>
  <c r="BU38" i="21"/>
  <c r="CC38" i="21"/>
  <c r="CK38" i="21"/>
  <c r="CS38" i="21"/>
  <c r="CL38" i="21"/>
  <c r="M38" i="21"/>
  <c r="AC38" i="21"/>
  <c r="AS38" i="21"/>
  <c r="BI38" i="21"/>
  <c r="BY38" i="21"/>
  <c r="CO38" i="21"/>
  <c r="F38" i="21"/>
  <c r="V38" i="21"/>
  <c r="AL38" i="21"/>
  <c r="BB38" i="21"/>
  <c r="BR38" i="21"/>
  <c r="BZ38" i="21"/>
  <c r="CP38" i="21"/>
  <c r="G38" i="21"/>
  <c r="O38" i="21"/>
  <c r="W38" i="21"/>
  <c r="AE38" i="21"/>
  <c r="AM38" i="21"/>
  <c r="AU38" i="21"/>
  <c r="BC38" i="21"/>
  <c r="BK38" i="21"/>
  <c r="BS38" i="21"/>
  <c r="CA38" i="21"/>
  <c r="CI38" i="21"/>
  <c r="CQ38" i="21"/>
  <c r="E38" i="21"/>
  <c r="U38" i="21"/>
  <c r="AK38" i="21"/>
  <c r="BA38" i="21"/>
  <c r="BQ38" i="21"/>
  <c r="CG38" i="21"/>
  <c r="CW38" i="21"/>
  <c r="N38" i="21"/>
  <c r="AD38" i="21"/>
  <c r="AT38" i="21"/>
  <c r="BJ38" i="21"/>
  <c r="CH38" i="21"/>
  <c r="CX38" i="21"/>
  <c r="H38" i="21"/>
  <c r="P38" i="21"/>
  <c r="X38" i="21"/>
  <c r="AF38" i="21"/>
  <c r="AN38" i="21"/>
  <c r="AV38" i="21"/>
  <c r="BD38" i="21"/>
  <c r="BL38" i="21"/>
  <c r="BT38" i="21"/>
  <c r="CB38" i="21"/>
  <c r="CJ38" i="21"/>
  <c r="CR38" i="21"/>
  <c r="AO38" i="21"/>
  <c r="C184" i="18"/>
  <c r="C183" i="18"/>
  <c r="C182" i="18"/>
  <c r="C181" i="18"/>
  <c r="C180" i="18"/>
  <c r="C179" i="18"/>
  <c r="C178" i="18"/>
  <c r="C177" i="18"/>
  <c r="C176" i="18"/>
  <c r="C175" i="18"/>
  <c r="C174" i="18"/>
  <c r="C173" i="18"/>
  <c r="C172" i="18"/>
  <c r="C171" i="18"/>
  <c r="B171" i="18"/>
  <c r="C170" i="18"/>
  <c r="C169" i="18"/>
  <c r="C168" i="18"/>
  <c r="C167" i="18"/>
  <c r="C166" i="18"/>
  <c r="C165" i="18"/>
  <c r="C164" i="18"/>
  <c r="B164" i="18"/>
  <c r="C163" i="18"/>
  <c r="C162" i="18"/>
  <c r="C161" i="18"/>
  <c r="B161" i="18"/>
  <c r="C160" i="18"/>
  <c r="B160" i="18"/>
  <c r="C159" i="18"/>
  <c r="B159" i="18"/>
  <c r="C158" i="18"/>
  <c r="C157" i="18"/>
  <c r="C156" i="18"/>
  <c r="C155" i="18"/>
  <c r="B155" i="18"/>
  <c r="C154" i="18"/>
  <c r="C153" i="18"/>
  <c r="C152" i="18"/>
  <c r="C151" i="18"/>
  <c r="C150" i="18"/>
  <c r="C149" i="18"/>
  <c r="C148" i="18"/>
  <c r="C147" i="18"/>
  <c r="C146" i="18"/>
  <c r="C145" i="18"/>
  <c r="C144" i="18"/>
  <c r="C143" i="18"/>
  <c r="C142" i="18"/>
  <c r="C141" i="18"/>
  <c r="C140" i="18"/>
  <c r="C139" i="18"/>
  <c r="B139" i="18"/>
  <c r="C138" i="18"/>
  <c r="B138" i="18"/>
  <c r="C137" i="18"/>
  <c r="B137" i="18"/>
  <c r="C136" i="18"/>
  <c r="B136" i="18"/>
  <c r="C135" i="18"/>
  <c r="B135" i="18"/>
  <c r="C134" i="18"/>
  <c r="C133" i="18"/>
  <c r="C132" i="18"/>
  <c r="C131" i="18"/>
  <c r="C130" i="18"/>
  <c r="C129" i="18"/>
  <c r="C128" i="18"/>
  <c r="C127" i="18"/>
  <c r="C126" i="18"/>
  <c r="C125" i="18"/>
  <c r="C124" i="18"/>
  <c r="C123" i="18"/>
  <c r="C122" i="18"/>
  <c r="C121" i="18"/>
  <c r="C120" i="18"/>
  <c r="C119" i="18"/>
  <c r="C118" i="18"/>
  <c r="C117" i="18"/>
  <c r="C116" i="18"/>
  <c r="C115" i="18"/>
  <c r="C114" i="18"/>
  <c r="C113" i="18"/>
  <c r="C112" i="18"/>
  <c r="C111" i="18"/>
  <c r="C110" i="18"/>
  <c r="C109" i="18"/>
  <c r="C108" i="18"/>
  <c r="B108" i="18"/>
  <c r="C107" i="18"/>
  <c r="C106" i="18"/>
  <c r="C105" i="18"/>
  <c r="B105" i="18"/>
  <c r="C104" i="18"/>
  <c r="C103" i="18"/>
  <c r="C102" i="18"/>
  <c r="B102" i="18"/>
  <c r="C101" i="18"/>
  <c r="C100" i="18"/>
  <c r="C99" i="18"/>
  <c r="C98" i="18"/>
  <c r="C97" i="18"/>
  <c r="B97" i="18"/>
  <c r="C96" i="18"/>
  <c r="C95" i="18"/>
  <c r="C94" i="18"/>
  <c r="C93" i="18"/>
  <c r="C92" i="18"/>
  <c r="C91" i="18"/>
  <c r="C90" i="18"/>
  <c r="C89" i="18"/>
  <c r="C88" i="18"/>
  <c r="C87" i="18"/>
  <c r="C86" i="18"/>
  <c r="C85" i="18"/>
  <c r="C84" i="18"/>
  <c r="C83" i="18"/>
  <c r="C82" i="18"/>
  <c r="C81" i="18"/>
  <c r="C80" i="18"/>
  <c r="C79" i="18"/>
  <c r="C78" i="18"/>
  <c r="C77" i="18"/>
  <c r="C76" i="18"/>
  <c r="C75" i="18"/>
  <c r="C74" i="18"/>
  <c r="C73" i="18"/>
  <c r="C72" i="18"/>
  <c r="C71" i="18"/>
  <c r="C70" i="18"/>
  <c r="C69" i="18"/>
  <c r="C68" i="18"/>
  <c r="C67" i="18"/>
  <c r="C66" i="18"/>
  <c r="C65" i="18"/>
  <c r="C64" i="18"/>
  <c r="C63" i="18"/>
  <c r="B63" i="18"/>
  <c r="C62" i="18"/>
  <c r="C61" i="18"/>
  <c r="C60" i="18"/>
  <c r="C59" i="18"/>
  <c r="C58" i="18"/>
  <c r="C57" i="18"/>
  <c r="B57" i="18"/>
  <c r="C56" i="18"/>
  <c r="C55" i="18"/>
  <c r="C54" i="18"/>
  <c r="C53" i="18"/>
  <c r="C52" i="18"/>
  <c r="C51" i="18"/>
  <c r="B51" i="18"/>
  <c r="C50" i="18"/>
  <c r="C49" i="18"/>
  <c r="C48" i="18"/>
  <c r="C47" i="18"/>
  <c r="C46" i="18"/>
  <c r="C45" i="18"/>
  <c r="B45" i="18"/>
  <c r="C44" i="18"/>
  <c r="C43" i="18"/>
  <c r="C42" i="18"/>
  <c r="C41" i="18"/>
  <c r="C40" i="18"/>
  <c r="C39" i="18"/>
  <c r="B39" i="18"/>
  <c r="C38" i="18"/>
  <c r="C37" i="18"/>
  <c r="C36" i="18"/>
  <c r="C35" i="18"/>
  <c r="C34" i="18"/>
  <c r="C33" i="18"/>
  <c r="B33" i="18"/>
  <c r="C32" i="18"/>
  <c r="C31" i="18"/>
  <c r="C30" i="18"/>
  <c r="C29" i="18"/>
  <c r="C28" i="18"/>
  <c r="C27" i="18"/>
  <c r="B27" i="18"/>
  <c r="C26" i="18"/>
  <c r="C25" i="18"/>
  <c r="C24" i="18"/>
  <c r="C23" i="18"/>
  <c r="C22" i="18"/>
  <c r="C21" i="18"/>
  <c r="B21" i="18"/>
  <c r="C20" i="18"/>
  <c r="C19" i="18"/>
  <c r="C18" i="18"/>
  <c r="C17" i="18"/>
  <c r="C16" i="18"/>
  <c r="C15" i="18"/>
  <c r="B15" i="18"/>
  <c r="C14" i="18"/>
  <c r="C13" i="18"/>
  <c r="C12" i="18"/>
  <c r="C11" i="18"/>
  <c r="C10" i="18"/>
  <c r="C9" i="18"/>
  <c r="B9" i="18"/>
  <c r="C8" i="18"/>
  <c r="C7" i="18"/>
  <c r="C6" i="18"/>
  <c r="B6" i="18"/>
  <c r="C5" i="18"/>
  <c r="C4" i="18"/>
  <c r="C3" i="18"/>
  <c r="B3" i="18"/>
  <c r="L3" i="5" l="1"/>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2" i="5"/>
  <c r="K4" i="7" l="1"/>
  <c r="K5" i="7"/>
  <c r="C183" i="17"/>
  <c r="A183" i="17"/>
  <c r="C182" i="17"/>
  <c r="A182" i="17"/>
  <c r="C181" i="17"/>
  <c r="A181" i="17"/>
  <c r="C180" i="17"/>
  <c r="A180" i="17"/>
  <c r="C179" i="17"/>
  <c r="A179" i="17"/>
  <c r="C178" i="17"/>
  <c r="A178" i="17"/>
  <c r="C177" i="17"/>
  <c r="A177" i="17"/>
  <c r="C176" i="17"/>
  <c r="A176" i="17"/>
  <c r="C175" i="17"/>
  <c r="A175" i="17"/>
  <c r="C174" i="17"/>
  <c r="A174" i="17"/>
  <c r="C173" i="17"/>
  <c r="A173" i="17"/>
  <c r="C172" i="17"/>
  <c r="A172" i="17"/>
  <c r="C171" i="17"/>
  <c r="A171" i="17"/>
  <c r="C170" i="17"/>
  <c r="A170" i="17"/>
  <c r="C169" i="17"/>
  <c r="A169" i="17"/>
  <c r="C168" i="17"/>
  <c r="A168" i="17"/>
  <c r="C167" i="17"/>
  <c r="A167" i="17"/>
  <c r="C166" i="17"/>
  <c r="A166" i="17"/>
  <c r="C165" i="17"/>
  <c r="A165" i="17"/>
  <c r="C164" i="17"/>
  <c r="A164" i="17"/>
  <c r="C163" i="17"/>
  <c r="A163" i="17"/>
  <c r="C162" i="17"/>
  <c r="A162" i="17"/>
  <c r="C161" i="17"/>
  <c r="A161" i="17"/>
  <c r="C160" i="17"/>
  <c r="A160" i="17"/>
  <c r="C159" i="17"/>
  <c r="A159" i="17"/>
  <c r="C158" i="17"/>
  <c r="A158" i="17"/>
  <c r="C157" i="17"/>
  <c r="A157" i="17"/>
  <c r="C156" i="17"/>
  <c r="A156" i="17"/>
  <c r="C155" i="17"/>
  <c r="A155" i="17"/>
  <c r="C154" i="17"/>
  <c r="A154" i="17"/>
  <c r="C153" i="17"/>
  <c r="A153" i="17"/>
  <c r="C152" i="17"/>
  <c r="A152" i="17"/>
  <c r="C151" i="17"/>
  <c r="A151" i="17"/>
  <c r="C150" i="17"/>
  <c r="A150" i="17"/>
  <c r="C149" i="17"/>
  <c r="A149" i="17"/>
  <c r="C148" i="17"/>
  <c r="A148" i="17"/>
  <c r="C147" i="17"/>
  <c r="A147" i="17"/>
  <c r="C146" i="17"/>
  <c r="A146" i="17"/>
  <c r="C145" i="17"/>
  <c r="A145" i="17"/>
  <c r="C144" i="17"/>
  <c r="A144" i="17"/>
  <c r="C143" i="17"/>
  <c r="A143" i="17"/>
  <c r="C142" i="17"/>
  <c r="A142" i="17"/>
  <c r="C141" i="17"/>
  <c r="A141" i="17"/>
  <c r="C140" i="17"/>
  <c r="A140" i="17"/>
  <c r="C139" i="17"/>
  <c r="A139" i="17"/>
  <c r="C138" i="17"/>
  <c r="A138" i="17"/>
  <c r="C137" i="17"/>
  <c r="A137" i="17"/>
  <c r="C136" i="17"/>
  <c r="A136" i="17"/>
  <c r="C135" i="17"/>
  <c r="A135" i="17"/>
  <c r="C134" i="17"/>
  <c r="A134" i="17"/>
  <c r="C133" i="17"/>
  <c r="A133" i="17"/>
  <c r="C132" i="17"/>
  <c r="A132" i="17"/>
  <c r="C131" i="17"/>
  <c r="A131" i="17"/>
  <c r="C130" i="17"/>
  <c r="A130" i="17"/>
  <c r="C129" i="17"/>
  <c r="A129" i="17"/>
  <c r="C128" i="17"/>
  <c r="A128" i="17"/>
  <c r="C127" i="17"/>
  <c r="A127" i="17"/>
  <c r="C126" i="17"/>
  <c r="A126" i="17"/>
  <c r="C125" i="17"/>
  <c r="A125" i="17"/>
  <c r="C124" i="17"/>
  <c r="A124" i="17"/>
  <c r="C123" i="17"/>
  <c r="A123" i="17"/>
  <c r="C122" i="17"/>
  <c r="A122" i="17"/>
  <c r="C121" i="17"/>
  <c r="A121" i="17"/>
  <c r="C120" i="17"/>
  <c r="A120" i="17"/>
  <c r="C119" i="17"/>
  <c r="A119" i="17"/>
  <c r="C118" i="17"/>
  <c r="A118" i="17"/>
  <c r="C117" i="17"/>
  <c r="A117" i="17"/>
  <c r="C116" i="17"/>
  <c r="A116" i="17"/>
  <c r="C115" i="17"/>
  <c r="A115" i="17"/>
  <c r="C114" i="17"/>
  <c r="A114" i="17"/>
  <c r="C113" i="17"/>
  <c r="A113" i="17"/>
  <c r="C112" i="17"/>
  <c r="A112" i="17"/>
  <c r="C111" i="17"/>
  <c r="A111" i="17"/>
  <c r="C110" i="17"/>
  <c r="A110" i="17"/>
  <c r="C109" i="17"/>
  <c r="A109" i="17"/>
  <c r="C108" i="17"/>
  <c r="A108" i="17"/>
  <c r="C107" i="17"/>
  <c r="A107" i="17"/>
  <c r="C106" i="17"/>
  <c r="A106" i="17"/>
  <c r="C105" i="17"/>
  <c r="A105" i="17"/>
  <c r="C104" i="17"/>
  <c r="A104" i="17"/>
  <c r="C103" i="17"/>
  <c r="A103" i="17"/>
  <c r="C102" i="17"/>
  <c r="A102" i="17"/>
  <c r="C101" i="17"/>
  <c r="A101" i="17"/>
  <c r="C100" i="17"/>
  <c r="A100" i="17"/>
  <c r="C99" i="17"/>
  <c r="A99" i="17"/>
  <c r="C98" i="17"/>
  <c r="A98" i="17"/>
  <c r="C97" i="17"/>
  <c r="A97" i="17"/>
  <c r="C96" i="17"/>
  <c r="A96" i="17"/>
  <c r="C95" i="17"/>
  <c r="A95" i="17"/>
  <c r="C94" i="17"/>
  <c r="A94" i="17"/>
  <c r="C93" i="17"/>
  <c r="A93" i="17"/>
  <c r="C92" i="17"/>
  <c r="A92" i="17"/>
  <c r="C91" i="17"/>
  <c r="A91" i="17"/>
  <c r="C90" i="17"/>
  <c r="A90" i="17"/>
  <c r="C89" i="17"/>
  <c r="A89" i="17"/>
  <c r="C88" i="17"/>
  <c r="A88" i="17"/>
  <c r="C87" i="17"/>
  <c r="A87" i="17"/>
  <c r="C86" i="17"/>
  <c r="A86" i="17"/>
  <c r="C85" i="17"/>
  <c r="A85" i="17"/>
  <c r="C84" i="17"/>
  <c r="A84" i="17"/>
  <c r="C83" i="17"/>
  <c r="A83" i="17"/>
  <c r="C82" i="17"/>
  <c r="A82" i="17"/>
  <c r="C81" i="17"/>
  <c r="A81" i="17"/>
  <c r="C80" i="17"/>
  <c r="A80" i="17"/>
  <c r="C79" i="17"/>
  <c r="A79" i="17"/>
  <c r="C78" i="17"/>
  <c r="A78" i="17"/>
  <c r="C77" i="17"/>
  <c r="A77" i="17"/>
  <c r="C76" i="17"/>
  <c r="A76" i="17"/>
  <c r="C75" i="17"/>
  <c r="A75" i="17"/>
  <c r="C74" i="17"/>
  <c r="A74" i="17"/>
  <c r="C73" i="17"/>
  <c r="A73" i="17"/>
  <c r="C72" i="17"/>
  <c r="A72" i="17"/>
  <c r="C71" i="17"/>
  <c r="A71" i="17"/>
  <c r="C70" i="17"/>
  <c r="A70" i="17"/>
  <c r="C69" i="17"/>
  <c r="A69" i="17"/>
  <c r="C68" i="17"/>
  <c r="A68" i="17"/>
  <c r="C67" i="17"/>
  <c r="A67" i="17"/>
  <c r="C66" i="17"/>
  <c r="A66" i="17"/>
  <c r="C65" i="17"/>
  <c r="A65" i="17"/>
  <c r="C64" i="17"/>
  <c r="A64" i="17"/>
  <c r="C63" i="17"/>
  <c r="A63" i="17"/>
  <c r="C62" i="17"/>
  <c r="A62" i="17"/>
  <c r="C61" i="17"/>
  <c r="A61" i="17"/>
  <c r="C60" i="17"/>
  <c r="A60" i="17"/>
  <c r="C59" i="17"/>
  <c r="A59" i="17"/>
  <c r="C58" i="17"/>
  <c r="A58" i="17"/>
  <c r="C57" i="17"/>
  <c r="A57" i="17"/>
  <c r="C56" i="17"/>
  <c r="A56" i="17"/>
  <c r="C55" i="17"/>
  <c r="A55" i="17"/>
  <c r="C54" i="17"/>
  <c r="A54" i="17"/>
  <c r="C53" i="17"/>
  <c r="A53" i="17"/>
  <c r="C52" i="17"/>
  <c r="A52" i="17"/>
  <c r="C51" i="17"/>
  <c r="A51" i="17"/>
  <c r="C50" i="17"/>
  <c r="A50" i="17"/>
  <c r="C49" i="17"/>
  <c r="A49" i="17"/>
  <c r="C48" i="17"/>
  <c r="A48" i="17"/>
  <c r="C47" i="17"/>
  <c r="A47" i="17"/>
  <c r="C46" i="17"/>
  <c r="A46" i="17"/>
  <c r="C45" i="17"/>
  <c r="A45" i="17"/>
  <c r="C44" i="17"/>
  <c r="A44" i="17"/>
  <c r="C43" i="17"/>
  <c r="A43" i="17"/>
  <c r="C42" i="17"/>
  <c r="A42" i="17"/>
  <c r="C41" i="17"/>
  <c r="A41" i="17"/>
  <c r="C40" i="17"/>
  <c r="A40" i="17"/>
  <c r="C39" i="17"/>
  <c r="A39" i="17"/>
  <c r="C38" i="17"/>
  <c r="A38" i="17"/>
  <c r="C37" i="17"/>
  <c r="A37" i="17"/>
  <c r="C36" i="17"/>
  <c r="A36" i="17"/>
  <c r="C35" i="17"/>
  <c r="A35" i="17"/>
  <c r="C34" i="17"/>
  <c r="A34" i="17"/>
  <c r="C33" i="17"/>
  <c r="A33" i="17"/>
  <c r="C32" i="17"/>
  <c r="A32" i="17"/>
  <c r="C31" i="17"/>
  <c r="A31" i="17"/>
  <c r="C30" i="17"/>
  <c r="A30" i="17"/>
  <c r="C29" i="17"/>
  <c r="A29" i="17"/>
  <c r="C28" i="17"/>
  <c r="A28" i="17"/>
  <c r="C27" i="17"/>
  <c r="A27" i="17"/>
  <c r="C26" i="17"/>
  <c r="A26" i="17"/>
  <c r="C25" i="17"/>
  <c r="A25" i="17"/>
  <c r="C24" i="17"/>
  <c r="A24" i="17"/>
  <c r="C23" i="17"/>
  <c r="A23" i="17"/>
  <c r="C22" i="17"/>
  <c r="A22" i="17"/>
  <c r="C21" i="17"/>
  <c r="A21" i="17"/>
  <c r="C20" i="17"/>
  <c r="A20" i="17"/>
  <c r="C19" i="17"/>
  <c r="A19" i="17"/>
  <c r="C18" i="17"/>
  <c r="A18" i="17"/>
  <c r="C17" i="17"/>
  <c r="A17" i="17"/>
  <c r="C16" i="17"/>
  <c r="A16" i="17"/>
  <c r="C15" i="17"/>
  <c r="A15" i="17"/>
  <c r="C14" i="17"/>
  <c r="A14" i="17"/>
  <c r="C13" i="17"/>
  <c r="A13" i="17"/>
  <c r="C12" i="17"/>
  <c r="A12" i="17"/>
  <c r="C11" i="17"/>
  <c r="A11" i="17"/>
  <c r="C10" i="17"/>
  <c r="A10" i="17"/>
  <c r="C9" i="17"/>
  <c r="A9" i="17"/>
  <c r="C8" i="17"/>
  <c r="A8" i="17"/>
  <c r="C7" i="17"/>
  <c r="A7" i="17"/>
  <c r="C6" i="17"/>
  <c r="A6" i="17"/>
  <c r="C5" i="17"/>
  <c r="A5" i="17"/>
  <c r="C4" i="17"/>
  <c r="A4" i="17"/>
  <c r="C3" i="17"/>
  <c r="A3" i="17"/>
  <c r="C2" i="17"/>
  <c r="A2" i="17"/>
  <c r="E14" i="6"/>
  <c r="L14" i="6" s="1"/>
  <c r="E20" i="6"/>
  <c r="L20" i="6" s="1"/>
  <c r="E26" i="6"/>
  <c r="L26" i="6" s="1"/>
  <c r="E32" i="6"/>
  <c r="L32" i="6" s="1"/>
  <c r="E38" i="6"/>
  <c r="L38" i="6" s="1"/>
  <c r="E44" i="6"/>
  <c r="L44" i="6" s="1"/>
  <c r="E50" i="6"/>
  <c r="L50" i="6" s="1"/>
  <c r="E56" i="6"/>
  <c r="L56" i="6" s="1"/>
  <c r="E62" i="6"/>
  <c r="L62" i="6" s="1"/>
  <c r="E96" i="6"/>
  <c r="L96" i="6" s="1"/>
  <c r="E101" i="6"/>
  <c r="L101" i="6" s="1"/>
  <c r="E104" i="6"/>
  <c r="L104" i="6" s="1"/>
  <c r="E107" i="6"/>
  <c r="L107" i="6" s="1"/>
  <c r="E134" i="6"/>
  <c r="L134" i="6" s="1"/>
  <c r="E135" i="6"/>
  <c r="L135" i="6" s="1"/>
  <c r="E136" i="6"/>
  <c r="L136" i="6" s="1"/>
  <c r="E137" i="6"/>
  <c r="L137" i="6" s="1"/>
  <c r="E138" i="6"/>
  <c r="L138" i="6" s="1"/>
  <c r="E154" i="6"/>
  <c r="L154" i="6" s="1"/>
  <c r="E158" i="6"/>
  <c r="L158" i="6" s="1"/>
  <c r="E159" i="6"/>
  <c r="L159" i="6" s="1"/>
  <c r="E160" i="6"/>
  <c r="L160" i="6" s="1"/>
  <c r="E163" i="6"/>
  <c r="L163" i="6" s="1"/>
  <c r="E170" i="6"/>
  <c r="L170" i="6" s="1"/>
  <c r="E2" i="6"/>
  <c r="L2" i="6" s="1"/>
  <c r="B3" i="8"/>
  <c r="C183" i="16"/>
  <c r="C182" i="16"/>
  <c r="C181" i="16"/>
  <c r="C180" i="16"/>
  <c r="C179" i="16"/>
  <c r="C178" i="16"/>
  <c r="C177" i="16"/>
  <c r="C176" i="16"/>
  <c r="C175" i="16"/>
  <c r="C174" i="16"/>
  <c r="C173" i="16"/>
  <c r="C172" i="16"/>
  <c r="C171" i="16"/>
  <c r="C170" i="16"/>
  <c r="C169" i="16"/>
  <c r="C168" i="16"/>
  <c r="C167" i="16"/>
  <c r="C166" i="16"/>
  <c r="C165" i="16"/>
  <c r="C164" i="16"/>
  <c r="C163" i="16"/>
  <c r="B163" i="16"/>
  <c r="C162" i="16"/>
  <c r="C161" i="16"/>
  <c r="C160" i="16"/>
  <c r="B160" i="16"/>
  <c r="C159" i="16"/>
  <c r="B159" i="16"/>
  <c r="C158" i="16"/>
  <c r="B158" i="16"/>
  <c r="C157" i="16"/>
  <c r="C156" i="16"/>
  <c r="C155" i="16"/>
  <c r="C154" i="16"/>
  <c r="C153" i="16"/>
  <c r="C152" i="16"/>
  <c r="C151" i="16"/>
  <c r="C150" i="16"/>
  <c r="C149" i="16"/>
  <c r="C148" i="16"/>
  <c r="C147" i="16"/>
  <c r="C146" i="16"/>
  <c r="C145" i="16"/>
  <c r="C144" i="16"/>
  <c r="C143" i="16"/>
  <c r="C142" i="16"/>
  <c r="C141" i="16"/>
  <c r="C140" i="16"/>
  <c r="C139" i="16"/>
  <c r="C138" i="16"/>
  <c r="B138" i="16"/>
  <c r="C137" i="16"/>
  <c r="B137" i="16"/>
  <c r="C136" i="16"/>
  <c r="B136" i="16"/>
  <c r="C135" i="16"/>
  <c r="B135" i="16"/>
  <c r="C134" i="16"/>
  <c r="B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B107" i="16"/>
  <c r="C106" i="16"/>
  <c r="C105" i="16"/>
  <c r="C104" i="16"/>
  <c r="B104" i="16"/>
  <c r="C103" i="16"/>
  <c r="C102" i="16"/>
  <c r="C101" i="16"/>
  <c r="B101" i="16"/>
  <c r="C100" i="16"/>
  <c r="C99" i="16"/>
  <c r="C98" i="16"/>
  <c r="C97" i="16"/>
  <c r="C96" i="16"/>
  <c r="B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B62" i="16"/>
  <c r="C61" i="16"/>
  <c r="C60" i="16"/>
  <c r="C59" i="16"/>
  <c r="C58" i="16"/>
  <c r="C57" i="16"/>
  <c r="C56" i="16"/>
  <c r="B56" i="16"/>
  <c r="C55" i="16"/>
  <c r="C54" i="16"/>
  <c r="C53" i="16"/>
  <c r="C52" i="16"/>
  <c r="C51" i="16"/>
  <c r="C50" i="16"/>
  <c r="B50" i="16"/>
  <c r="C49" i="16"/>
  <c r="C48" i="16"/>
  <c r="C47" i="16"/>
  <c r="C46" i="16"/>
  <c r="C45" i="16"/>
  <c r="C44" i="16"/>
  <c r="B44" i="16"/>
  <c r="C43" i="16"/>
  <c r="C42" i="16"/>
  <c r="C41" i="16"/>
  <c r="C40" i="16"/>
  <c r="C39" i="16"/>
  <c r="C38" i="16"/>
  <c r="B38" i="16"/>
  <c r="C37" i="16"/>
  <c r="C36" i="16"/>
  <c r="C35" i="16"/>
  <c r="C34" i="16"/>
  <c r="C33" i="16"/>
  <c r="C32" i="16"/>
  <c r="B32" i="16"/>
  <c r="C31" i="16"/>
  <c r="C30" i="16"/>
  <c r="C29" i="16"/>
  <c r="C28" i="16"/>
  <c r="C27" i="16"/>
  <c r="C26" i="16"/>
  <c r="B26" i="16"/>
  <c r="C25" i="16"/>
  <c r="C24" i="16"/>
  <c r="C23" i="16"/>
  <c r="C22" i="16"/>
  <c r="C21" i="16"/>
  <c r="C20" i="16"/>
  <c r="B20" i="16"/>
  <c r="C19" i="16"/>
  <c r="C18" i="16"/>
  <c r="C17" i="16"/>
  <c r="C16" i="16"/>
  <c r="C15" i="16"/>
  <c r="C14" i="16"/>
  <c r="B14" i="16"/>
  <c r="C13" i="16"/>
  <c r="C12" i="16"/>
  <c r="C11" i="16"/>
  <c r="C10" i="16"/>
  <c r="C9" i="16"/>
  <c r="C8" i="16"/>
  <c r="B8" i="16"/>
  <c r="C7" i="16"/>
  <c r="C6" i="16"/>
  <c r="C5" i="16"/>
  <c r="C4" i="16"/>
  <c r="C3" i="16"/>
  <c r="C2" i="16"/>
  <c r="B2" i="16"/>
  <c r="B2" i="20" l="1"/>
  <c r="B2" i="17"/>
  <c r="B2" i="7"/>
  <c r="G2" i="7" s="1"/>
  <c r="D2" i="7"/>
  <c r="H2" i="7" l="1"/>
  <c r="F2" i="7"/>
  <c r="E2" i="7"/>
  <c r="B9" i="8"/>
  <c r="B15" i="8"/>
  <c r="B21" i="8"/>
  <c r="B27" i="8"/>
  <c r="B33" i="8"/>
  <c r="B39" i="8"/>
  <c r="B45" i="8"/>
  <c r="B51" i="8"/>
  <c r="B57" i="8"/>
  <c r="B63" i="8"/>
  <c r="B97" i="8"/>
  <c r="B102" i="8"/>
  <c r="B105" i="8"/>
  <c r="B108" i="8"/>
  <c r="B135" i="8"/>
  <c r="B136" i="8"/>
  <c r="B137" i="8"/>
  <c r="B138" i="8"/>
  <c r="B139" i="8"/>
  <c r="B159" i="8"/>
  <c r="B160" i="8"/>
  <c r="B161" i="8"/>
  <c r="B164" i="8"/>
  <c r="C4" i="6"/>
  <c r="C6" i="6"/>
  <c r="C7" i="6"/>
  <c r="C9" i="6"/>
  <c r="B10" i="18" s="1"/>
  <c r="C10" i="6"/>
  <c r="B11" i="18" s="1"/>
  <c r="C11" i="6"/>
  <c r="B12" i="18" s="1"/>
  <c r="C12" i="6"/>
  <c r="B13" i="18" s="1"/>
  <c r="C13" i="6"/>
  <c r="C15" i="6"/>
  <c r="B16" i="18" s="1"/>
  <c r="C16" i="6"/>
  <c r="B17" i="18" s="1"/>
  <c r="C17" i="6"/>
  <c r="B18" i="18" s="1"/>
  <c r="C18" i="6"/>
  <c r="B19" i="18" s="1"/>
  <c r="C19" i="6"/>
  <c r="C21" i="6"/>
  <c r="B22" i="18" s="1"/>
  <c r="C22" i="6"/>
  <c r="B23" i="18" s="1"/>
  <c r="C23" i="6"/>
  <c r="B24" i="18" s="1"/>
  <c r="C24" i="6"/>
  <c r="B25" i="18" s="1"/>
  <c r="C25" i="6"/>
  <c r="C27" i="6"/>
  <c r="B28" i="18" s="1"/>
  <c r="C28" i="6"/>
  <c r="B29" i="18" s="1"/>
  <c r="C29" i="6"/>
  <c r="B30" i="18" s="1"/>
  <c r="C30" i="6"/>
  <c r="B31" i="18" s="1"/>
  <c r="C31" i="6"/>
  <c r="C33" i="6"/>
  <c r="B34" i="18" s="1"/>
  <c r="C34" i="6"/>
  <c r="B35" i="18" s="1"/>
  <c r="C35" i="6"/>
  <c r="B36" i="18" s="1"/>
  <c r="C36" i="6"/>
  <c r="B37" i="18" s="1"/>
  <c r="C37" i="6"/>
  <c r="C39" i="6"/>
  <c r="B40" i="18" s="1"/>
  <c r="C40" i="6"/>
  <c r="B41" i="18" s="1"/>
  <c r="C41" i="6"/>
  <c r="B42" i="18" s="1"/>
  <c r="C42" i="6"/>
  <c r="B43" i="18" s="1"/>
  <c r="C43" i="6"/>
  <c r="C45" i="6"/>
  <c r="B46" i="18" s="1"/>
  <c r="C46" i="6"/>
  <c r="B47" i="18" s="1"/>
  <c r="C47" i="6"/>
  <c r="B48" i="18" s="1"/>
  <c r="C48" i="6"/>
  <c r="B49" i="18" s="1"/>
  <c r="C49" i="6"/>
  <c r="C51" i="6"/>
  <c r="B52" i="18" s="1"/>
  <c r="C52" i="6"/>
  <c r="B53" i="18" s="1"/>
  <c r="C53" i="6"/>
  <c r="B54" i="18" s="1"/>
  <c r="C54" i="6"/>
  <c r="B55" i="18" s="1"/>
  <c r="C55" i="6"/>
  <c r="C57" i="6"/>
  <c r="B58" i="18" s="1"/>
  <c r="C58" i="6"/>
  <c r="B59" i="18" s="1"/>
  <c r="C59" i="6"/>
  <c r="B60" i="18" s="1"/>
  <c r="C60" i="6"/>
  <c r="B61" i="18" s="1"/>
  <c r="C61" i="6"/>
  <c r="C63" i="6"/>
  <c r="B64" i="18" s="1"/>
  <c r="C64" i="6"/>
  <c r="B65" i="18" s="1"/>
  <c r="C65" i="6"/>
  <c r="B66" i="18" s="1"/>
  <c r="C66" i="6"/>
  <c r="B67" i="18" s="1"/>
  <c r="C67" i="6"/>
  <c r="C68" i="6"/>
  <c r="C69" i="6"/>
  <c r="B70" i="18" s="1"/>
  <c r="C70" i="6"/>
  <c r="B71" i="18" s="1"/>
  <c r="C71" i="6"/>
  <c r="B72" i="18" s="1"/>
  <c r="C72" i="6"/>
  <c r="B73" i="18" s="1"/>
  <c r="C73" i="6"/>
  <c r="B74" i="18" s="1"/>
  <c r="C74" i="6"/>
  <c r="B75" i="18" s="1"/>
  <c r="C75" i="6"/>
  <c r="B76" i="18" s="1"/>
  <c r="C76" i="6"/>
  <c r="B77" i="18" s="1"/>
  <c r="C77" i="6"/>
  <c r="B78" i="18" s="1"/>
  <c r="C78" i="6"/>
  <c r="B79" i="18" s="1"/>
  <c r="C79" i="6"/>
  <c r="B80" i="18" s="1"/>
  <c r="C80" i="6"/>
  <c r="B81" i="18" s="1"/>
  <c r="C81" i="6"/>
  <c r="B82" i="18" s="1"/>
  <c r="C82" i="6"/>
  <c r="B83" i="18" s="1"/>
  <c r="C83" i="6"/>
  <c r="B84" i="18" s="1"/>
  <c r="C84" i="6"/>
  <c r="B85" i="18" s="1"/>
  <c r="C85" i="6"/>
  <c r="B86" i="18" s="1"/>
  <c r="C86" i="6"/>
  <c r="B87" i="18" s="1"/>
  <c r="C87" i="6"/>
  <c r="B88" i="18" s="1"/>
  <c r="C88" i="6"/>
  <c r="B89" i="18" s="1"/>
  <c r="C89" i="6"/>
  <c r="B90" i="18" s="1"/>
  <c r="C90" i="6"/>
  <c r="B91" i="18" s="1"/>
  <c r="C91" i="6"/>
  <c r="B92" i="18" s="1"/>
  <c r="C92" i="6"/>
  <c r="B93" i="18" s="1"/>
  <c r="C93" i="6"/>
  <c r="B94" i="18" s="1"/>
  <c r="C94" i="6"/>
  <c r="B95" i="18" s="1"/>
  <c r="C95" i="6"/>
  <c r="B96" i="18" s="1"/>
  <c r="C97" i="6"/>
  <c r="B98" i="18" s="1"/>
  <c r="C98" i="6"/>
  <c r="B99" i="18" s="1"/>
  <c r="C99" i="6"/>
  <c r="B100" i="18" s="1"/>
  <c r="C100" i="6"/>
  <c r="B101" i="18" s="1"/>
  <c r="C102" i="6"/>
  <c r="B103" i="18" s="1"/>
  <c r="C103" i="6"/>
  <c r="B104" i="18" s="1"/>
  <c r="C105" i="6"/>
  <c r="B106" i="18" s="1"/>
  <c r="C106" i="6"/>
  <c r="B107" i="18" s="1"/>
  <c r="C108" i="6"/>
  <c r="B109" i="18" s="1"/>
  <c r="C109" i="6"/>
  <c r="B110" i="18" s="1"/>
  <c r="C110" i="6"/>
  <c r="B111" i="18" s="1"/>
  <c r="C111" i="6"/>
  <c r="B112" i="18" s="1"/>
  <c r="C112" i="6"/>
  <c r="B113" i="18" s="1"/>
  <c r="C113" i="6"/>
  <c r="B114" i="18" s="1"/>
  <c r="C114" i="6"/>
  <c r="B115" i="18" s="1"/>
  <c r="C115" i="6"/>
  <c r="B116" i="18" s="1"/>
  <c r="C116" i="6"/>
  <c r="B117" i="18" s="1"/>
  <c r="C117" i="6"/>
  <c r="B118" i="18" s="1"/>
  <c r="C118" i="6"/>
  <c r="B119" i="18" s="1"/>
  <c r="C119" i="6"/>
  <c r="B120" i="18" s="1"/>
  <c r="C120" i="6"/>
  <c r="B121" i="18" s="1"/>
  <c r="C121" i="6"/>
  <c r="B122" i="18" s="1"/>
  <c r="C122" i="6"/>
  <c r="B123" i="18" s="1"/>
  <c r="C123" i="6"/>
  <c r="B124" i="18" s="1"/>
  <c r="C124" i="6"/>
  <c r="B125" i="18" s="1"/>
  <c r="C125" i="6"/>
  <c r="B126" i="18" s="1"/>
  <c r="C126" i="6"/>
  <c r="B127" i="18" s="1"/>
  <c r="C127" i="6"/>
  <c r="B128" i="18" s="1"/>
  <c r="C128" i="6"/>
  <c r="B129" i="18" s="1"/>
  <c r="C129" i="6"/>
  <c r="B130" i="18" s="1"/>
  <c r="C130" i="6"/>
  <c r="B131" i="18" s="1"/>
  <c r="C131" i="6"/>
  <c r="B132" i="18" s="1"/>
  <c r="C132" i="6"/>
  <c r="B133" i="18" s="1"/>
  <c r="C133" i="6"/>
  <c r="B134" i="18" s="1"/>
  <c r="C139" i="6"/>
  <c r="B140" i="18" s="1"/>
  <c r="C140" i="6"/>
  <c r="B141" i="18" s="1"/>
  <c r="C141" i="6"/>
  <c r="B142" i="18" s="1"/>
  <c r="C142" i="6"/>
  <c r="B143" i="18" s="1"/>
  <c r="C143" i="6"/>
  <c r="B144" i="18" s="1"/>
  <c r="C144" i="6"/>
  <c r="B145" i="18" s="1"/>
  <c r="C145" i="6"/>
  <c r="B146" i="18" s="1"/>
  <c r="C146" i="6"/>
  <c r="B147" i="18" s="1"/>
  <c r="C147" i="6"/>
  <c r="B148" i="18" s="1"/>
  <c r="C148" i="6"/>
  <c r="B149" i="18" s="1"/>
  <c r="C149" i="6"/>
  <c r="B150" i="18" s="1"/>
  <c r="C150" i="6"/>
  <c r="B151" i="18" s="1"/>
  <c r="C151" i="6"/>
  <c r="B152" i="18" s="1"/>
  <c r="C152" i="6"/>
  <c r="B153" i="18" s="1"/>
  <c r="C153" i="6"/>
  <c r="B154" i="18" s="1"/>
  <c r="C155" i="6"/>
  <c r="B156" i="18" s="1"/>
  <c r="C156" i="6"/>
  <c r="B157" i="18" s="1"/>
  <c r="C157" i="6"/>
  <c r="B158" i="18" s="1"/>
  <c r="C161" i="6"/>
  <c r="B162" i="18" s="1"/>
  <c r="C162" i="6"/>
  <c r="B163" i="18" s="1"/>
  <c r="C164" i="6"/>
  <c r="B165" i="18" s="1"/>
  <c r="C165" i="6"/>
  <c r="B166" i="18" s="1"/>
  <c r="C166" i="6"/>
  <c r="B167" i="18" s="1"/>
  <c r="C167" i="6"/>
  <c r="B168" i="18" s="1"/>
  <c r="C168" i="6"/>
  <c r="B169" i="18" s="1"/>
  <c r="C169" i="6"/>
  <c r="B170" i="18" s="1"/>
  <c r="C171" i="6"/>
  <c r="B172" i="18" s="1"/>
  <c r="C172" i="6"/>
  <c r="B173" i="18" s="1"/>
  <c r="C173" i="6"/>
  <c r="B174" i="18" s="1"/>
  <c r="C174" i="6"/>
  <c r="B175" i="18" s="1"/>
  <c r="C175" i="6"/>
  <c r="B176" i="18" s="1"/>
  <c r="C176" i="6"/>
  <c r="B177" i="18" s="1"/>
  <c r="C177" i="6"/>
  <c r="B178" i="18" s="1"/>
  <c r="C178" i="6"/>
  <c r="B179" i="18" s="1"/>
  <c r="C179" i="6"/>
  <c r="B180" i="18" s="1"/>
  <c r="C180" i="6"/>
  <c r="B181" i="18" s="1"/>
  <c r="C181" i="6"/>
  <c r="B182" i="18" s="1"/>
  <c r="C182" i="6"/>
  <c r="B183" i="18" s="1"/>
  <c r="C183" i="6"/>
  <c r="B184" i="18" s="1"/>
  <c r="C3" i="6"/>
  <c r="E68" i="6" l="1"/>
  <c r="L68" i="6" s="1"/>
  <c r="B69" i="18"/>
  <c r="E61" i="6"/>
  <c r="L61" i="6" s="1"/>
  <c r="B62" i="18"/>
  <c r="E49" i="6"/>
  <c r="L49" i="6" s="1"/>
  <c r="B50" i="18"/>
  <c r="E37" i="6"/>
  <c r="L37" i="6" s="1"/>
  <c r="B38" i="18"/>
  <c r="E25" i="6"/>
  <c r="L25" i="6" s="1"/>
  <c r="B26" i="18"/>
  <c r="E13" i="6"/>
  <c r="L13" i="6" s="1"/>
  <c r="B14" i="18"/>
  <c r="E6" i="6"/>
  <c r="L6" i="6" s="1"/>
  <c r="B7" i="18"/>
  <c r="B163" i="20"/>
  <c r="B163" i="17"/>
  <c r="B163" i="7"/>
  <c r="B159" i="20"/>
  <c r="B159" i="17"/>
  <c r="B159" i="7"/>
  <c r="B138" i="20"/>
  <c r="B138" i="17"/>
  <c r="B138" i="7"/>
  <c r="B136" i="20"/>
  <c r="B136" i="17"/>
  <c r="B136" i="7"/>
  <c r="B134" i="20"/>
  <c r="B134" i="17"/>
  <c r="B134" i="7"/>
  <c r="B104" i="20"/>
  <c r="B104" i="17"/>
  <c r="B104" i="7"/>
  <c r="B96" i="20"/>
  <c r="B96" i="17"/>
  <c r="B96" i="7"/>
  <c r="B56" i="20"/>
  <c r="B56" i="17"/>
  <c r="B56" i="7"/>
  <c r="B44" i="20"/>
  <c r="B44" i="17"/>
  <c r="B44" i="7"/>
  <c r="B32" i="20"/>
  <c r="B32" i="17"/>
  <c r="B32" i="7"/>
  <c r="B20" i="20"/>
  <c r="B20" i="17"/>
  <c r="B20" i="7"/>
  <c r="B8" i="20"/>
  <c r="B8" i="17"/>
  <c r="B8" i="7"/>
  <c r="E3" i="6"/>
  <c r="L3" i="6" s="1"/>
  <c r="B4" i="18"/>
  <c r="E67" i="6"/>
  <c r="L67" i="6" s="1"/>
  <c r="B68" i="18"/>
  <c r="E55" i="6"/>
  <c r="L55" i="6" s="1"/>
  <c r="B56" i="18"/>
  <c r="E43" i="6"/>
  <c r="L43" i="6" s="1"/>
  <c r="B44" i="18"/>
  <c r="E31" i="6"/>
  <c r="L31" i="6" s="1"/>
  <c r="B32" i="18"/>
  <c r="E19" i="6"/>
  <c r="L19" i="6" s="1"/>
  <c r="B20" i="18"/>
  <c r="E7" i="6"/>
  <c r="L7" i="6" s="1"/>
  <c r="B8" i="18"/>
  <c r="E4" i="6"/>
  <c r="L4" i="6" s="1"/>
  <c r="B5" i="18"/>
  <c r="B160" i="20"/>
  <c r="B160" i="17"/>
  <c r="B160" i="7"/>
  <c r="B158" i="20"/>
  <c r="B158" i="17"/>
  <c r="B158" i="7"/>
  <c r="B137" i="20"/>
  <c r="B137" i="17"/>
  <c r="B137" i="7"/>
  <c r="B135" i="20"/>
  <c r="B135" i="17"/>
  <c r="B135" i="7"/>
  <c r="B107" i="20"/>
  <c r="B107" i="17"/>
  <c r="B107" i="7"/>
  <c r="B101" i="20"/>
  <c r="B101" i="17"/>
  <c r="B101" i="7"/>
  <c r="B62" i="20"/>
  <c r="B62" i="17"/>
  <c r="B62" i="7"/>
  <c r="B50" i="20"/>
  <c r="B50" i="17"/>
  <c r="B50" i="7"/>
  <c r="B38" i="20"/>
  <c r="B38" i="17"/>
  <c r="B38" i="7"/>
  <c r="B26" i="20"/>
  <c r="B26" i="17"/>
  <c r="B26" i="7"/>
  <c r="B14" i="20"/>
  <c r="B14" i="17"/>
  <c r="B14" i="7"/>
  <c r="B183" i="16"/>
  <c r="E183" i="6"/>
  <c r="L183" i="6" s="1"/>
  <c r="B179" i="16"/>
  <c r="E179" i="6"/>
  <c r="L179" i="6" s="1"/>
  <c r="B175" i="16"/>
  <c r="E175" i="6"/>
  <c r="L175" i="6" s="1"/>
  <c r="B171" i="16"/>
  <c r="E171" i="6"/>
  <c r="L171" i="6" s="1"/>
  <c r="B168" i="16"/>
  <c r="E168" i="6"/>
  <c r="L168" i="6" s="1"/>
  <c r="B166" i="16"/>
  <c r="E166" i="6"/>
  <c r="L166" i="6" s="1"/>
  <c r="B164" i="16"/>
  <c r="E164" i="6"/>
  <c r="L164" i="6" s="1"/>
  <c r="B161" i="16"/>
  <c r="E161" i="6"/>
  <c r="L161" i="6" s="1"/>
  <c r="B156" i="16"/>
  <c r="E156" i="6"/>
  <c r="L156" i="6" s="1"/>
  <c r="B153" i="16"/>
  <c r="E153" i="6"/>
  <c r="L153" i="6" s="1"/>
  <c r="B151" i="16"/>
  <c r="E151" i="6"/>
  <c r="L151" i="6" s="1"/>
  <c r="B149" i="16"/>
  <c r="E149" i="6"/>
  <c r="L149" i="6" s="1"/>
  <c r="B147" i="16"/>
  <c r="E147" i="6"/>
  <c r="L147" i="6" s="1"/>
  <c r="B145" i="16"/>
  <c r="E145" i="6"/>
  <c r="L145" i="6" s="1"/>
  <c r="B143" i="16"/>
  <c r="E143" i="6"/>
  <c r="L143" i="6" s="1"/>
  <c r="B141" i="16"/>
  <c r="E141" i="6"/>
  <c r="L141" i="6" s="1"/>
  <c r="B139" i="16"/>
  <c r="E139" i="6"/>
  <c r="L139" i="6" s="1"/>
  <c r="B132" i="16"/>
  <c r="E132" i="6"/>
  <c r="L132" i="6" s="1"/>
  <c r="B130" i="16"/>
  <c r="E130" i="6"/>
  <c r="L130" i="6" s="1"/>
  <c r="B128" i="16"/>
  <c r="E128" i="6"/>
  <c r="L128" i="6" s="1"/>
  <c r="B126" i="16"/>
  <c r="E126" i="6"/>
  <c r="L126" i="6" s="1"/>
  <c r="B124" i="16"/>
  <c r="E124" i="6"/>
  <c r="L124" i="6" s="1"/>
  <c r="B122" i="16"/>
  <c r="E122" i="6"/>
  <c r="L122" i="6" s="1"/>
  <c r="B120" i="16"/>
  <c r="E120" i="6"/>
  <c r="L120" i="6" s="1"/>
  <c r="B118" i="16"/>
  <c r="E118" i="6"/>
  <c r="L118" i="6" s="1"/>
  <c r="B116" i="16"/>
  <c r="E116" i="6"/>
  <c r="L116" i="6" s="1"/>
  <c r="B114" i="16"/>
  <c r="E114" i="6"/>
  <c r="L114" i="6" s="1"/>
  <c r="B112" i="16"/>
  <c r="E112" i="6"/>
  <c r="L112" i="6" s="1"/>
  <c r="B110" i="16"/>
  <c r="E110" i="6"/>
  <c r="L110" i="6" s="1"/>
  <c r="B108" i="16"/>
  <c r="E108" i="6"/>
  <c r="L108" i="6" s="1"/>
  <c r="B105" i="16"/>
  <c r="E105" i="6"/>
  <c r="L105" i="6" s="1"/>
  <c r="B102" i="16"/>
  <c r="E102" i="6"/>
  <c r="L102" i="6" s="1"/>
  <c r="B99" i="16"/>
  <c r="E99" i="6"/>
  <c r="L99" i="6" s="1"/>
  <c r="B97" i="16"/>
  <c r="E97" i="6"/>
  <c r="L97" i="6" s="1"/>
  <c r="B94" i="16"/>
  <c r="E94" i="6"/>
  <c r="L94" i="6" s="1"/>
  <c r="B92" i="16"/>
  <c r="E92" i="6"/>
  <c r="L92" i="6" s="1"/>
  <c r="B90" i="16"/>
  <c r="E90" i="6"/>
  <c r="L90" i="6" s="1"/>
  <c r="B88" i="16"/>
  <c r="E88" i="6"/>
  <c r="L88" i="6" s="1"/>
  <c r="B86" i="16"/>
  <c r="E86" i="6"/>
  <c r="L86" i="6" s="1"/>
  <c r="B84" i="16"/>
  <c r="E84" i="6"/>
  <c r="L84" i="6" s="1"/>
  <c r="B82" i="16"/>
  <c r="E82" i="6"/>
  <c r="L82" i="6" s="1"/>
  <c r="B80" i="16"/>
  <c r="E80" i="6"/>
  <c r="L80" i="6" s="1"/>
  <c r="B78" i="16"/>
  <c r="E78" i="6"/>
  <c r="L78" i="6" s="1"/>
  <c r="B76" i="16"/>
  <c r="E76" i="6"/>
  <c r="L76" i="6" s="1"/>
  <c r="B74" i="16"/>
  <c r="E74" i="6"/>
  <c r="L74" i="6" s="1"/>
  <c r="B72" i="16"/>
  <c r="E72" i="6"/>
  <c r="L72" i="6" s="1"/>
  <c r="B70" i="16"/>
  <c r="E70" i="6"/>
  <c r="L70" i="6" s="1"/>
  <c r="B66" i="16"/>
  <c r="E66" i="6"/>
  <c r="L66" i="6" s="1"/>
  <c r="B64" i="16"/>
  <c r="E64" i="6"/>
  <c r="L64" i="6" s="1"/>
  <c r="B59" i="16"/>
  <c r="E59" i="6"/>
  <c r="L59" i="6" s="1"/>
  <c r="B57" i="16"/>
  <c r="E57" i="6"/>
  <c r="L57" i="6" s="1"/>
  <c r="B54" i="16"/>
  <c r="E54" i="6"/>
  <c r="L54" i="6" s="1"/>
  <c r="B52" i="16"/>
  <c r="E52" i="6"/>
  <c r="L52" i="6" s="1"/>
  <c r="B47" i="16"/>
  <c r="E47" i="6"/>
  <c r="L47" i="6" s="1"/>
  <c r="B45" i="16"/>
  <c r="E45" i="6"/>
  <c r="L45" i="6" s="1"/>
  <c r="B42" i="16"/>
  <c r="E42" i="6"/>
  <c r="L42" i="6" s="1"/>
  <c r="B40" i="16"/>
  <c r="E40" i="6"/>
  <c r="L40" i="6" s="1"/>
  <c r="B35" i="16"/>
  <c r="E35" i="6"/>
  <c r="L35" i="6" s="1"/>
  <c r="B33" i="16"/>
  <c r="E33" i="6"/>
  <c r="L33" i="6" s="1"/>
  <c r="B30" i="16"/>
  <c r="E30" i="6"/>
  <c r="L30" i="6" s="1"/>
  <c r="B28" i="16"/>
  <c r="E28" i="6"/>
  <c r="L28" i="6" s="1"/>
  <c r="B23" i="16"/>
  <c r="E23" i="6"/>
  <c r="L23" i="6" s="1"/>
  <c r="B21" i="16"/>
  <c r="E21" i="6"/>
  <c r="L21" i="6" s="1"/>
  <c r="B18" i="16"/>
  <c r="E18" i="6"/>
  <c r="L18" i="6" s="1"/>
  <c r="B16" i="16"/>
  <c r="E16" i="6"/>
  <c r="L16" i="6" s="1"/>
  <c r="B11" i="16"/>
  <c r="E11" i="6"/>
  <c r="L11" i="6" s="1"/>
  <c r="B9" i="16"/>
  <c r="E9" i="6"/>
  <c r="L9" i="6" s="1"/>
  <c r="B181" i="16"/>
  <c r="E181" i="6"/>
  <c r="L181" i="6" s="1"/>
  <c r="B177" i="16"/>
  <c r="E177" i="6"/>
  <c r="L177" i="6" s="1"/>
  <c r="B173" i="16"/>
  <c r="E173" i="6"/>
  <c r="L173" i="6" s="1"/>
  <c r="B182" i="16"/>
  <c r="E182" i="6"/>
  <c r="L182" i="6" s="1"/>
  <c r="B180" i="16"/>
  <c r="E180" i="6"/>
  <c r="L180" i="6" s="1"/>
  <c r="B178" i="16"/>
  <c r="E178" i="6"/>
  <c r="L178" i="6" s="1"/>
  <c r="B176" i="16"/>
  <c r="E176" i="6"/>
  <c r="L176" i="6" s="1"/>
  <c r="B174" i="16"/>
  <c r="E174" i="6"/>
  <c r="L174" i="6" s="1"/>
  <c r="B172" i="16"/>
  <c r="E172" i="6"/>
  <c r="L172" i="6" s="1"/>
  <c r="B169" i="16"/>
  <c r="E169" i="6"/>
  <c r="L169" i="6" s="1"/>
  <c r="B167" i="16"/>
  <c r="E167" i="6"/>
  <c r="L167" i="6" s="1"/>
  <c r="B165" i="16"/>
  <c r="E165" i="6"/>
  <c r="L165" i="6" s="1"/>
  <c r="B162" i="16"/>
  <c r="E162" i="6"/>
  <c r="L162" i="6" s="1"/>
  <c r="B157" i="16"/>
  <c r="E157" i="6"/>
  <c r="L157" i="6" s="1"/>
  <c r="B155" i="16"/>
  <c r="E155" i="6"/>
  <c r="L155" i="6" s="1"/>
  <c r="B152" i="16"/>
  <c r="E152" i="6"/>
  <c r="L152" i="6" s="1"/>
  <c r="B150" i="16"/>
  <c r="E150" i="6"/>
  <c r="L150" i="6" s="1"/>
  <c r="B148" i="16"/>
  <c r="E148" i="6"/>
  <c r="L148" i="6" s="1"/>
  <c r="B146" i="16"/>
  <c r="E146" i="6"/>
  <c r="L146" i="6" s="1"/>
  <c r="B144" i="16"/>
  <c r="E144" i="6"/>
  <c r="L144" i="6" s="1"/>
  <c r="B142" i="16"/>
  <c r="E142" i="6"/>
  <c r="L142" i="6" s="1"/>
  <c r="B140" i="16"/>
  <c r="E140" i="6"/>
  <c r="L140" i="6" s="1"/>
  <c r="B133" i="16"/>
  <c r="E133" i="6"/>
  <c r="L133" i="6" s="1"/>
  <c r="B131" i="16"/>
  <c r="E131" i="6"/>
  <c r="L131" i="6" s="1"/>
  <c r="B129" i="16"/>
  <c r="E129" i="6"/>
  <c r="L129" i="6" s="1"/>
  <c r="B127" i="16"/>
  <c r="E127" i="6"/>
  <c r="L127" i="6" s="1"/>
  <c r="B125" i="16"/>
  <c r="E125" i="6"/>
  <c r="L125" i="6" s="1"/>
  <c r="B123" i="16"/>
  <c r="E123" i="6"/>
  <c r="L123" i="6" s="1"/>
  <c r="B121" i="16"/>
  <c r="E121" i="6"/>
  <c r="L121" i="6" s="1"/>
  <c r="B119" i="16"/>
  <c r="E119" i="6"/>
  <c r="L119" i="6" s="1"/>
  <c r="B117" i="16"/>
  <c r="E117" i="6"/>
  <c r="L117" i="6" s="1"/>
  <c r="B115" i="16"/>
  <c r="E115" i="6"/>
  <c r="L115" i="6" s="1"/>
  <c r="B113" i="16"/>
  <c r="E113" i="6"/>
  <c r="L113" i="6" s="1"/>
  <c r="B111" i="16"/>
  <c r="E111" i="6"/>
  <c r="L111" i="6" s="1"/>
  <c r="B109" i="16"/>
  <c r="E109" i="6"/>
  <c r="L109" i="6" s="1"/>
  <c r="B106" i="16"/>
  <c r="E106" i="6"/>
  <c r="L106" i="6" s="1"/>
  <c r="B103" i="16"/>
  <c r="E103" i="6"/>
  <c r="L103" i="6" s="1"/>
  <c r="B100" i="16"/>
  <c r="E100" i="6"/>
  <c r="L100" i="6" s="1"/>
  <c r="B98" i="16"/>
  <c r="E98" i="6"/>
  <c r="L98" i="6" s="1"/>
  <c r="B95" i="16"/>
  <c r="E95" i="6"/>
  <c r="L95" i="6" s="1"/>
  <c r="B93" i="16"/>
  <c r="E93" i="6"/>
  <c r="L93" i="6" s="1"/>
  <c r="B91" i="16"/>
  <c r="E91" i="6"/>
  <c r="L91" i="6" s="1"/>
  <c r="B89" i="16"/>
  <c r="E89" i="6"/>
  <c r="L89" i="6" s="1"/>
  <c r="B87" i="16"/>
  <c r="E87" i="6"/>
  <c r="L87" i="6" s="1"/>
  <c r="B85" i="16"/>
  <c r="E85" i="6"/>
  <c r="L85" i="6" s="1"/>
  <c r="B83" i="16"/>
  <c r="E83" i="6"/>
  <c r="L83" i="6" s="1"/>
  <c r="B81" i="16"/>
  <c r="E81" i="6"/>
  <c r="L81" i="6" s="1"/>
  <c r="B79" i="16"/>
  <c r="E79" i="6"/>
  <c r="L79" i="6" s="1"/>
  <c r="B77" i="16"/>
  <c r="E77" i="6"/>
  <c r="L77" i="6" s="1"/>
  <c r="B75" i="16"/>
  <c r="E75" i="6"/>
  <c r="L75" i="6" s="1"/>
  <c r="B73" i="16"/>
  <c r="E73" i="6"/>
  <c r="L73" i="6" s="1"/>
  <c r="B71" i="16"/>
  <c r="E71" i="6"/>
  <c r="L71" i="6" s="1"/>
  <c r="B69" i="16"/>
  <c r="E69" i="6"/>
  <c r="L69" i="6" s="1"/>
  <c r="B65" i="16"/>
  <c r="E65" i="6"/>
  <c r="L65" i="6" s="1"/>
  <c r="B63" i="16"/>
  <c r="E63" i="6"/>
  <c r="L63" i="6" s="1"/>
  <c r="B60" i="16"/>
  <c r="E60" i="6"/>
  <c r="L60" i="6" s="1"/>
  <c r="B58" i="16"/>
  <c r="E58" i="6"/>
  <c r="L58" i="6" s="1"/>
  <c r="B53" i="16"/>
  <c r="E53" i="6"/>
  <c r="L53" i="6" s="1"/>
  <c r="B51" i="16"/>
  <c r="E51" i="6"/>
  <c r="L51" i="6" s="1"/>
  <c r="B48" i="16"/>
  <c r="E48" i="6"/>
  <c r="L48" i="6" s="1"/>
  <c r="B46" i="16"/>
  <c r="E46" i="6"/>
  <c r="L46" i="6" s="1"/>
  <c r="B41" i="16"/>
  <c r="E41" i="6"/>
  <c r="L41" i="6" s="1"/>
  <c r="B39" i="16"/>
  <c r="E39" i="6"/>
  <c r="L39" i="6" s="1"/>
  <c r="B36" i="16"/>
  <c r="E36" i="6"/>
  <c r="L36" i="6" s="1"/>
  <c r="B34" i="16"/>
  <c r="E34" i="6"/>
  <c r="L34" i="6" s="1"/>
  <c r="B29" i="16"/>
  <c r="E29" i="6"/>
  <c r="L29" i="6" s="1"/>
  <c r="B27" i="16"/>
  <c r="E27" i="6"/>
  <c r="L27" i="6" s="1"/>
  <c r="B24" i="16"/>
  <c r="E24" i="6"/>
  <c r="L24" i="6" s="1"/>
  <c r="B22" i="16"/>
  <c r="E22" i="6"/>
  <c r="L22" i="6" s="1"/>
  <c r="B17" i="16"/>
  <c r="E17" i="6"/>
  <c r="L17" i="6" s="1"/>
  <c r="B15" i="16"/>
  <c r="E15" i="6"/>
  <c r="L15" i="6" s="1"/>
  <c r="B12" i="16"/>
  <c r="E12" i="6"/>
  <c r="L12" i="6" s="1"/>
  <c r="B10" i="16"/>
  <c r="E10" i="6"/>
  <c r="L10" i="6" s="1"/>
  <c r="B3" i="16"/>
  <c r="B170" i="16"/>
  <c r="B154" i="16"/>
  <c r="B5" i="16"/>
  <c r="B68" i="16"/>
  <c r="B6" i="16"/>
  <c r="B4" i="16"/>
  <c r="B62" i="8"/>
  <c r="B61" i="16"/>
  <c r="B50" i="8"/>
  <c r="B49" i="16"/>
  <c r="B38" i="8"/>
  <c r="B37" i="16"/>
  <c r="B26" i="8"/>
  <c r="B25" i="16"/>
  <c r="B14" i="8"/>
  <c r="B13" i="16"/>
  <c r="B184" i="8"/>
  <c r="B182" i="8"/>
  <c r="B180" i="8"/>
  <c r="B178" i="8"/>
  <c r="B176" i="8"/>
  <c r="B174" i="8"/>
  <c r="B172" i="8"/>
  <c r="B170" i="8"/>
  <c r="B168" i="8"/>
  <c r="B166" i="8"/>
  <c r="B162" i="8"/>
  <c r="B158" i="8"/>
  <c r="B156" i="8"/>
  <c r="B154" i="8"/>
  <c r="B152" i="8"/>
  <c r="B150" i="8"/>
  <c r="B148" i="8"/>
  <c r="B146" i="8"/>
  <c r="B144" i="8"/>
  <c r="B142" i="8"/>
  <c r="B140" i="8"/>
  <c r="B134" i="8"/>
  <c r="B132" i="8"/>
  <c r="B130" i="8"/>
  <c r="B128" i="8"/>
  <c r="B126" i="8"/>
  <c r="B124" i="8"/>
  <c r="B122" i="8"/>
  <c r="B120" i="8"/>
  <c r="B118" i="8"/>
  <c r="B116" i="8"/>
  <c r="B114" i="8"/>
  <c r="B112" i="8"/>
  <c r="B110" i="8"/>
  <c r="B106" i="8"/>
  <c r="B104" i="8"/>
  <c r="B100" i="8"/>
  <c r="B98" i="8"/>
  <c r="B96" i="8"/>
  <c r="B94" i="8"/>
  <c r="B92" i="8"/>
  <c r="B90" i="8"/>
  <c r="B88" i="8"/>
  <c r="B86" i="8"/>
  <c r="B84" i="8"/>
  <c r="B82" i="8"/>
  <c r="B80" i="8"/>
  <c r="B78" i="8"/>
  <c r="B76" i="8"/>
  <c r="B74" i="8"/>
  <c r="B72" i="8"/>
  <c r="B70" i="8"/>
  <c r="B67" i="8"/>
  <c r="B65" i="8"/>
  <c r="B60" i="8"/>
  <c r="B58" i="8"/>
  <c r="B55" i="8"/>
  <c r="B53" i="8"/>
  <c r="B48" i="8"/>
  <c r="B46" i="8"/>
  <c r="B43" i="8"/>
  <c r="B41" i="8"/>
  <c r="B36" i="8"/>
  <c r="B34" i="8"/>
  <c r="B31" i="8"/>
  <c r="B29" i="8"/>
  <c r="B24" i="8"/>
  <c r="B22" i="8"/>
  <c r="B19" i="8"/>
  <c r="B17" i="8"/>
  <c r="B12" i="8"/>
  <c r="B10" i="8"/>
  <c r="B7" i="8"/>
  <c r="B5" i="8"/>
  <c r="B68" i="8"/>
  <c r="B67" i="16"/>
  <c r="B56" i="8"/>
  <c r="B55" i="16"/>
  <c r="B44" i="8"/>
  <c r="B43" i="16"/>
  <c r="B32" i="8"/>
  <c r="B31" i="16"/>
  <c r="B20" i="8"/>
  <c r="B19" i="16"/>
  <c r="B8" i="8"/>
  <c r="B7" i="16"/>
  <c r="B183" i="8"/>
  <c r="B181" i="8"/>
  <c r="B179" i="8"/>
  <c r="B177" i="8"/>
  <c r="B175" i="8"/>
  <c r="B173" i="8"/>
  <c r="B171" i="8"/>
  <c r="B169" i="8"/>
  <c r="B167" i="8"/>
  <c r="B165" i="8"/>
  <c r="B163" i="8"/>
  <c r="B157" i="8"/>
  <c r="B155" i="8"/>
  <c r="B153" i="8"/>
  <c r="B151" i="8"/>
  <c r="B149" i="8"/>
  <c r="B147" i="8"/>
  <c r="B145" i="8"/>
  <c r="B143" i="8"/>
  <c r="B141" i="8"/>
  <c r="B133" i="8"/>
  <c r="B131" i="8"/>
  <c r="B129" i="8"/>
  <c r="B127" i="8"/>
  <c r="B125" i="8"/>
  <c r="B123" i="8"/>
  <c r="B121" i="8"/>
  <c r="B119" i="8"/>
  <c r="B117" i="8"/>
  <c r="B115" i="8"/>
  <c r="B113" i="8"/>
  <c r="B111" i="8"/>
  <c r="B109" i="8"/>
  <c r="B107" i="8"/>
  <c r="B103" i="8"/>
  <c r="B101" i="8"/>
  <c r="B99" i="8"/>
  <c r="B95" i="8"/>
  <c r="B93" i="8"/>
  <c r="B91" i="8"/>
  <c r="B89" i="8"/>
  <c r="B87" i="8"/>
  <c r="B85" i="8"/>
  <c r="B83" i="8"/>
  <c r="B81" i="8"/>
  <c r="B79" i="8"/>
  <c r="B77" i="8"/>
  <c r="B75" i="8"/>
  <c r="B73" i="8"/>
  <c r="B71" i="8"/>
  <c r="B69" i="8"/>
  <c r="B66" i="8"/>
  <c r="B64" i="8"/>
  <c r="B61" i="8"/>
  <c r="B59" i="8"/>
  <c r="B54" i="8"/>
  <c r="B52" i="8"/>
  <c r="B49" i="8"/>
  <c r="B47" i="8"/>
  <c r="B42" i="8"/>
  <c r="B40" i="8"/>
  <c r="B37" i="8"/>
  <c r="B35" i="8"/>
  <c r="B30" i="8"/>
  <c r="B28" i="8"/>
  <c r="B25" i="8"/>
  <c r="B23" i="8"/>
  <c r="B18" i="8"/>
  <c r="B16" i="8"/>
  <c r="B13" i="8"/>
  <c r="B11" i="8"/>
  <c r="B6" i="8"/>
  <c r="B4" i="8"/>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66" i="8"/>
  <c r="C167" i="8"/>
  <c r="C168" i="8"/>
  <c r="C169" i="8"/>
  <c r="C170" i="8"/>
  <c r="C171" i="8"/>
  <c r="C172" i="8"/>
  <c r="C173" i="8"/>
  <c r="C174" i="8"/>
  <c r="C175" i="8"/>
  <c r="C176" i="8"/>
  <c r="C177" i="8"/>
  <c r="C178" i="8"/>
  <c r="C179" i="8"/>
  <c r="C180" i="8"/>
  <c r="C181" i="8"/>
  <c r="C182" i="8"/>
  <c r="C183" i="8"/>
  <c r="C184"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3" i="8"/>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2" i="7"/>
  <c r="B15" i="20" l="1"/>
  <c r="B15" i="17"/>
  <c r="B15" i="7"/>
  <c r="B27" i="20"/>
  <c r="B27" i="17"/>
  <c r="B27" i="7"/>
  <c r="B39" i="20"/>
  <c r="B39" i="17"/>
  <c r="B39" i="7"/>
  <c r="B51" i="20"/>
  <c r="B51" i="17"/>
  <c r="B51" i="7"/>
  <c r="B63" i="20"/>
  <c r="B63" i="17"/>
  <c r="B63" i="7"/>
  <c r="B72" i="20"/>
  <c r="B72" i="17"/>
  <c r="B72" i="7"/>
  <c r="B80" i="20"/>
  <c r="B80" i="17"/>
  <c r="B80" i="7"/>
  <c r="B88" i="20"/>
  <c r="B88" i="17"/>
  <c r="B88" i="7"/>
  <c r="B98" i="20"/>
  <c r="B98" i="17"/>
  <c r="B98" i="7"/>
  <c r="B108" i="20"/>
  <c r="B108" i="17"/>
  <c r="B108" i="7"/>
  <c r="B116" i="20"/>
  <c r="B116" i="17"/>
  <c r="B116" i="7"/>
  <c r="B124" i="20"/>
  <c r="B124" i="17"/>
  <c r="B124" i="7"/>
  <c r="B132" i="20"/>
  <c r="B132" i="17"/>
  <c r="B132" i="7"/>
  <c r="B146" i="20"/>
  <c r="B146" i="17"/>
  <c r="B146" i="7"/>
  <c r="B154" i="20"/>
  <c r="B154" i="17"/>
  <c r="B154" i="7"/>
  <c r="B166" i="20"/>
  <c r="B166" i="17"/>
  <c r="B166" i="7"/>
  <c r="B174" i="20"/>
  <c r="B174" i="17"/>
  <c r="B174" i="7"/>
  <c r="B182" i="20"/>
  <c r="B182" i="17"/>
  <c r="B182" i="7"/>
  <c r="B19" i="20"/>
  <c r="B19" i="17"/>
  <c r="B19" i="7"/>
  <c r="B43" i="20"/>
  <c r="B43" i="17"/>
  <c r="B43" i="7"/>
  <c r="B67" i="20"/>
  <c r="B67" i="17"/>
  <c r="B67" i="7"/>
  <c r="B6" i="20"/>
  <c r="B6" i="17"/>
  <c r="B6" i="7"/>
  <c r="B18" i="20"/>
  <c r="B18" i="17"/>
  <c r="B18" i="7"/>
  <c r="B30" i="20"/>
  <c r="B30" i="17"/>
  <c r="B30" i="7"/>
  <c r="B42" i="20"/>
  <c r="B42" i="17"/>
  <c r="B42" i="7"/>
  <c r="B59" i="20"/>
  <c r="B59" i="17"/>
  <c r="B59" i="7"/>
  <c r="B71" i="20"/>
  <c r="B71" i="17"/>
  <c r="B71" i="7"/>
  <c r="B79" i="20"/>
  <c r="B79" i="17"/>
  <c r="B79" i="7"/>
  <c r="B87" i="20"/>
  <c r="B87" i="17"/>
  <c r="B87" i="7"/>
  <c r="B95" i="20"/>
  <c r="B95" i="17"/>
  <c r="B95" i="7"/>
  <c r="B105" i="20"/>
  <c r="B105" i="17"/>
  <c r="B105" i="7"/>
  <c r="B115" i="20"/>
  <c r="B115" i="17"/>
  <c r="B115" i="7"/>
  <c r="B123" i="20"/>
  <c r="B123" i="17"/>
  <c r="B123" i="7"/>
  <c r="B131" i="20"/>
  <c r="B131" i="17"/>
  <c r="B131" i="7"/>
  <c r="B143" i="20"/>
  <c r="B143" i="17"/>
  <c r="B143" i="7"/>
  <c r="B151" i="20"/>
  <c r="B151" i="17"/>
  <c r="B151" i="7"/>
  <c r="B155" i="20"/>
  <c r="B155" i="17"/>
  <c r="B155" i="7"/>
  <c r="B171" i="20"/>
  <c r="B171" i="17"/>
  <c r="B171" i="7"/>
  <c r="B179" i="20"/>
  <c r="B179" i="17"/>
  <c r="B179" i="7"/>
  <c r="B13" i="20"/>
  <c r="B13" i="17"/>
  <c r="B13" i="7"/>
  <c r="B37" i="20"/>
  <c r="B37" i="17"/>
  <c r="B37" i="7"/>
  <c r="B61" i="20"/>
  <c r="B61" i="17"/>
  <c r="B61" i="7"/>
  <c r="B5" i="20"/>
  <c r="B5" i="17"/>
  <c r="B5" i="7"/>
  <c r="B12" i="20"/>
  <c r="B12" i="17"/>
  <c r="B12" i="7"/>
  <c r="B17" i="20"/>
  <c r="B17" i="17"/>
  <c r="B17" i="7"/>
  <c r="B24" i="20"/>
  <c r="B24" i="17"/>
  <c r="B24" i="7"/>
  <c r="B29" i="20"/>
  <c r="B29" i="17"/>
  <c r="B29" i="7"/>
  <c r="B36" i="20"/>
  <c r="B36" i="17"/>
  <c r="B36" i="7"/>
  <c r="B41" i="20"/>
  <c r="B41" i="17"/>
  <c r="B41" i="7"/>
  <c r="B48" i="20"/>
  <c r="B48" i="17"/>
  <c r="B48" i="7"/>
  <c r="B53" i="20"/>
  <c r="B53" i="17"/>
  <c r="B53" i="7"/>
  <c r="B60" i="20"/>
  <c r="B60" i="17"/>
  <c r="B60" i="7"/>
  <c r="B65" i="20"/>
  <c r="B65" i="17"/>
  <c r="B65" i="7"/>
  <c r="B70" i="20"/>
  <c r="B70" i="17"/>
  <c r="B70" i="7"/>
  <c r="B74" i="20"/>
  <c r="B74" i="17"/>
  <c r="B74" i="7"/>
  <c r="B78" i="20"/>
  <c r="B78" i="17"/>
  <c r="B78" i="7"/>
  <c r="B82" i="20"/>
  <c r="B82" i="17"/>
  <c r="B82" i="7"/>
  <c r="B86" i="20"/>
  <c r="B86" i="17"/>
  <c r="B86" i="7"/>
  <c r="B90" i="20"/>
  <c r="B90" i="17"/>
  <c r="B90" i="7"/>
  <c r="B94" i="20"/>
  <c r="B94" i="17"/>
  <c r="B94" i="7"/>
  <c r="B100" i="20"/>
  <c r="B100" i="17"/>
  <c r="B100" i="7"/>
  <c r="B106" i="20"/>
  <c r="B106" i="17"/>
  <c r="B106" i="7"/>
  <c r="B110" i="20"/>
  <c r="B110" i="17"/>
  <c r="B110" i="7"/>
  <c r="B114" i="20"/>
  <c r="B114" i="17"/>
  <c r="B114" i="7"/>
  <c r="B118" i="20"/>
  <c r="B118" i="17"/>
  <c r="B118" i="7"/>
  <c r="B122" i="20"/>
  <c r="B122" i="17"/>
  <c r="B122" i="7"/>
  <c r="B126" i="20"/>
  <c r="B126" i="17"/>
  <c r="B126" i="7"/>
  <c r="B130" i="20"/>
  <c r="B130" i="17"/>
  <c r="B130" i="7"/>
  <c r="B140" i="20"/>
  <c r="B140" i="17"/>
  <c r="B140" i="7"/>
  <c r="B144" i="20"/>
  <c r="B144" i="17"/>
  <c r="B144" i="7"/>
  <c r="B148" i="20"/>
  <c r="B148" i="17"/>
  <c r="B148" i="7"/>
  <c r="B152" i="20"/>
  <c r="B152" i="17"/>
  <c r="B152" i="7"/>
  <c r="B156" i="20"/>
  <c r="B156" i="17"/>
  <c r="B156" i="7"/>
  <c r="B164" i="20"/>
  <c r="B164" i="17"/>
  <c r="B164" i="7"/>
  <c r="B168" i="20"/>
  <c r="B168" i="17"/>
  <c r="B168" i="7"/>
  <c r="B172" i="20"/>
  <c r="B172" i="17"/>
  <c r="B172" i="7"/>
  <c r="B176" i="20"/>
  <c r="B176" i="17"/>
  <c r="B176" i="7"/>
  <c r="B180" i="20"/>
  <c r="B180" i="17"/>
  <c r="B180" i="7"/>
  <c r="B4" i="20"/>
  <c r="B4" i="17"/>
  <c r="B4" i="7"/>
  <c r="B9" i="20"/>
  <c r="B9" i="17"/>
  <c r="B9" i="7"/>
  <c r="B21" i="20"/>
  <c r="B21" i="17"/>
  <c r="B21" i="7"/>
  <c r="B28" i="20"/>
  <c r="B28" i="17"/>
  <c r="B28" i="7"/>
  <c r="B33" i="20"/>
  <c r="B33" i="17"/>
  <c r="B33" i="7"/>
  <c r="B40" i="20"/>
  <c r="B40" i="17"/>
  <c r="B40" i="7"/>
  <c r="B45" i="20"/>
  <c r="B45" i="17"/>
  <c r="B45" i="7"/>
  <c r="B52" i="20"/>
  <c r="B52" i="17"/>
  <c r="B52" i="7"/>
  <c r="B57" i="20"/>
  <c r="B57" i="17"/>
  <c r="B57" i="7"/>
  <c r="B64" i="20"/>
  <c r="B64" i="17"/>
  <c r="B64" i="7"/>
  <c r="B69" i="20"/>
  <c r="B69" i="17"/>
  <c r="B69" i="7"/>
  <c r="B73" i="20"/>
  <c r="B73" i="17"/>
  <c r="B73" i="7"/>
  <c r="B77" i="20"/>
  <c r="B77" i="17"/>
  <c r="B77" i="7"/>
  <c r="B81" i="20"/>
  <c r="B81" i="17"/>
  <c r="B81" i="7"/>
  <c r="B85" i="20"/>
  <c r="B85" i="17"/>
  <c r="B85" i="7"/>
  <c r="B89" i="20"/>
  <c r="B89" i="17"/>
  <c r="B89" i="7"/>
  <c r="B93" i="20"/>
  <c r="B93" i="17"/>
  <c r="B93" i="7"/>
  <c r="B97" i="20"/>
  <c r="B97" i="17"/>
  <c r="B97" i="7"/>
  <c r="B103" i="20"/>
  <c r="B103" i="17"/>
  <c r="B103" i="7"/>
  <c r="B109" i="20"/>
  <c r="B109" i="17"/>
  <c r="B109" i="7"/>
  <c r="B113" i="20"/>
  <c r="B113" i="17"/>
  <c r="B113" i="7"/>
  <c r="B117" i="20"/>
  <c r="B117" i="17"/>
  <c r="B117" i="7"/>
  <c r="B121" i="20"/>
  <c r="B121" i="17"/>
  <c r="B121" i="7"/>
  <c r="B125" i="20"/>
  <c r="B125" i="17"/>
  <c r="B125" i="7"/>
  <c r="B129" i="20"/>
  <c r="B129" i="17"/>
  <c r="B129" i="7"/>
  <c r="B133" i="20"/>
  <c r="B133" i="17"/>
  <c r="B133" i="7"/>
  <c r="B141" i="20"/>
  <c r="B141" i="17"/>
  <c r="B141" i="7"/>
  <c r="B145" i="20"/>
  <c r="B145" i="17"/>
  <c r="B145" i="7"/>
  <c r="B149" i="20"/>
  <c r="B149" i="17"/>
  <c r="B149" i="7"/>
  <c r="B153" i="20"/>
  <c r="B153" i="17"/>
  <c r="B153" i="7"/>
  <c r="B157" i="20"/>
  <c r="B157" i="17"/>
  <c r="B157" i="7"/>
  <c r="B165" i="20"/>
  <c r="B165" i="17"/>
  <c r="B165" i="7"/>
  <c r="B169" i="20"/>
  <c r="B169" i="17"/>
  <c r="B169" i="7"/>
  <c r="B173" i="20"/>
  <c r="B173" i="17"/>
  <c r="B173" i="7"/>
  <c r="B177" i="20"/>
  <c r="B177" i="17"/>
  <c r="B177" i="7"/>
  <c r="B181" i="20"/>
  <c r="B181" i="17"/>
  <c r="B181" i="7"/>
  <c r="B3" i="20"/>
  <c r="B3" i="17"/>
  <c r="B3" i="7"/>
  <c r="G3" i="7" s="1"/>
  <c r="B10" i="20"/>
  <c r="B10" i="17"/>
  <c r="B10" i="7"/>
  <c r="B22" i="20"/>
  <c r="B22" i="17"/>
  <c r="B22" i="7"/>
  <c r="B34" i="20"/>
  <c r="B34" i="17"/>
  <c r="B34" i="7"/>
  <c r="B46" i="20"/>
  <c r="B46" i="17"/>
  <c r="B46" i="7"/>
  <c r="B58" i="20"/>
  <c r="B58" i="17"/>
  <c r="B58" i="7"/>
  <c r="B68" i="20"/>
  <c r="B68" i="17"/>
  <c r="B68" i="7"/>
  <c r="B76" i="20"/>
  <c r="B76" i="17"/>
  <c r="B76" i="7"/>
  <c r="B84" i="20"/>
  <c r="B84" i="17"/>
  <c r="B84" i="7"/>
  <c r="B92" i="20"/>
  <c r="B92" i="17"/>
  <c r="B92" i="7"/>
  <c r="B102" i="20"/>
  <c r="B102" i="17"/>
  <c r="B102" i="7"/>
  <c r="B112" i="20"/>
  <c r="B112" i="17"/>
  <c r="B112" i="7"/>
  <c r="B120" i="20"/>
  <c r="B120" i="17"/>
  <c r="B120" i="7"/>
  <c r="B128" i="20"/>
  <c r="B128" i="17"/>
  <c r="B128" i="7"/>
  <c r="B142" i="20"/>
  <c r="B142" i="17"/>
  <c r="B142" i="7"/>
  <c r="B150" i="20"/>
  <c r="B150" i="17"/>
  <c r="B150" i="7"/>
  <c r="B162" i="20"/>
  <c r="B162" i="17"/>
  <c r="B162" i="7"/>
  <c r="B170" i="20"/>
  <c r="B170" i="17"/>
  <c r="B170" i="7"/>
  <c r="B178" i="20"/>
  <c r="B178" i="17"/>
  <c r="B178" i="7"/>
  <c r="B7" i="20"/>
  <c r="B7" i="17"/>
  <c r="B7" i="7"/>
  <c r="B31" i="20"/>
  <c r="B31" i="17"/>
  <c r="B31" i="7"/>
  <c r="B55" i="20"/>
  <c r="B55" i="17"/>
  <c r="B55" i="7"/>
  <c r="B11" i="20"/>
  <c r="B11" i="17"/>
  <c r="B11" i="7"/>
  <c r="B23" i="20"/>
  <c r="B23" i="17"/>
  <c r="B23" i="7"/>
  <c r="B47" i="20"/>
  <c r="B47" i="17"/>
  <c r="B47" i="7"/>
  <c r="B54" i="20"/>
  <c r="B54" i="17"/>
  <c r="B54" i="7"/>
  <c r="B66" i="20"/>
  <c r="B66" i="17"/>
  <c r="B66" i="7"/>
  <c r="B75" i="20"/>
  <c r="B75" i="17"/>
  <c r="B75" i="7"/>
  <c r="B83" i="20"/>
  <c r="B83" i="17"/>
  <c r="B83" i="7"/>
  <c r="B91" i="20"/>
  <c r="B91" i="17"/>
  <c r="B91" i="7"/>
  <c r="B99" i="20"/>
  <c r="B99" i="17"/>
  <c r="B99" i="7"/>
  <c r="B111" i="20"/>
  <c r="B111" i="17"/>
  <c r="B111" i="7"/>
  <c r="B119" i="20"/>
  <c r="B119" i="17"/>
  <c r="B119" i="7"/>
  <c r="B127" i="20"/>
  <c r="B127" i="17"/>
  <c r="B127" i="7"/>
  <c r="B139" i="20"/>
  <c r="B139" i="17"/>
  <c r="B139" i="7"/>
  <c r="B147" i="20"/>
  <c r="B147" i="17"/>
  <c r="B147" i="7"/>
  <c r="B161" i="20"/>
  <c r="B161" i="17"/>
  <c r="B161" i="7"/>
  <c r="B167" i="20"/>
  <c r="B167" i="17"/>
  <c r="B167" i="7"/>
  <c r="B175" i="20"/>
  <c r="B175" i="17"/>
  <c r="B175" i="7"/>
  <c r="B183" i="20"/>
  <c r="B183" i="17"/>
  <c r="B183" i="7"/>
  <c r="B25" i="20"/>
  <c r="B25" i="17"/>
  <c r="B25" i="7"/>
  <c r="B49" i="20"/>
  <c r="B49" i="17"/>
  <c r="B49" i="7"/>
  <c r="B35" i="20"/>
  <c r="B35" i="7"/>
  <c r="B35" i="17"/>
  <c r="B16" i="20"/>
  <c r="B16" i="17"/>
  <c r="B16" i="7"/>
  <c r="H26" i="7"/>
  <c r="G26" i="7"/>
  <c r="F26" i="7"/>
  <c r="E26" i="7"/>
  <c r="D26" i="7"/>
  <c r="H50" i="7"/>
  <c r="G50" i="7"/>
  <c r="F50" i="7"/>
  <c r="E50" i="7"/>
  <c r="D50" i="7"/>
  <c r="H101" i="7"/>
  <c r="G101" i="7"/>
  <c r="F101" i="7"/>
  <c r="E101" i="7"/>
  <c r="D101" i="7"/>
  <c r="H135" i="7"/>
  <c r="G135" i="7"/>
  <c r="E135" i="7"/>
  <c r="F135" i="7"/>
  <c r="D135" i="7"/>
  <c r="H158" i="7"/>
  <c r="G158" i="7"/>
  <c r="E158" i="7"/>
  <c r="F158" i="7"/>
  <c r="D158" i="7"/>
  <c r="H8" i="7"/>
  <c r="F8" i="7"/>
  <c r="G8" i="7"/>
  <c r="E8" i="7"/>
  <c r="D8" i="7"/>
  <c r="H32" i="7"/>
  <c r="F32" i="7"/>
  <c r="G32" i="7"/>
  <c r="E32" i="7"/>
  <c r="D32" i="7"/>
  <c r="H56" i="7"/>
  <c r="F56" i="7"/>
  <c r="G56" i="7"/>
  <c r="E56" i="7"/>
  <c r="D56" i="7"/>
  <c r="H104" i="7"/>
  <c r="G104" i="7"/>
  <c r="F104" i="7"/>
  <c r="E104" i="7"/>
  <c r="D104" i="7"/>
  <c r="H136" i="7"/>
  <c r="G136" i="7"/>
  <c r="F136" i="7"/>
  <c r="E136" i="7"/>
  <c r="D136" i="7"/>
  <c r="H159" i="7"/>
  <c r="G159" i="7"/>
  <c r="E159" i="7"/>
  <c r="F159" i="7"/>
  <c r="D159" i="7"/>
  <c r="H14" i="7"/>
  <c r="G14" i="7"/>
  <c r="E14" i="7"/>
  <c r="F14" i="7"/>
  <c r="D14" i="7"/>
  <c r="H38" i="7"/>
  <c r="G38" i="7"/>
  <c r="F38" i="7"/>
  <c r="E38" i="7"/>
  <c r="D38" i="7"/>
  <c r="H62" i="7"/>
  <c r="G62" i="7"/>
  <c r="E62" i="7"/>
  <c r="F62" i="7"/>
  <c r="D62" i="7"/>
  <c r="H107" i="7"/>
  <c r="G107" i="7"/>
  <c r="F107" i="7"/>
  <c r="E107" i="7"/>
  <c r="D107" i="7"/>
  <c r="H137" i="7"/>
  <c r="F137" i="7"/>
  <c r="G137" i="7"/>
  <c r="E137" i="7"/>
  <c r="D137" i="7"/>
  <c r="H160" i="7"/>
  <c r="F160" i="7"/>
  <c r="G160" i="7"/>
  <c r="E160" i="7"/>
  <c r="D160" i="7"/>
  <c r="H20" i="7"/>
  <c r="G20" i="7"/>
  <c r="F20" i="7"/>
  <c r="E20" i="7"/>
  <c r="D20" i="7"/>
  <c r="H44" i="7"/>
  <c r="G44" i="7"/>
  <c r="F44" i="7"/>
  <c r="E44" i="7"/>
  <c r="D44" i="7"/>
  <c r="H96" i="7"/>
  <c r="F96" i="7"/>
  <c r="G96" i="7"/>
  <c r="E96" i="7"/>
  <c r="D96" i="7"/>
  <c r="H134" i="7"/>
  <c r="G134" i="7"/>
  <c r="F134" i="7"/>
  <c r="E134" i="7"/>
  <c r="D134" i="7"/>
  <c r="H138" i="7"/>
  <c r="G138" i="7"/>
  <c r="F138" i="7"/>
  <c r="E138" i="7"/>
  <c r="D138" i="7"/>
  <c r="H163" i="7"/>
  <c r="G163" i="7"/>
  <c r="F163" i="7"/>
  <c r="E163" i="7"/>
  <c r="D163" i="7"/>
  <c r="F123" i="5"/>
  <c r="F124" i="5"/>
  <c r="F125" i="5"/>
  <c r="F126" i="5"/>
  <c r="F127" i="5"/>
  <c r="F128" i="5"/>
  <c r="F129" i="5"/>
  <c r="F130" i="5"/>
  <c r="F131" i="5"/>
  <c r="F132" i="5"/>
  <c r="F133" i="5"/>
  <c r="F134" i="5"/>
  <c r="F135" i="5"/>
  <c r="F136" i="5"/>
  <c r="F122" i="5"/>
  <c r="F108" i="5"/>
  <c r="F109" i="5"/>
  <c r="F110" i="5"/>
  <c r="F111" i="5"/>
  <c r="F112" i="5"/>
  <c r="F113" i="5"/>
  <c r="F114" i="5"/>
  <c r="F115" i="5"/>
  <c r="F116" i="5"/>
  <c r="F117" i="5"/>
  <c r="F118" i="5"/>
  <c r="F119" i="5"/>
  <c r="F120" i="5"/>
  <c r="F121" i="5"/>
  <c r="F107" i="5"/>
  <c r="F93" i="5"/>
  <c r="F94" i="5"/>
  <c r="F95" i="5"/>
  <c r="F96" i="5"/>
  <c r="F97" i="5"/>
  <c r="F98" i="5"/>
  <c r="F99" i="5"/>
  <c r="F100" i="5"/>
  <c r="F101" i="5"/>
  <c r="F102" i="5"/>
  <c r="F103" i="5"/>
  <c r="F104" i="5"/>
  <c r="F105" i="5"/>
  <c r="F106" i="5"/>
  <c r="F92" i="5"/>
  <c r="F78" i="5"/>
  <c r="F79" i="5"/>
  <c r="F80" i="5"/>
  <c r="F81" i="5"/>
  <c r="F82" i="5"/>
  <c r="F83" i="5"/>
  <c r="F84" i="5"/>
  <c r="F85" i="5"/>
  <c r="F86" i="5"/>
  <c r="F87" i="5"/>
  <c r="F88" i="5"/>
  <c r="F89" i="5"/>
  <c r="F90" i="5"/>
  <c r="F91" i="5"/>
  <c r="F77" i="5"/>
  <c r="F63" i="5"/>
  <c r="F64" i="5"/>
  <c r="F65" i="5"/>
  <c r="F66" i="5"/>
  <c r="F67" i="5"/>
  <c r="F68" i="5"/>
  <c r="F69" i="5"/>
  <c r="F70" i="5"/>
  <c r="F71" i="5"/>
  <c r="F72" i="5"/>
  <c r="F73" i="5"/>
  <c r="F74" i="5"/>
  <c r="F75" i="5"/>
  <c r="F76" i="5"/>
  <c r="F62" i="5"/>
  <c r="F48" i="5"/>
  <c r="F49" i="5"/>
  <c r="F50" i="5"/>
  <c r="F51" i="5"/>
  <c r="F52" i="5"/>
  <c r="F53" i="5"/>
  <c r="F54" i="5"/>
  <c r="F55" i="5"/>
  <c r="F56" i="5"/>
  <c r="F57" i="5"/>
  <c r="F58" i="5"/>
  <c r="F59" i="5"/>
  <c r="F60" i="5"/>
  <c r="F61" i="5"/>
  <c r="F47" i="5"/>
  <c r="F33" i="5"/>
  <c r="F34" i="5"/>
  <c r="F35" i="5"/>
  <c r="F36" i="5"/>
  <c r="F37" i="5"/>
  <c r="F38" i="5"/>
  <c r="F39" i="5"/>
  <c r="F40" i="5"/>
  <c r="F41" i="5"/>
  <c r="F42" i="5"/>
  <c r="F43" i="5"/>
  <c r="F44" i="5"/>
  <c r="F45" i="5"/>
  <c r="F46" i="5"/>
  <c r="F32" i="5"/>
  <c r="F18" i="5"/>
  <c r="F19" i="5"/>
  <c r="F20" i="5"/>
  <c r="F21" i="5"/>
  <c r="F22" i="5"/>
  <c r="F23" i="5"/>
  <c r="F24" i="5"/>
  <c r="F25" i="5"/>
  <c r="F26" i="5"/>
  <c r="F27" i="5"/>
  <c r="F28" i="5"/>
  <c r="F29" i="5"/>
  <c r="F30" i="5"/>
  <c r="F31" i="5"/>
  <c r="F17" i="5"/>
  <c r="B123" i="5"/>
  <c r="B124" i="5"/>
  <c r="B125" i="5"/>
  <c r="B126" i="5"/>
  <c r="B127" i="5"/>
  <c r="B128" i="5"/>
  <c r="D175" i="18" s="1"/>
  <c r="B129" i="5"/>
  <c r="D176" i="18" s="1"/>
  <c r="B130" i="5"/>
  <c r="B131" i="5"/>
  <c r="B132" i="5"/>
  <c r="B133" i="5"/>
  <c r="B134" i="5"/>
  <c r="D182" i="18" s="1"/>
  <c r="B135" i="5"/>
  <c r="B136" i="5"/>
  <c r="B122" i="5"/>
  <c r="B108" i="5"/>
  <c r="B109" i="5"/>
  <c r="B110" i="5"/>
  <c r="B111" i="5"/>
  <c r="B112" i="5"/>
  <c r="B113" i="5"/>
  <c r="B114" i="5"/>
  <c r="B115" i="5"/>
  <c r="B116" i="5"/>
  <c r="B117" i="5"/>
  <c r="B118" i="5"/>
  <c r="B119" i="5"/>
  <c r="B120" i="5"/>
  <c r="B121" i="5"/>
  <c r="B107" i="5"/>
  <c r="B93" i="5"/>
  <c r="B94" i="5"/>
  <c r="B95" i="5"/>
  <c r="B96" i="5"/>
  <c r="B97" i="5"/>
  <c r="B98" i="5"/>
  <c r="B99" i="5"/>
  <c r="B100" i="5"/>
  <c r="B101" i="5"/>
  <c r="B102" i="5"/>
  <c r="B103" i="5"/>
  <c r="B104" i="5"/>
  <c r="B105" i="5"/>
  <c r="B106" i="5"/>
  <c r="B92" i="5"/>
  <c r="B78" i="5"/>
  <c r="B79" i="5"/>
  <c r="D135" i="18" s="1"/>
  <c r="B80" i="5"/>
  <c r="D136" i="18" s="1"/>
  <c r="B81" i="5"/>
  <c r="B82" i="5"/>
  <c r="D137" i="18" s="1"/>
  <c r="B83" i="5"/>
  <c r="B84" i="5"/>
  <c r="D138" i="18" s="1"/>
  <c r="B85" i="5"/>
  <c r="B86" i="5"/>
  <c r="B87" i="5"/>
  <c r="B88" i="5"/>
  <c r="B89" i="5"/>
  <c r="D139" i="18" s="1"/>
  <c r="B90" i="5"/>
  <c r="B91" i="5"/>
  <c r="D140" i="18" s="1"/>
  <c r="B77" i="5"/>
  <c r="B63" i="5"/>
  <c r="B64" i="5"/>
  <c r="B65" i="5"/>
  <c r="B66" i="5"/>
  <c r="B67" i="5"/>
  <c r="B68" i="5"/>
  <c r="B69" i="5"/>
  <c r="B70" i="5"/>
  <c r="D127" i="18" s="1"/>
  <c r="B71" i="5"/>
  <c r="B72" i="5"/>
  <c r="D128" i="18" s="1"/>
  <c r="B73" i="5"/>
  <c r="D129" i="18" s="1"/>
  <c r="B74" i="5"/>
  <c r="B75" i="5"/>
  <c r="B76" i="5"/>
  <c r="D131" i="18" s="1"/>
  <c r="B62" i="5"/>
  <c r="B48" i="5"/>
  <c r="B49" i="5"/>
  <c r="B50" i="5"/>
  <c r="B51" i="5"/>
  <c r="B52" i="5"/>
  <c r="B53" i="5"/>
  <c r="B54" i="5"/>
  <c r="B55" i="5"/>
  <c r="D118" i="18" s="1"/>
  <c r="B56" i="5"/>
  <c r="D119" i="18" s="1"/>
  <c r="B57" i="5"/>
  <c r="B58" i="5"/>
  <c r="B59" i="5"/>
  <c r="D121" i="18" s="1"/>
  <c r="B60" i="5"/>
  <c r="B61" i="5"/>
  <c r="D120" i="18" s="1"/>
  <c r="B47" i="5"/>
  <c r="B33" i="5"/>
  <c r="B34" i="5"/>
  <c r="B35" i="5"/>
  <c r="B36" i="5"/>
  <c r="B37" i="5"/>
  <c r="D102" i="18" s="1"/>
  <c r="B38" i="5"/>
  <c r="B39" i="5"/>
  <c r="D103" i="18" s="1"/>
  <c r="B40" i="5"/>
  <c r="B41" i="5"/>
  <c r="D104" i="18" s="1"/>
  <c r="B42" i="5"/>
  <c r="B43" i="5"/>
  <c r="B44" i="5"/>
  <c r="B45" i="5"/>
  <c r="B46" i="5"/>
  <c r="D108" i="18" s="1"/>
  <c r="B32" i="5"/>
  <c r="F3" i="5"/>
  <c r="F4" i="5"/>
  <c r="F5" i="5"/>
  <c r="F6" i="5"/>
  <c r="F7" i="5"/>
  <c r="F8" i="5"/>
  <c r="F9" i="5"/>
  <c r="F10" i="5"/>
  <c r="F11" i="5"/>
  <c r="F12" i="5"/>
  <c r="F13" i="5"/>
  <c r="F14" i="5"/>
  <c r="F15" i="5"/>
  <c r="F16" i="5"/>
  <c r="F2" i="5"/>
  <c r="B30" i="5"/>
  <c r="B31" i="5"/>
  <c r="B18" i="5"/>
  <c r="B19" i="5"/>
  <c r="B20" i="5"/>
  <c r="B21" i="5"/>
  <c r="B22" i="5"/>
  <c r="B23" i="5"/>
  <c r="B24" i="5"/>
  <c r="B25" i="5"/>
  <c r="B26" i="5"/>
  <c r="B27" i="5"/>
  <c r="B28" i="5"/>
  <c r="B29" i="5"/>
  <c r="B17" i="5"/>
  <c r="B16" i="5"/>
  <c r="B14" i="5"/>
  <c r="B15" i="5"/>
  <c r="B3" i="5"/>
  <c r="B4" i="5"/>
  <c r="B5" i="5"/>
  <c r="B6" i="5"/>
  <c r="B7" i="5"/>
  <c r="B8" i="5"/>
  <c r="B9" i="5"/>
  <c r="B10" i="5"/>
  <c r="B11" i="5"/>
  <c r="B12" i="5"/>
  <c r="B13" i="5"/>
  <c r="B2" i="5"/>
  <c r="D27" i="18" l="1"/>
  <c r="D30" i="18"/>
  <c r="D31" i="18"/>
  <c r="D32" i="18"/>
  <c r="D28" i="18"/>
  <c r="D29" i="18"/>
  <c r="D58" i="18"/>
  <c r="D60" i="18"/>
  <c r="D61" i="18"/>
  <c r="D57" i="18"/>
  <c r="D62" i="18"/>
  <c r="D59" i="18"/>
  <c r="D94" i="18"/>
  <c r="D96" i="18"/>
  <c r="D93" i="18"/>
  <c r="D95" i="18"/>
  <c r="D116" i="18"/>
  <c r="D117" i="18"/>
  <c r="D115" i="18"/>
  <c r="D125" i="18"/>
  <c r="D132" i="18"/>
  <c r="D148" i="18"/>
  <c r="D149" i="18"/>
  <c r="D164" i="18"/>
  <c r="D160" i="18"/>
  <c r="D159" i="18"/>
  <c r="D179" i="18"/>
  <c r="D177" i="18"/>
  <c r="D178" i="18"/>
  <c r="D33" i="18"/>
  <c r="D37" i="18"/>
  <c r="D34" i="18"/>
  <c r="D38" i="18"/>
  <c r="D35" i="18"/>
  <c r="D36" i="18"/>
  <c r="D25" i="18"/>
  <c r="D24" i="18"/>
  <c r="D26" i="18"/>
  <c r="D22" i="18"/>
  <c r="D84" i="18"/>
  <c r="D81" i="18"/>
  <c r="D83" i="18"/>
  <c r="D82" i="18"/>
  <c r="D144" i="18"/>
  <c r="D145" i="18"/>
  <c r="D153" i="18"/>
  <c r="D167" i="18"/>
  <c r="D166" i="18"/>
  <c r="D165" i="18"/>
  <c r="D56" i="18"/>
  <c r="D55" i="18"/>
  <c r="D52" i="18"/>
  <c r="D51" i="18"/>
  <c r="D53" i="18"/>
  <c r="D54" i="18"/>
  <c r="D21" i="18"/>
  <c r="D23" i="18"/>
  <c r="D68" i="18"/>
  <c r="D66" i="18"/>
  <c r="D63" i="18"/>
  <c r="D64" i="18"/>
  <c r="D67" i="18"/>
  <c r="D65" i="18"/>
  <c r="D80" i="18"/>
  <c r="D78" i="18"/>
  <c r="D77" i="18"/>
  <c r="D79" i="18"/>
  <c r="G5" i="6"/>
  <c r="N5" i="6"/>
  <c r="D134" i="18"/>
  <c r="D130" i="18"/>
  <c r="D142" i="18"/>
  <c r="D141" i="18"/>
  <c r="D143" i="18"/>
  <c r="D87" i="18"/>
  <c r="D86" i="18"/>
  <c r="D85" i="18"/>
  <c r="D88" i="18"/>
  <c r="D126" i="18"/>
  <c r="D133" i="18"/>
  <c r="D123" i="18"/>
  <c r="D122" i="18"/>
  <c r="D124" i="18"/>
  <c r="D7" i="18"/>
  <c r="D3" i="18"/>
  <c r="D8" i="18"/>
  <c r="D5" i="18"/>
  <c r="D6" i="18"/>
  <c r="D4" i="18"/>
  <c r="D155" i="18"/>
  <c r="D157" i="18"/>
  <c r="D147" i="18"/>
  <c r="D161" i="18"/>
  <c r="D163" i="18"/>
  <c r="D162" i="18"/>
  <c r="D184" i="18"/>
  <c r="D183" i="18"/>
  <c r="D9" i="18"/>
  <c r="D10" i="18"/>
  <c r="D12" i="18"/>
  <c r="D11" i="18"/>
  <c r="D174" i="18"/>
  <c r="D172" i="18"/>
  <c r="D173" i="18"/>
  <c r="D19" i="18"/>
  <c r="D16" i="18"/>
  <c r="D20" i="18"/>
  <c r="D18" i="18"/>
  <c r="D15" i="18"/>
  <c r="D72" i="18"/>
  <c r="D69" i="18"/>
  <c r="D71" i="18"/>
  <c r="D70" i="18"/>
  <c r="D92" i="18"/>
  <c r="D89" i="18"/>
  <c r="D90" i="18"/>
  <c r="D91" i="18"/>
  <c r="D107" i="18"/>
  <c r="D106" i="18"/>
  <c r="D105" i="18"/>
  <c r="D112" i="18"/>
  <c r="D114" i="18"/>
  <c r="D113" i="18"/>
  <c r="D46" i="18"/>
  <c r="D45" i="18"/>
  <c r="D49" i="18"/>
  <c r="D50" i="18"/>
  <c r="D48" i="18"/>
  <c r="D47" i="18"/>
  <c r="D17" i="18"/>
  <c r="D14" i="18"/>
  <c r="D13" i="18"/>
  <c r="D73" i="18"/>
  <c r="D75" i="18"/>
  <c r="D74" i="18"/>
  <c r="D76" i="18"/>
  <c r="D97" i="18"/>
  <c r="D99" i="18"/>
  <c r="D98" i="18"/>
  <c r="D158" i="18"/>
  <c r="D146" i="18"/>
  <c r="D154" i="18"/>
  <c r="D156" i="18"/>
  <c r="D168" i="18"/>
  <c r="D171" i="18"/>
  <c r="D170" i="18"/>
  <c r="D169" i="18"/>
  <c r="D180" i="18"/>
  <c r="D181" i="18"/>
  <c r="D44" i="18"/>
  <c r="D39" i="18"/>
  <c r="D43" i="18"/>
  <c r="D40" i="18"/>
  <c r="D41" i="18"/>
  <c r="D42" i="18"/>
  <c r="D101" i="18"/>
  <c r="D100" i="18"/>
  <c r="D111" i="18"/>
  <c r="D109" i="18"/>
  <c r="D110" i="18"/>
  <c r="D151" i="18"/>
  <c r="D150" i="18"/>
  <c r="D152" i="18"/>
  <c r="F137" i="5"/>
  <c r="I185" i="18" s="1"/>
  <c r="G8" i="6"/>
  <c r="N8" i="6"/>
  <c r="M185" i="18"/>
  <c r="O185" i="18"/>
  <c r="Q185" i="18"/>
  <c r="L185" i="18"/>
  <c r="N185" i="18"/>
  <c r="AA4" i="17"/>
  <c r="AA4" i="20" s="1"/>
  <c r="AC4" i="17"/>
  <c r="AC4" i="20" s="1"/>
  <c r="AE4" i="17"/>
  <c r="AE4" i="20" s="1"/>
  <c r="AG4" i="17"/>
  <c r="AG4" i="20" s="1"/>
  <c r="AI4" i="17"/>
  <c r="AI4" i="20" s="1"/>
  <c r="AB4" i="17"/>
  <c r="AB4" i="20" s="1"/>
  <c r="AD4" i="17"/>
  <c r="AD4" i="20" s="1"/>
  <c r="AF4" i="17"/>
  <c r="AF4" i="20" s="1"/>
  <c r="AH4" i="17"/>
  <c r="AH4" i="20" s="1"/>
  <c r="AJ4" i="17"/>
  <c r="AJ4" i="20" s="1"/>
  <c r="AA27" i="17"/>
  <c r="AA27" i="20" s="1"/>
  <c r="AC27" i="17"/>
  <c r="AC27" i="20" s="1"/>
  <c r="AE27" i="17"/>
  <c r="AE27" i="20" s="1"/>
  <c r="AG27" i="17"/>
  <c r="AG27" i="20" s="1"/>
  <c r="AI27" i="17"/>
  <c r="AI27" i="20" s="1"/>
  <c r="AB27" i="17"/>
  <c r="AB27" i="20" s="1"/>
  <c r="AD27" i="17"/>
  <c r="AD27" i="20" s="1"/>
  <c r="AF27" i="17"/>
  <c r="AF27" i="20" s="1"/>
  <c r="AH27" i="17"/>
  <c r="AH27" i="20" s="1"/>
  <c r="AJ27" i="17"/>
  <c r="AJ27" i="20" s="1"/>
  <c r="AA25" i="17"/>
  <c r="AA25" i="20" s="1"/>
  <c r="AC25" i="17"/>
  <c r="AC25" i="20" s="1"/>
  <c r="AE25" i="17"/>
  <c r="AE25" i="20" s="1"/>
  <c r="AG25" i="17"/>
  <c r="AG25" i="20" s="1"/>
  <c r="AI25" i="17"/>
  <c r="AI25" i="20" s="1"/>
  <c r="AB25" i="17"/>
  <c r="AB25" i="20" s="1"/>
  <c r="AD25" i="17"/>
  <c r="AD25" i="20" s="1"/>
  <c r="AF25" i="17"/>
  <c r="AF25" i="20" s="1"/>
  <c r="AH25" i="17"/>
  <c r="AH25" i="20" s="1"/>
  <c r="AJ25" i="17"/>
  <c r="AJ25" i="20" s="1"/>
  <c r="AA21" i="17"/>
  <c r="AA21" i="20" s="1"/>
  <c r="AC21" i="17"/>
  <c r="AC21" i="20" s="1"/>
  <c r="AE21" i="17"/>
  <c r="AE21" i="20" s="1"/>
  <c r="AG21" i="17"/>
  <c r="AG21" i="20" s="1"/>
  <c r="AI21" i="17"/>
  <c r="AI21" i="20" s="1"/>
  <c r="AB21" i="17"/>
  <c r="AB21" i="20" s="1"/>
  <c r="AD21" i="17"/>
  <c r="AD21" i="20" s="1"/>
  <c r="AF21" i="17"/>
  <c r="AF21" i="20" s="1"/>
  <c r="AH21" i="17"/>
  <c r="AH21" i="20" s="1"/>
  <c r="AJ21" i="17"/>
  <c r="AJ21" i="20" s="1"/>
  <c r="AA19" i="17"/>
  <c r="AA19" i="20" s="1"/>
  <c r="AC19" i="17"/>
  <c r="AC19" i="20" s="1"/>
  <c r="AE19" i="17"/>
  <c r="AE19" i="20" s="1"/>
  <c r="AG19" i="17"/>
  <c r="AG19" i="20" s="1"/>
  <c r="AI19" i="17"/>
  <c r="AI19" i="20" s="1"/>
  <c r="AB19" i="17"/>
  <c r="AB19" i="20" s="1"/>
  <c r="AD19" i="17"/>
  <c r="AD19" i="20" s="1"/>
  <c r="AF19" i="17"/>
  <c r="AF19" i="20" s="1"/>
  <c r="AH19" i="17"/>
  <c r="AH19" i="20" s="1"/>
  <c r="AJ19" i="17"/>
  <c r="AJ19" i="20" s="1"/>
  <c r="AA32" i="17"/>
  <c r="AA32" i="20" s="1"/>
  <c r="AC32" i="17"/>
  <c r="AC32" i="20" s="1"/>
  <c r="AE32" i="17"/>
  <c r="AE32" i="20" s="1"/>
  <c r="AG32" i="17"/>
  <c r="AG32" i="20" s="1"/>
  <c r="AI32" i="17"/>
  <c r="AI32" i="20" s="1"/>
  <c r="AB32" i="17"/>
  <c r="AB32" i="20" s="1"/>
  <c r="AD32" i="17"/>
  <c r="AD32" i="20" s="1"/>
  <c r="AF32" i="17"/>
  <c r="AF32" i="20" s="1"/>
  <c r="AH32" i="17"/>
  <c r="AH32" i="20" s="1"/>
  <c r="AJ32" i="17"/>
  <c r="AJ32" i="20" s="1"/>
  <c r="AA45" i="17"/>
  <c r="AA45" i="20" s="1"/>
  <c r="AC45" i="17"/>
  <c r="AC45" i="20" s="1"/>
  <c r="AE45" i="17"/>
  <c r="AE45" i="20" s="1"/>
  <c r="AG45" i="17"/>
  <c r="AG45" i="20" s="1"/>
  <c r="AI45" i="17"/>
  <c r="AI45" i="20" s="1"/>
  <c r="AB45" i="17"/>
  <c r="AB45" i="20" s="1"/>
  <c r="AD45" i="17"/>
  <c r="AD45" i="20" s="1"/>
  <c r="AF45" i="17"/>
  <c r="AF45" i="20" s="1"/>
  <c r="AH45" i="17"/>
  <c r="AH45" i="20" s="1"/>
  <c r="AJ45" i="17"/>
  <c r="AJ45" i="20" s="1"/>
  <c r="AA43" i="17"/>
  <c r="AA43" i="20" s="1"/>
  <c r="AC43" i="17"/>
  <c r="AC43" i="20" s="1"/>
  <c r="AE43" i="17"/>
  <c r="AE43" i="20" s="1"/>
  <c r="AG43" i="17"/>
  <c r="AG43" i="20" s="1"/>
  <c r="AI43" i="17"/>
  <c r="AI43" i="20" s="1"/>
  <c r="AB43" i="17"/>
  <c r="AB43" i="20" s="1"/>
  <c r="AD43" i="17"/>
  <c r="AD43" i="20" s="1"/>
  <c r="AF43" i="17"/>
  <c r="AF43" i="20" s="1"/>
  <c r="AH43" i="17"/>
  <c r="AH43" i="20" s="1"/>
  <c r="AJ43" i="17"/>
  <c r="AJ43" i="20" s="1"/>
  <c r="AA33" i="17"/>
  <c r="AA33" i="20" s="1"/>
  <c r="AC33" i="17"/>
  <c r="AC33" i="20" s="1"/>
  <c r="AE33" i="17"/>
  <c r="AE33" i="20" s="1"/>
  <c r="AG33" i="17"/>
  <c r="AG33" i="20" s="1"/>
  <c r="AI33" i="17"/>
  <c r="AI33" i="20" s="1"/>
  <c r="AB33" i="17"/>
  <c r="AB33" i="20" s="1"/>
  <c r="AD33" i="17"/>
  <c r="AD33" i="20" s="1"/>
  <c r="AF33" i="17"/>
  <c r="AF33" i="20" s="1"/>
  <c r="AH33" i="17"/>
  <c r="AH33" i="20" s="1"/>
  <c r="AJ33" i="17"/>
  <c r="AJ33" i="20" s="1"/>
  <c r="AA57" i="17"/>
  <c r="AA57" i="20" s="1"/>
  <c r="AC57" i="17"/>
  <c r="AC57" i="20" s="1"/>
  <c r="AE57" i="17"/>
  <c r="AE57" i="20" s="1"/>
  <c r="AG57" i="17"/>
  <c r="AG57" i="20" s="1"/>
  <c r="AI57" i="17"/>
  <c r="AI57" i="20" s="1"/>
  <c r="AB57" i="17"/>
  <c r="AB57" i="20" s="1"/>
  <c r="AD57" i="17"/>
  <c r="AD57" i="20" s="1"/>
  <c r="AF57" i="17"/>
  <c r="AF57" i="20" s="1"/>
  <c r="AH57" i="17"/>
  <c r="AH57" i="20" s="1"/>
  <c r="AJ57" i="17"/>
  <c r="AJ57" i="20" s="1"/>
  <c r="AA53" i="17"/>
  <c r="AA53" i="20" s="1"/>
  <c r="AC53" i="17"/>
  <c r="AC53" i="20" s="1"/>
  <c r="AE53" i="17"/>
  <c r="AE53" i="20" s="1"/>
  <c r="AG53" i="17"/>
  <c r="AG53" i="20" s="1"/>
  <c r="AI53" i="17"/>
  <c r="AI53" i="20" s="1"/>
  <c r="AB53" i="17"/>
  <c r="AB53" i="20" s="1"/>
  <c r="AD53" i="17"/>
  <c r="AD53" i="20" s="1"/>
  <c r="AF53" i="17"/>
  <c r="AF53" i="20" s="1"/>
  <c r="AH53" i="17"/>
  <c r="AH53" i="20" s="1"/>
  <c r="AJ53" i="17"/>
  <c r="AJ53" i="20" s="1"/>
  <c r="AA51" i="17"/>
  <c r="AA51" i="20" s="1"/>
  <c r="AC51" i="17"/>
  <c r="AC51" i="20" s="1"/>
  <c r="AE51" i="17"/>
  <c r="AE51" i="20" s="1"/>
  <c r="AG51" i="17"/>
  <c r="AG51" i="20" s="1"/>
  <c r="AI51" i="17"/>
  <c r="AI51" i="20" s="1"/>
  <c r="AB51" i="17"/>
  <c r="AB51" i="20" s="1"/>
  <c r="AD51" i="17"/>
  <c r="AD51" i="20" s="1"/>
  <c r="AF51" i="17"/>
  <c r="AF51" i="20" s="1"/>
  <c r="AH51" i="17"/>
  <c r="AH51" i="20" s="1"/>
  <c r="AJ51" i="17"/>
  <c r="AJ51" i="20" s="1"/>
  <c r="AA49" i="17"/>
  <c r="AA49" i="20" s="1"/>
  <c r="AC49" i="17"/>
  <c r="AC49" i="20" s="1"/>
  <c r="AE49" i="17"/>
  <c r="AE49" i="20" s="1"/>
  <c r="AG49" i="17"/>
  <c r="AG49" i="20" s="1"/>
  <c r="AI49" i="17"/>
  <c r="AI49" i="20" s="1"/>
  <c r="AB49" i="17"/>
  <c r="AB49" i="20" s="1"/>
  <c r="AD49" i="17"/>
  <c r="AD49" i="20" s="1"/>
  <c r="AF49" i="17"/>
  <c r="AF49" i="20" s="1"/>
  <c r="AH49" i="17"/>
  <c r="AH49" i="20" s="1"/>
  <c r="AJ49" i="17"/>
  <c r="AJ49" i="20" s="1"/>
  <c r="AA62" i="17"/>
  <c r="AA62" i="20" s="1"/>
  <c r="AC62" i="17"/>
  <c r="AC62" i="20" s="1"/>
  <c r="AE62" i="17"/>
  <c r="AE62" i="20" s="1"/>
  <c r="AG62" i="17"/>
  <c r="AG62" i="20" s="1"/>
  <c r="AI62" i="17"/>
  <c r="AI62" i="20" s="1"/>
  <c r="AB62" i="17"/>
  <c r="AB62" i="20" s="1"/>
  <c r="AD62" i="17"/>
  <c r="AD62" i="20" s="1"/>
  <c r="AF62" i="17"/>
  <c r="AF62" i="20" s="1"/>
  <c r="AH62" i="17"/>
  <c r="AH62" i="20" s="1"/>
  <c r="AJ62" i="17"/>
  <c r="AJ62" i="20" s="1"/>
  <c r="AA75" i="17"/>
  <c r="AA75" i="20" s="1"/>
  <c r="AB75" i="17"/>
  <c r="AB75" i="20" s="1"/>
  <c r="AD75" i="17"/>
  <c r="AD75" i="20" s="1"/>
  <c r="AF75" i="17"/>
  <c r="AF75" i="20" s="1"/>
  <c r="AH75" i="17"/>
  <c r="AH75" i="20" s="1"/>
  <c r="AJ75" i="17"/>
  <c r="AJ75" i="20" s="1"/>
  <c r="AC75" i="17"/>
  <c r="AC75" i="20" s="1"/>
  <c r="AE75" i="17"/>
  <c r="AE75" i="20" s="1"/>
  <c r="AG75" i="17"/>
  <c r="AG75" i="20" s="1"/>
  <c r="AI75" i="17"/>
  <c r="AI75" i="20" s="1"/>
  <c r="AA71" i="17"/>
  <c r="AA71" i="20" s="1"/>
  <c r="AC71" i="17"/>
  <c r="AC71" i="20" s="1"/>
  <c r="AE71" i="17"/>
  <c r="AE71" i="20" s="1"/>
  <c r="AG71" i="17"/>
  <c r="AG71" i="20" s="1"/>
  <c r="AI71" i="17"/>
  <c r="AI71" i="20" s="1"/>
  <c r="AB71" i="17"/>
  <c r="AB71" i="20" s="1"/>
  <c r="AD71" i="17"/>
  <c r="AD71" i="20" s="1"/>
  <c r="AF71" i="17"/>
  <c r="AF71" i="20" s="1"/>
  <c r="AH71" i="17"/>
  <c r="AH71" i="20" s="1"/>
  <c r="AJ71" i="17"/>
  <c r="AJ71" i="20" s="1"/>
  <c r="AA67" i="17"/>
  <c r="AA67" i="20" s="1"/>
  <c r="AC67" i="17"/>
  <c r="AC67" i="20" s="1"/>
  <c r="AE67" i="17"/>
  <c r="AE67" i="20" s="1"/>
  <c r="AG67" i="17"/>
  <c r="AG67" i="20" s="1"/>
  <c r="AI67" i="17"/>
  <c r="AI67" i="20" s="1"/>
  <c r="AB67" i="17"/>
  <c r="AB67" i="20" s="1"/>
  <c r="AD67" i="17"/>
  <c r="AD67" i="20" s="1"/>
  <c r="AF67" i="17"/>
  <c r="AF67" i="20" s="1"/>
  <c r="AH67" i="17"/>
  <c r="AH67" i="20" s="1"/>
  <c r="AJ67" i="17"/>
  <c r="AJ67" i="20" s="1"/>
  <c r="AA63" i="17"/>
  <c r="AA63" i="20" s="1"/>
  <c r="AC63" i="17"/>
  <c r="AC63" i="20" s="1"/>
  <c r="AE63" i="17"/>
  <c r="AE63" i="20" s="1"/>
  <c r="AG63" i="17"/>
  <c r="AG63" i="20" s="1"/>
  <c r="AI63" i="17"/>
  <c r="AI63" i="20" s="1"/>
  <c r="AB63" i="17"/>
  <c r="AB63" i="20" s="1"/>
  <c r="AD63" i="17"/>
  <c r="AD63" i="20" s="1"/>
  <c r="AF63" i="17"/>
  <c r="AF63" i="20" s="1"/>
  <c r="AH63" i="17"/>
  <c r="AH63" i="20" s="1"/>
  <c r="AJ63" i="17"/>
  <c r="AJ63" i="20" s="1"/>
  <c r="AB87" i="17"/>
  <c r="AB87" i="20" s="1"/>
  <c r="AD87" i="17"/>
  <c r="AD87" i="20" s="1"/>
  <c r="AF87" i="17"/>
  <c r="AF87" i="20" s="1"/>
  <c r="AH87" i="17"/>
  <c r="AH87" i="20" s="1"/>
  <c r="AJ87" i="17"/>
  <c r="AJ87" i="20" s="1"/>
  <c r="AA87" i="17"/>
  <c r="AA87" i="20" s="1"/>
  <c r="AC87" i="17"/>
  <c r="AC87" i="20" s="1"/>
  <c r="AE87" i="17"/>
  <c r="AE87" i="20" s="1"/>
  <c r="AG87" i="17"/>
  <c r="AG87" i="20" s="1"/>
  <c r="AI87" i="17"/>
  <c r="AI87" i="20" s="1"/>
  <c r="AB85" i="17"/>
  <c r="AB85" i="20" s="1"/>
  <c r="AD85" i="17"/>
  <c r="AD85" i="20" s="1"/>
  <c r="AF85" i="17"/>
  <c r="AF85" i="20" s="1"/>
  <c r="AH85" i="17"/>
  <c r="AH85" i="20" s="1"/>
  <c r="AJ85" i="17"/>
  <c r="AJ85" i="20" s="1"/>
  <c r="AA85" i="17"/>
  <c r="AA85" i="20" s="1"/>
  <c r="AC85" i="17"/>
  <c r="AC85" i="20" s="1"/>
  <c r="AE85" i="17"/>
  <c r="AE85" i="20" s="1"/>
  <c r="AG85" i="17"/>
  <c r="AG85" i="20" s="1"/>
  <c r="AI85" i="17"/>
  <c r="AI85" i="20" s="1"/>
  <c r="AB83" i="17"/>
  <c r="AB83" i="20" s="1"/>
  <c r="AD83" i="17"/>
  <c r="AD83" i="20" s="1"/>
  <c r="AF83" i="17"/>
  <c r="AF83" i="20" s="1"/>
  <c r="AH83" i="17"/>
  <c r="AH83" i="20" s="1"/>
  <c r="AJ83" i="17"/>
  <c r="AJ83" i="20" s="1"/>
  <c r="AA83" i="17"/>
  <c r="AA83" i="20" s="1"/>
  <c r="AC83" i="17"/>
  <c r="AC83" i="20" s="1"/>
  <c r="AE83" i="17"/>
  <c r="AE83" i="20" s="1"/>
  <c r="AG83" i="17"/>
  <c r="AG83" i="20" s="1"/>
  <c r="AI83" i="17"/>
  <c r="AI83" i="20" s="1"/>
  <c r="AB81" i="17"/>
  <c r="AB81" i="20" s="1"/>
  <c r="AD81" i="17"/>
  <c r="AD81" i="20" s="1"/>
  <c r="AF81" i="17"/>
  <c r="AF81" i="20" s="1"/>
  <c r="AH81" i="17"/>
  <c r="AH81" i="20" s="1"/>
  <c r="AJ81" i="17"/>
  <c r="AJ81" i="20" s="1"/>
  <c r="AA81" i="17"/>
  <c r="AA81" i="20" s="1"/>
  <c r="AC81" i="17"/>
  <c r="AC81" i="20" s="1"/>
  <c r="AE81" i="17"/>
  <c r="AE81" i="20" s="1"/>
  <c r="AG81" i="17"/>
  <c r="AG81" i="20" s="1"/>
  <c r="AI81" i="17"/>
  <c r="AI81" i="20" s="1"/>
  <c r="AB92" i="17"/>
  <c r="AB92" i="20" s="1"/>
  <c r="AD92" i="17"/>
  <c r="AD92" i="20" s="1"/>
  <c r="AF92" i="17"/>
  <c r="AF92" i="20" s="1"/>
  <c r="AH92" i="17"/>
  <c r="AH92" i="20" s="1"/>
  <c r="AJ92" i="17"/>
  <c r="AJ92" i="20" s="1"/>
  <c r="AA92" i="17"/>
  <c r="AA92" i="20" s="1"/>
  <c r="AC92" i="17"/>
  <c r="AC92" i="20" s="1"/>
  <c r="AE92" i="17"/>
  <c r="AE92" i="20" s="1"/>
  <c r="AG92" i="17"/>
  <c r="AG92" i="20" s="1"/>
  <c r="AI92" i="17"/>
  <c r="AI92" i="20" s="1"/>
  <c r="AB105" i="17"/>
  <c r="AB105" i="20" s="1"/>
  <c r="AD105" i="17"/>
  <c r="AD105" i="20" s="1"/>
  <c r="AF105" i="17"/>
  <c r="AF105" i="20" s="1"/>
  <c r="AH105" i="17"/>
  <c r="AH105" i="20" s="1"/>
  <c r="AJ105" i="17"/>
  <c r="AJ105" i="20" s="1"/>
  <c r="AA105" i="17"/>
  <c r="AA105" i="20" s="1"/>
  <c r="AC105" i="17"/>
  <c r="AC105" i="20" s="1"/>
  <c r="AE105" i="17"/>
  <c r="AE105" i="20" s="1"/>
  <c r="AG105" i="17"/>
  <c r="AG105" i="20" s="1"/>
  <c r="AI105" i="17"/>
  <c r="AI105" i="20" s="1"/>
  <c r="AB103" i="17"/>
  <c r="AB103" i="20" s="1"/>
  <c r="AD103" i="17"/>
  <c r="AD103" i="20" s="1"/>
  <c r="AF103" i="17"/>
  <c r="AF103" i="20" s="1"/>
  <c r="AH103" i="17"/>
  <c r="AH103" i="20" s="1"/>
  <c r="AJ103" i="17"/>
  <c r="AJ103" i="20" s="1"/>
  <c r="AA103" i="17"/>
  <c r="AA103" i="20" s="1"/>
  <c r="AC103" i="17"/>
  <c r="AC103" i="20" s="1"/>
  <c r="AE103" i="17"/>
  <c r="AE103" i="20" s="1"/>
  <c r="AG103" i="17"/>
  <c r="AG103" i="20" s="1"/>
  <c r="AI103" i="17"/>
  <c r="AI103" i="20" s="1"/>
  <c r="AB101" i="17"/>
  <c r="AB101" i="20" s="1"/>
  <c r="AD101" i="17"/>
  <c r="AD101" i="20" s="1"/>
  <c r="AF101" i="17"/>
  <c r="AF101" i="20" s="1"/>
  <c r="AH101" i="17"/>
  <c r="AH101" i="20" s="1"/>
  <c r="AJ101" i="17"/>
  <c r="AJ101" i="20" s="1"/>
  <c r="AA101" i="17"/>
  <c r="AA101" i="20" s="1"/>
  <c r="AC101" i="17"/>
  <c r="AC101" i="20" s="1"/>
  <c r="AE101" i="17"/>
  <c r="AE101" i="20" s="1"/>
  <c r="AG101" i="17"/>
  <c r="AG101" i="20" s="1"/>
  <c r="AI101" i="17"/>
  <c r="AI101" i="20" s="1"/>
  <c r="AB97" i="17"/>
  <c r="AB97" i="20" s="1"/>
  <c r="AD97" i="17"/>
  <c r="AD97" i="20" s="1"/>
  <c r="AF97" i="17"/>
  <c r="AF97" i="20" s="1"/>
  <c r="AH97" i="17"/>
  <c r="AH97" i="20" s="1"/>
  <c r="AJ97" i="17"/>
  <c r="AJ97" i="20" s="1"/>
  <c r="AA97" i="17"/>
  <c r="AA97" i="20" s="1"/>
  <c r="AC97" i="17"/>
  <c r="AC97" i="20" s="1"/>
  <c r="AE97" i="17"/>
  <c r="AE97" i="20" s="1"/>
  <c r="AG97" i="17"/>
  <c r="AG97" i="20" s="1"/>
  <c r="AI97" i="17"/>
  <c r="AI97" i="20" s="1"/>
  <c r="AB93" i="17"/>
  <c r="AB93" i="20" s="1"/>
  <c r="AD93" i="17"/>
  <c r="AD93" i="20" s="1"/>
  <c r="AF93" i="17"/>
  <c r="AF93" i="20" s="1"/>
  <c r="AH93" i="17"/>
  <c r="AH93" i="20" s="1"/>
  <c r="AJ93" i="17"/>
  <c r="AJ93" i="20" s="1"/>
  <c r="AA93" i="17"/>
  <c r="AA93" i="20" s="1"/>
  <c r="AC93" i="17"/>
  <c r="AC93" i="20" s="1"/>
  <c r="AE93" i="17"/>
  <c r="AE93" i="20" s="1"/>
  <c r="AG93" i="17"/>
  <c r="AG93" i="20" s="1"/>
  <c r="AI93" i="17"/>
  <c r="AI93" i="20" s="1"/>
  <c r="AB117" i="17"/>
  <c r="AB117" i="20" s="1"/>
  <c r="AD117" i="17"/>
  <c r="AD117" i="20" s="1"/>
  <c r="AF117" i="17"/>
  <c r="AF117" i="20" s="1"/>
  <c r="AH117" i="17"/>
  <c r="AH117" i="20" s="1"/>
  <c r="AJ117" i="17"/>
  <c r="AJ117" i="20" s="1"/>
  <c r="AA117" i="17"/>
  <c r="AA117" i="20" s="1"/>
  <c r="AC117" i="17"/>
  <c r="AC117" i="20" s="1"/>
  <c r="AE117" i="17"/>
  <c r="AE117" i="20" s="1"/>
  <c r="AG117" i="17"/>
  <c r="AG117" i="20" s="1"/>
  <c r="AI117" i="17"/>
  <c r="AI117" i="20" s="1"/>
  <c r="AB115" i="17"/>
  <c r="AB115" i="20" s="1"/>
  <c r="AD115" i="17"/>
  <c r="AD115" i="20" s="1"/>
  <c r="AF115" i="17"/>
  <c r="AF115" i="20" s="1"/>
  <c r="AH115" i="17"/>
  <c r="AH115" i="20" s="1"/>
  <c r="AJ115" i="17"/>
  <c r="AJ115" i="20" s="1"/>
  <c r="AA115" i="17"/>
  <c r="AA115" i="20" s="1"/>
  <c r="AC115" i="17"/>
  <c r="AC115" i="20" s="1"/>
  <c r="AE115" i="17"/>
  <c r="AE115" i="20" s="1"/>
  <c r="AG115" i="17"/>
  <c r="AG115" i="20" s="1"/>
  <c r="AI115" i="17"/>
  <c r="AI115" i="20" s="1"/>
  <c r="AB113" i="17"/>
  <c r="AB113" i="20" s="1"/>
  <c r="AD113" i="17"/>
  <c r="AD113" i="20" s="1"/>
  <c r="AF113" i="17"/>
  <c r="AF113" i="20" s="1"/>
  <c r="AH113" i="17"/>
  <c r="AH113" i="20" s="1"/>
  <c r="AJ113" i="17"/>
  <c r="AJ113" i="20" s="1"/>
  <c r="AA113" i="17"/>
  <c r="AA113" i="20" s="1"/>
  <c r="AC113" i="17"/>
  <c r="AC113" i="20" s="1"/>
  <c r="AE113" i="17"/>
  <c r="AE113" i="20" s="1"/>
  <c r="AG113" i="17"/>
  <c r="AG113" i="20" s="1"/>
  <c r="AI113" i="17"/>
  <c r="AI113" i="20" s="1"/>
  <c r="AB111" i="17"/>
  <c r="AB111" i="20" s="1"/>
  <c r="AD111" i="17"/>
  <c r="AD111" i="20" s="1"/>
  <c r="AF111" i="17"/>
  <c r="AF111" i="20" s="1"/>
  <c r="AH111" i="17"/>
  <c r="AH111" i="20" s="1"/>
  <c r="AJ111" i="17"/>
  <c r="AJ111" i="20" s="1"/>
  <c r="AA111" i="17"/>
  <c r="AA111" i="20" s="1"/>
  <c r="AC111" i="17"/>
  <c r="AC111" i="20" s="1"/>
  <c r="AE111" i="17"/>
  <c r="AE111" i="20" s="1"/>
  <c r="AG111" i="17"/>
  <c r="AG111" i="20" s="1"/>
  <c r="AI111" i="17"/>
  <c r="AI111" i="20" s="1"/>
  <c r="AB109" i="17"/>
  <c r="AB109" i="20" s="1"/>
  <c r="AD109" i="17"/>
  <c r="AD109" i="20" s="1"/>
  <c r="AF109" i="17"/>
  <c r="AF109" i="20" s="1"/>
  <c r="AH109" i="17"/>
  <c r="AH109" i="20" s="1"/>
  <c r="AJ109" i="17"/>
  <c r="AJ109" i="20" s="1"/>
  <c r="AA109" i="17"/>
  <c r="AA109" i="20" s="1"/>
  <c r="AC109" i="17"/>
  <c r="AC109" i="20" s="1"/>
  <c r="AE109" i="17"/>
  <c r="AE109" i="20" s="1"/>
  <c r="AG109" i="17"/>
  <c r="AG109" i="20" s="1"/>
  <c r="AI109" i="17"/>
  <c r="AI109" i="20" s="1"/>
  <c r="AB122" i="17"/>
  <c r="AB122" i="20" s="1"/>
  <c r="AD122" i="17"/>
  <c r="AD122" i="20" s="1"/>
  <c r="AF122" i="17"/>
  <c r="AF122" i="20" s="1"/>
  <c r="AH122" i="17"/>
  <c r="AH122" i="20" s="1"/>
  <c r="AJ122" i="17"/>
  <c r="AJ122" i="20" s="1"/>
  <c r="AA122" i="17"/>
  <c r="AA122" i="20" s="1"/>
  <c r="AC122" i="17"/>
  <c r="AC122" i="20" s="1"/>
  <c r="AE122" i="17"/>
  <c r="AE122" i="20" s="1"/>
  <c r="AG122" i="17"/>
  <c r="AG122" i="20" s="1"/>
  <c r="AI122" i="17"/>
  <c r="AI122" i="20" s="1"/>
  <c r="AB135" i="17"/>
  <c r="AB135" i="20" s="1"/>
  <c r="AD135" i="17"/>
  <c r="AD135" i="20" s="1"/>
  <c r="AF135" i="17"/>
  <c r="AF135" i="20" s="1"/>
  <c r="AH135" i="17"/>
  <c r="AH135" i="20" s="1"/>
  <c r="AJ135" i="17"/>
  <c r="AJ135" i="20" s="1"/>
  <c r="AA135" i="17"/>
  <c r="AA135" i="20" s="1"/>
  <c r="AC135" i="17"/>
  <c r="AC135" i="20" s="1"/>
  <c r="AE135" i="17"/>
  <c r="AE135" i="20" s="1"/>
  <c r="AG135" i="17"/>
  <c r="AG135" i="20" s="1"/>
  <c r="AI135" i="17"/>
  <c r="AI135" i="20" s="1"/>
  <c r="AB131" i="17"/>
  <c r="AB131" i="20" s="1"/>
  <c r="AD131" i="17"/>
  <c r="AD131" i="20" s="1"/>
  <c r="AF131" i="17"/>
  <c r="AF131" i="20" s="1"/>
  <c r="AH131" i="17"/>
  <c r="AH131" i="20" s="1"/>
  <c r="AJ131" i="17"/>
  <c r="AJ131" i="20" s="1"/>
  <c r="AA131" i="17"/>
  <c r="AA131" i="20" s="1"/>
  <c r="AC131" i="17"/>
  <c r="AC131" i="20" s="1"/>
  <c r="AE131" i="17"/>
  <c r="AE131" i="20" s="1"/>
  <c r="AG131" i="17"/>
  <c r="AG131" i="20" s="1"/>
  <c r="AI131" i="17"/>
  <c r="AI131" i="20" s="1"/>
  <c r="AB127" i="17"/>
  <c r="AB127" i="20" s="1"/>
  <c r="AD127" i="17"/>
  <c r="AD127" i="20" s="1"/>
  <c r="AF127" i="17"/>
  <c r="AF127" i="20" s="1"/>
  <c r="AH127" i="17"/>
  <c r="AH127" i="20" s="1"/>
  <c r="AJ127" i="17"/>
  <c r="AJ127" i="20" s="1"/>
  <c r="AA127" i="17"/>
  <c r="AA127" i="20" s="1"/>
  <c r="AC127" i="17"/>
  <c r="AC127" i="20" s="1"/>
  <c r="AE127" i="17"/>
  <c r="AE127" i="20" s="1"/>
  <c r="AG127" i="17"/>
  <c r="AG127" i="20" s="1"/>
  <c r="AI127" i="17"/>
  <c r="AI127" i="20" s="1"/>
  <c r="AB123" i="17"/>
  <c r="AB123" i="20" s="1"/>
  <c r="AD123" i="17"/>
  <c r="AD123" i="20" s="1"/>
  <c r="AF123" i="17"/>
  <c r="AF123" i="20" s="1"/>
  <c r="AH123" i="17"/>
  <c r="AH123" i="20" s="1"/>
  <c r="AJ123" i="17"/>
  <c r="AJ123" i="20" s="1"/>
  <c r="AA123" i="17"/>
  <c r="AA123" i="20" s="1"/>
  <c r="AC123" i="17"/>
  <c r="AC123" i="20" s="1"/>
  <c r="AE123" i="17"/>
  <c r="AE123" i="20" s="1"/>
  <c r="AG123" i="17"/>
  <c r="AG123" i="20" s="1"/>
  <c r="AI123" i="17"/>
  <c r="AI123" i="20" s="1"/>
  <c r="AA30" i="17"/>
  <c r="AA30" i="20" s="1"/>
  <c r="AC30" i="17"/>
  <c r="AC30" i="20" s="1"/>
  <c r="AE30" i="17"/>
  <c r="AE30" i="20" s="1"/>
  <c r="AG30" i="17"/>
  <c r="AG30" i="20" s="1"/>
  <c r="AI30" i="17"/>
  <c r="AI30" i="20" s="1"/>
  <c r="AB30" i="17"/>
  <c r="AB30" i="20" s="1"/>
  <c r="AD30" i="17"/>
  <c r="AD30" i="20" s="1"/>
  <c r="AF30" i="17"/>
  <c r="AF30" i="20" s="1"/>
  <c r="AH30" i="17"/>
  <c r="AH30" i="20" s="1"/>
  <c r="AJ30" i="17"/>
  <c r="AJ30" i="20" s="1"/>
  <c r="AA28" i="17"/>
  <c r="AA28" i="20" s="1"/>
  <c r="AC28" i="17"/>
  <c r="AC28" i="20" s="1"/>
  <c r="AE28" i="17"/>
  <c r="AE28" i="20" s="1"/>
  <c r="AG28" i="17"/>
  <c r="AG28" i="20" s="1"/>
  <c r="AI28" i="17"/>
  <c r="AI28" i="20" s="1"/>
  <c r="AB28" i="17"/>
  <c r="AB28" i="20" s="1"/>
  <c r="AD28" i="17"/>
  <c r="AD28" i="20" s="1"/>
  <c r="AF28" i="17"/>
  <c r="AF28" i="20" s="1"/>
  <c r="AH28" i="17"/>
  <c r="AH28" i="20" s="1"/>
  <c r="AJ28" i="17"/>
  <c r="AJ28" i="20" s="1"/>
  <c r="AA22" i="17"/>
  <c r="AA22" i="20" s="1"/>
  <c r="AC22" i="17"/>
  <c r="AC22" i="20" s="1"/>
  <c r="AE22" i="17"/>
  <c r="AE22" i="20" s="1"/>
  <c r="AG22" i="17"/>
  <c r="AG22" i="20" s="1"/>
  <c r="AI22" i="17"/>
  <c r="AI22" i="20" s="1"/>
  <c r="AB22" i="17"/>
  <c r="AB22" i="20" s="1"/>
  <c r="AD22" i="17"/>
  <c r="AD22" i="20" s="1"/>
  <c r="AF22" i="17"/>
  <c r="AF22" i="20" s="1"/>
  <c r="AH22" i="17"/>
  <c r="AH22" i="20" s="1"/>
  <c r="AJ22" i="17"/>
  <c r="AJ22" i="20" s="1"/>
  <c r="AA18" i="17"/>
  <c r="AA18" i="20" s="1"/>
  <c r="AC18" i="17"/>
  <c r="AC18" i="20" s="1"/>
  <c r="AE18" i="17"/>
  <c r="AE18" i="20" s="1"/>
  <c r="AG18" i="17"/>
  <c r="AG18" i="20" s="1"/>
  <c r="AI18" i="17"/>
  <c r="AI18" i="20" s="1"/>
  <c r="AB18" i="17"/>
  <c r="AB18" i="20" s="1"/>
  <c r="AD18" i="17"/>
  <c r="AD18" i="20" s="1"/>
  <c r="AF18" i="17"/>
  <c r="AF18" i="20" s="1"/>
  <c r="AH18" i="17"/>
  <c r="AH18" i="20" s="1"/>
  <c r="AJ18" i="17"/>
  <c r="AJ18" i="20" s="1"/>
  <c r="AA42" i="17"/>
  <c r="AA42" i="20" s="1"/>
  <c r="AC42" i="17"/>
  <c r="AC42" i="20" s="1"/>
  <c r="AE42" i="17"/>
  <c r="AE42" i="20" s="1"/>
  <c r="AG42" i="17"/>
  <c r="AG42" i="20" s="1"/>
  <c r="AI42" i="17"/>
  <c r="AI42" i="20" s="1"/>
  <c r="AB42" i="17"/>
  <c r="AB42" i="20" s="1"/>
  <c r="AD42" i="17"/>
  <c r="AD42" i="20" s="1"/>
  <c r="AF42" i="17"/>
  <c r="AF42" i="20" s="1"/>
  <c r="AH42" i="17"/>
  <c r="AH42" i="20" s="1"/>
  <c r="AJ42" i="17"/>
  <c r="AJ42" i="20" s="1"/>
  <c r="AA40" i="17"/>
  <c r="AA40" i="20" s="1"/>
  <c r="AC40" i="17"/>
  <c r="AC40" i="20" s="1"/>
  <c r="AE40" i="17"/>
  <c r="AE40" i="20" s="1"/>
  <c r="AG40" i="17"/>
  <c r="AG40" i="20" s="1"/>
  <c r="AI40" i="17"/>
  <c r="AI40" i="20" s="1"/>
  <c r="AB40" i="17"/>
  <c r="AB40" i="20" s="1"/>
  <c r="AD40" i="17"/>
  <c r="AD40" i="20" s="1"/>
  <c r="AF40" i="17"/>
  <c r="AF40" i="20" s="1"/>
  <c r="AH40" i="17"/>
  <c r="AH40" i="20" s="1"/>
  <c r="AJ40" i="17"/>
  <c r="AJ40" i="20" s="1"/>
  <c r="AA38" i="17"/>
  <c r="AA38" i="20" s="1"/>
  <c r="AC38" i="17"/>
  <c r="AC38" i="20" s="1"/>
  <c r="AE38" i="17"/>
  <c r="AE38" i="20" s="1"/>
  <c r="AG38" i="17"/>
  <c r="AG38" i="20" s="1"/>
  <c r="AI38" i="17"/>
  <c r="AI38" i="20" s="1"/>
  <c r="AB38" i="17"/>
  <c r="AB38" i="20" s="1"/>
  <c r="AD38" i="17"/>
  <c r="AD38" i="20" s="1"/>
  <c r="AF38" i="17"/>
  <c r="AF38" i="20" s="1"/>
  <c r="AH38" i="17"/>
  <c r="AH38" i="20" s="1"/>
  <c r="AJ38" i="17"/>
  <c r="AJ38" i="20" s="1"/>
  <c r="AA36" i="17"/>
  <c r="AA36" i="20" s="1"/>
  <c r="AC36" i="17"/>
  <c r="AC36" i="20" s="1"/>
  <c r="AE36" i="17"/>
  <c r="AE36" i="20" s="1"/>
  <c r="AG36" i="17"/>
  <c r="AG36" i="20" s="1"/>
  <c r="AI36" i="17"/>
  <c r="AI36" i="20" s="1"/>
  <c r="AB36" i="17"/>
  <c r="AB36" i="20" s="1"/>
  <c r="AD36" i="17"/>
  <c r="AD36" i="20" s="1"/>
  <c r="AF36" i="17"/>
  <c r="AF36" i="20" s="1"/>
  <c r="AH36" i="17"/>
  <c r="AH36" i="20" s="1"/>
  <c r="AJ36" i="17"/>
  <c r="AJ36" i="20" s="1"/>
  <c r="AA47" i="17"/>
  <c r="AA47" i="20" s="1"/>
  <c r="AC47" i="17"/>
  <c r="AC47" i="20" s="1"/>
  <c r="AE47" i="17"/>
  <c r="AE47" i="20" s="1"/>
  <c r="AG47" i="17"/>
  <c r="AG47" i="20" s="1"/>
  <c r="AI47" i="17"/>
  <c r="AI47" i="20" s="1"/>
  <c r="AB47" i="17"/>
  <c r="AB47" i="20" s="1"/>
  <c r="AD47" i="17"/>
  <c r="AD47" i="20" s="1"/>
  <c r="AF47" i="17"/>
  <c r="AF47" i="20" s="1"/>
  <c r="AH47" i="17"/>
  <c r="AH47" i="20" s="1"/>
  <c r="AJ47" i="17"/>
  <c r="AJ47" i="20" s="1"/>
  <c r="AA60" i="17"/>
  <c r="AA60" i="20" s="1"/>
  <c r="AC60" i="17"/>
  <c r="AC60" i="20" s="1"/>
  <c r="AE60" i="17"/>
  <c r="AE60" i="20" s="1"/>
  <c r="AG60" i="17"/>
  <c r="AG60" i="20" s="1"/>
  <c r="AI60" i="17"/>
  <c r="AI60" i="20" s="1"/>
  <c r="AB60" i="17"/>
  <c r="AB60" i="20" s="1"/>
  <c r="AD60" i="17"/>
  <c r="AD60" i="20" s="1"/>
  <c r="AF60" i="17"/>
  <c r="AF60" i="20" s="1"/>
  <c r="AH60" i="17"/>
  <c r="AH60" i="20" s="1"/>
  <c r="AJ60" i="17"/>
  <c r="AJ60" i="20" s="1"/>
  <c r="AA58" i="17"/>
  <c r="AA58" i="20" s="1"/>
  <c r="AC58" i="17"/>
  <c r="AC58" i="20" s="1"/>
  <c r="AE58" i="17"/>
  <c r="AE58" i="20" s="1"/>
  <c r="AG58" i="17"/>
  <c r="AG58" i="20" s="1"/>
  <c r="AI58" i="17"/>
  <c r="AI58" i="20" s="1"/>
  <c r="AB58" i="17"/>
  <c r="AB58" i="20" s="1"/>
  <c r="AD58" i="17"/>
  <c r="AD58" i="20" s="1"/>
  <c r="AF58" i="17"/>
  <c r="AF58" i="20" s="1"/>
  <c r="AH58" i="17"/>
  <c r="AH58" i="20" s="1"/>
  <c r="AJ58" i="17"/>
  <c r="AJ58" i="20" s="1"/>
  <c r="AA52" i="17"/>
  <c r="AA52" i="20" s="1"/>
  <c r="AC52" i="17"/>
  <c r="AC52" i="20" s="1"/>
  <c r="AE52" i="17"/>
  <c r="AE52" i="20" s="1"/>
  <c r="AG52" i="17"/>
  <c r="AG52" i="20" s="1"/>
  <c r="AI52" i="17"/>
  <c r="AI52" i="20" s="1"/>
  <c r="AB52" i="17"/>
  <c r="AB52" i="20" s="1"/>
  <c r="AD52" i="17"/>
  <c r="AD52" i="20" s="1"/>
  <c r="AF52" i="17"/>
  <c r="AF52" i="20" s="1"/>
  <c r="AH52" i="17"/>
  <c r="AH52" i="20" s="1"/>
  <c r="AJ52" i="17"/>
  <c r="AJ52" i="20" s="1"/>
  <c r="AA66" i="17"/>
  <c r="AA66" i="20" s="1"/>
  <c r="AC66" i="17"/>
  <c r="AC66" i="20" s="1"/>
  <c r="AE66" i="17"/>
  <c r="AE66" i="20" s="1"/>
  <c r="AG66" i="17"/>
  <c r="AG66" i="20" s="1"/>
  <c r="AI66" i="17"/>
  <c r="AI66" i="20" s="1"/>
  <c r="AB66" i="17"/>
  <c r="AB66" i="20" s="1"/>
  <c r="AD66" i="17"/>
  <c r="AD66" i="20" s="1"/>
  <c r="AF66" i="17"/>
  <c r="AF66" i="20" s="1"/>
  <c r="AH66" i="17"/>
  <c r="AH66" i="20" s="1"/>
  <c r="AJ66" i="17"/>
  <c r="AJ66" i="20" s="1"/>
  <c r="AA64" i="17"/>
  <c r="AA64" i="20" s="1"/>
  <c r="AC64" i="17"/>
  <c r="AC64" i="20" s="1"/>
  <c r="AE64" i="17"/>
  <c r="AE64" i="20" s="1"/>
  <c r="AG64" i="17"/>
  <c r="AG64" i="20" s="1"/>
  <c r="AI64" i="17"/>
  <c r="AI64" i="20" s="1"/>
  <c r="AB64" i="17"/>
  <c r="AB64" i="20" s="1"/>
  <c r="AD64" i="17"/>
  <c r="AD64" i="20" s="1"/>
  <c r="AF64" i="17"/>
  <c r="AF64" i="20" s="1"/>
  <c r="AH64" i="17"/>
  <c r="AH64" i="20" s="1"/>
  <c r="AJ64" i="17"/>
  <c r="AJ64" i="20" s="1"/>
  <c r="AB77" i="17"/>
  <c r="AB77" i="20" s="1"/>
  <c r="AD77" i="17"/>
  <c r="AD77" i="20" s="1"/>
  <c r="AF77" i="17"/>
  <c r="AF77" i="20" s="1"/>
  <c r="AH77" i="17"/>
  <c r="AH77" i="20" s="1"/>
  <c r="AJ77" i="17"/>
  <c r="AJ77" i="20" s="1"/>
  <c r="AA77" i="17"/>
  <c r="AA77" i="20" s="1"/>
  <c r="AC77" i="17"/>
  <c r="AC77" i="20" s="1"/>
  <c r="AE77" i="17"/>
  <c r="AE77" i="20" s="1"/>
  <c r="AG77" i="17"/>
  <c r="AG77" i="20" s="1"/>
  <c r="AI77" i="17"/>
  <c r="AI77" i="20" s="1"/>
  <c r="AB90" i="17"/>
  <c r="AB90" i="20" s="1"/>
  <c r="AD90" i="17"/>
  <c r="AD90" i="20" s="1"/>
  <c r="AF90" i="17"/>
  <c r="AF90" i="20" s="1"/>
  <c r="AH90" i="17"/>
  <c r="AH90" i="20" s="1"/>
  <c r="AJ90" i="17"/>
  <c r="AJ90" i="20" s="1"/>
  <c r="AA90" i="17"/>
  <c r="AA90" i="20" s="1"/>
  <c r="AC90" i="17"/>
  <c r="AC90" i="20" s="1"/>
  <c r="AE90" i="17"/>
  <c r="AE90" i="20" s="1"/>
  <c r="AG90" i="17"/>
  <c r="AG90" i="20" s="1"/>
  <c r="AI90" i="17"/>
  <c r="AI90" i="20" s="1"/>
  <c r="AB88" i="17"/>
  <c r="AB88" i="20" s="1"/>
  <c r="AD88" i="17"/>
  <c r="AD88" i="20" s="1"/>
  <c r="AF88" i="17"/>
  <c r="AF88" i="20" s="1"/>
  <c r="AH88" i="17"/>
  <c r="AH88" i="20" s="1"/>
  <c r="AJ88" i="17"/>
  <c r="AJ88" i="20" s="1"/>
  <c r="AA88" i="17"/>
  <c r="AA88" i="20" s="1"/>
  <c r="AC88" i="17"/>
  <c r="AC88" i="20" s="1"/>
  <c r="AE88" i="17"/>
  <c r="AE88" i="20" s="1"/>
  <c r="AG88" i="17"/>
  <c r="AG88" i="20" s="1"/>
  <c r="AI88" i="17"/>
  <c r="AI88" i="20" s="1"/>
  <c r="AB86" i="17"/>
  <c r="AB86" i="20" s="1"/>
  <c r="AD86" i="17"/>
  <c r="AD86" i="20" s="1"/>
  <c r="AF86" i="17"/>
  <c r="AF86" i="20" s="1"/>
  <c r="AH86" i="17"/>
  <c r="AH86" i="20" s="1"/>
  <c r="AJ86" i="17"/>
  <c r="AJ86" i="20" s="1"/>
  <c r="AA86" i="17"/>
  <c r="AA86" i="20" s="1"/>
  <c r="AC86" i="17"/>
  <c r="AC86" i="20" s="1"/>
  <c r="AE86" i="17"/>
  <c r="AE86" i="20" s="1"/>
  <c r="AG86" i="17"/>
  <c r="AG86" i="20" s="1"/>
  <c r="AI86" i="17"/>
  <c r="AI86" i="20" s="1"/>
  <c r="AB78" i="17"/>
  <c r="AB78" i="20" s="1"/>
  <c r="AD78" i="17"/>
  <c r="AD78" i="20" s="1"/>
  <c r="AF78" i="17"/>
  <c r="AF78" i="20" s="1"/>
  <c r="AH78" i="17"/>
  <c r="AH78" i="20" s="1"/>
  <c r="AJ78" i="17"/>
  <c r="AJ78" i="20" s="1"/>
  <c r="AA78" i="17"/>
  <c r="AA78" i="20" s="1"/>
  <c r="AC78" i="17"/>
  <c r="AC78" i="20" s="1"/>
  <c r="AE78" i="17"/>
  <c r="AE78" i="20" s="1"/>
  <c r="AG78" i="17"/>
  <c r="AG78" i="20" s="1"/>
  <c r="AI78" i="17"/>
  <c r="AI78" i="20" s="1"/>
  <c r="AB102" i="17"/>
  <c r="AB102" i="20" s="1"/>
  <c r="AD102" i="17"/>
  <c r="AD102" i="20" s="1"/>
  <c r="AF102" i="17"/>
  <c r="AF102" i="20" s="1"/>
  <c r="AH102" i="17"/>
  <c r="AH102" i="20" s="1"/>
  <c r="AJ102" i="17"/>
  <c r="AJ102" i="20" s="1"/>
  <c r="AA102" i="17"/>
  <c r="AA102" i="20" s="1"/>
  <c r="AC102" i="17"/>
  <c r="AC102" i="20" s="1"/>
  <c r="AE102" i="17"/>
  <c r="AE102" i="20" s="1"/>
  <c r="AG102" i="17"/>
  <c r="AG102" i="20" s="1"/>
  <c r="AI102" i="17"/>
  <c r="AI102" i="20" s="1"/>
  <c r="AB98" i="17"/>
  <c r="AB98" i="20" s="1"/>
  <c r="AD98" i="17"/>
  <c r="AD98" i="20" s="1"/>
  <c r="AF98" i="17"/>
  <c r="AF98" i="20" s="1"/>
  <c r="AH98" i="17"/>
  <c r="AH98" i="20" s="1"/>
  <c r="AJ98" i="17"/>
  <c r="AJ98" i="20" s="1"/>
  <c r="AA98" i="17"/>
  <c r="AA98" i="20" s="1"/>
  <c r="AC98" i="17"/>
  <c r="AC98" i="20" s="1"/>
  <c r="AE98" i="17"/>
  <c r="AE98" i="20" s="1"/>
  <c r="AG98" i="17"/>
  <c r="AG98" i="20" s="1"/>
  <c r="AI98" i="17"/>
  <c r="AI98" i="20" s="1"/>
  <c r="AB96" i="17"/>
  <c r="AB96" i="20" s="1"/>
  <c r="AD96" i="17"/>
  <c r="AD96" i="20" s="1"/>
  <c r="AF96" i="17"/>
  <c r="AF96" i="20" s="1"/>
  <c r="AH96" i="17"/>
  <c r="AH96" i="20" s="1"/>
  <c r="AJ96" i="17"/>
  <c r="AJ96" i="20" s="1"/>
  <c r="AA96" i="17"/>
  <c r="AA96" i="20" s="1"/>
  <c r="AC96" i="17"/>
  <c r="AC96" i="20" s="1"/>
  <c r="AE96" i="17"/>
  <c r="AE96" i="20" s="1"/>
  <c r="AG96" i="17"/>
  <c r="AG96" i="20" s="1"/>
  <c r="AI96" i="17"/>
  <c r="AI96" i="20" s="1"/>
  <c r="AB107" i="17"/>
  <c r="AB107" i="20" s="1"/>
  <c r="AD107" i="17"/>
  <c r="AD107" i="20" s="1"/>
  <c r="AF107" i="17"/>
  <c r="AF107" i="20" s="1"/>
  <c r="AH107" i="17"/>
  <c r="AH107" i="20" s="1"/>
  <c r="AJ107" i="17"/>
  <c r="AJ107" i="20" s="1"/>
  <c r="AA107" i="17"/>
  <c r="AA107" i="20" s="1"/>
  <c r="AC107" i="17"/>
  <c r="AC107" i="20" s="1"/>
  <c r="AE107" i="17"/>
  <c r="AE107" i="20" s="1"/>
  <c r="AG107" i="17"/>
  <c r="AG107" i="20" s="1"/>
  <c r="AI107" i="17"/>
  <c r="AI107" i="20" s="1"/>
  <c r="AB120" i="17"/>
  <c r="AB120" i="20" s="1"/>
  <c r="AD120" i="17"/>
  <c r="AD120" i="20" s="1"/>
  <c r="AF120" i="17"/>
  <c r="AF120" i="20" s="1"/>
  <c r="AH120" i="17"/>
  <c r="AH120" i="20" s="1"/>
  <c r="AJ120" i="17"/>
  <c r="AJ120" i="20" s="1"/>
  <c r="AA120" i="17"/>
  <c r="AA120" i="20" s="1"/>
  <c r="AC120" i="17"/>
  <c r="AC120" i="20" s="1"/>
  <c r="AE120" i="17"/>
  <c r="AE120" i="20" s="1"/>
  <c r="AG120" i="17"/>
  <c r="AG120" i="20" s="1"/>
  <c r="AI120" i="17"/>
  <c r="AI120" i="20" s="1"/>
  <c r="AB118" i="17"/>
  <c r="AB118" i="20" s="1"/>
  <c r="AD118" i="17"/>
  <c r="AD118" i="20" s="1"/>
  <c r="AF118" i="17"/>
  <c r="AF118" i="20" s="1"/>
  <c r="AH118" i="17"/>
  <c r="AH118" i="20" s="1"/>
  <c r="AJ118" i="17"/>
  <c r="AJ118" i="20" s="1"/>
  <c r="AA118" i="17"/>
  <c r="AA118" i="20" s="1"/>
  <c r="AC118" i="17"/>
  <c r="AC118" i="20" s="1"/>
  <c r="AE118" i="17"/>
  <c r="AE118" i="20" s="1"/>
  <c r="AG118" i="17"/>
  <c r="AG118" i="20" s="1"/>
  <c r="AI118" i="17"/>
  <c r="AI118" i="20" s="1"/>
  <c r="AB116" i="17"/>
  <c r="AB116" i="20" s="1"/>
  <c r="AD116" i="17"/>
  <c r="AD116" i="20" s="1"/>
  <c r="AF116" i="17"/>
  <c r="AF116" i="20" s="1"/>
  <c r="AH116" i="17"/>
  <c r="AH116" i="20" s="1"/>
  <c r="AJ116" i="17"/>
  <c r="AJ116" i="20" s="1"/>
  <c r="AA116" i="17"/>
  <c r="AA116" i="20" s="1"/>
  <c r="AC116" i="17"/>
  <c r="AC116" i="20" s="1"/>
  <c r="AE116" i="17"/>
  <c r="AE116" i="20" s="1"/>
  <c r="AG116" i="17"/>
  <c r="AG116" i="20" s="1"/>
  <c r="AI116" i="17"/>
  <c r="AI116" i="20" s="1"/>
  <c r="AB112" i="17"/>
  <c r="AB112" i="20" s="1"/>
  <c r="AD112" i="17"/>
  <c r="AD112" i="20" s="1"/>
  <c r="AF112" i="17"/>
  <c r="AF112" i="20" s="1"/>
  <c r="AH112" i="17"/>
  <c r="AH112" i="20" s="1"/>
  <c r="AJ112" i="17"/>
  <c r="AJ112" i="20" s="1"/>
  <c r="AA112" i="17"/>
  <c r="AA112" i="20" s="1"/>
  <c r="AC112" i="17"/>
  <c r="AC112" i="20" s="1"/>
  <c r="AE112" i="17"/>
  <c r="AE112" i="20" s="1"/>
  <c r="AG112" i="17"/>
  <c r="AG112" i="20" s="1"/>
  <c r="AI112" i="17"/>
  <c r="AI112" i="20" s="1"/>
  <c r="AB108" i="17"/>
  <c r="AB108" i="20" s="1"/>
  <c r="AD108" i="17"/>
  <c r="AD108" i="20" s="1"/>
  <c r="AF108" i="17"/>
  <c r="AF108" i="20" s="1"/>
  <c r="AH108" i="17"/>
  <c r="AH108" i="20" s="1"/>
  <c r="AJ108" i="17"/>
  <c r="AJ108" i="20" s="1"/>
  <c r="AA108" i="17"/>
  <c r="AA108" i="20" s="1"/>
  <c r="AC108" i="17"/>
  <c r="AC108" i="20" s="1"/>
  <c r="AE108" i="17"/>
  <c r="AE108" i="20" s="1"/>
  <c r="AG108" i="17"/>
  <c r="AG108" i="20" s="1"/>
  <c r="AI108" i="17"/>
  <c r="AI108" i="20" s="1"/>
  <c r="AA130" i="17"/>
  <c r="AA130" i="20" s="1"/>
  <c r="AB130" i="17"/>
  <c r="AB130" i="20" s="1"/>
  <c r="AD130" i="17"/>
  <c r="AD130" i="20" s="1"/>
  <c r="AF130" i="17"/>
  <c r="AF130" i="20" s="1"/>
  <c r="AH130" i="17"/>
  <c r="AH130" i="20" s="1"/>
  <c r="AJ130" i="17"/>
  <c r="AJ130" i="20" s="1"/>
  <c r="AC130" i="17"/>
  <c r="AC130" i="20" s="1"/>
  <c r="AE130" i="17"/>
  <c r="AE130" i="20" s="1"/>
  <c r="AG130" i="17"/>
  <c r="AG130" i="20" s="1"/>
  <c r="AI130" i="17"/>
  <c r="AI130" i="20" s="1"/>
  <c r="AB124" i="17"/>
  <c r="AB124" i="20" s="1"/>
  <c r="AD124" i="17"/>
  <c r="AD124" i="20" s="1"/>
  <c r="AF124" i="17"/>
  <c r="AF124" i="20" s="1"/>
  <c r="AH124" i="17"/>
  <c r="AH124" i="20" s="1"/>
  <c r="AJ124" i="17"/>
  <c r="AJ124" i="20" s="1"/>
  <c r="AA124" i="17"/>
  <c r="AA124" i="20" s="1"/>
  <c r="AC124" i="17"/>
  <c r="AC124" i="20" s="1"/>
  <c r="AE124" i="17"/>
  <c r="AE124" i="20" s="1"/>
  <c r="AG124" i="17"/>
  <c r="AG124" i="20" s="1"/>
  <c r="AI124" i="17"/>
  <c r="AI124" i="20" s="1"/>
  <c r="AA126" i="17"/>
  <c r="AA126" i="20" s="1"/>
  <c r="AC126" i="17"/>
  <c r="AC126" i="20" s="1"/>
  <c r="AE126" i="17"/>
  <c r="AE126" i="20" s="1"/>
  <c r="AG126" i="17"/>
  <c r="AG126" i="20" s="1"/>
  <c r="AI126" i="17"/>
  <c r="AI126" i="20" s="1"/>
  <c r="AB126" i="17"/>
  <c r="AB126" i="20" s="1"/>
  <c r="AD126" i="17"/>
  <c r="AD126" i="20" s="1"/>
  <c r="AF126" i="17"/>
  <c r="AF126" i="20" s="1"/>
  <c r="AH126" i="17"/>
  <c r="AH126" i="20" s="1"/>
  <c r="AJ126" i="17"/>
  <c r="AJ126" i="20" s="1"/>
  <c r="H49" i="7"/>
  <c r="G49" i="7"/>
  <c r="F49" i="7"/>
  <c r="E49" i="7"/>
  <c r="D49" i="7"/>
  <c r="H25" i="7"/>
  <c r="G25" i="7"/>
  <c r="F25" i="7"/>
  <c r="E25" i="7"/>
  <c r="D25" i="7"/>
  <c r="H183" i="7"/>
  <c r="F183" i="7"/>
  <c r="G183" i="7"/>
  <c r="E183" i="7"/>
  <c r="D183" i="7"/>
  <c r="H175" i="7"/>
  <c r="F175" i="7"/>
  <c r="G175" i="7"/>
  <c r="E175" i="7"/>
  <c r="D175" i="7"/>
  <c r="H167" i="7"/>
  <c r="G167" i="7"/>
  <c r="E167" i="7"/>
  <c r="F167" i="7"/>
  <c r="D167" i="7"/>
  <c r="H155" i="7"/>
  <c r="G155" i="7"/>
  <c r="F155" i="7"/>
  <c r="E155" i="7"/>
  <c r="D155" i="7"/>
  <c r="H147" i="7"/>
  <c r="G147" i="7"/>
  <c r="F147" i="7"/>
  <c r="E147" i="7"/>
  <c r="D147" i="7"/>
  <c r="H139" i="7"/>
  <c r="G139" i="7"/>
  <c r="F139" i="7"/>
  <c r="E139" i="7"/>
  <c r="D139" i="7"/>
  <c r="H127" i="7"/>
  <c r="G127" i="7"/>
  <c r="E127" i="7"/>
  <c r="F127" i="7"/>
  <c r="D127" i="7"/>
  <c r="H119" i="7"/>
  <c r="G119" i="7"/>
  <c r="E119" i="7"/>
  <c r="F119" i="7"/>
  <c r="D119" i="7"/>
  <c r="H111" i="7"/>
  <c r="G111" i="7"/>
  <c r="E111" i="7"/>
  <c r="F111" i="7"/>
  <c r="D111" i="7"/>
  <c r="H99" i="7"/>
  <c r="G99" i="7"/>
  <c r="F99" i="7"/>
  <c r="E99" i="7"/>
  <c r="D99" i="7"/>
  <c r="H91" i="7"/>
  <c r="G91" i="7"/>
  <c r="F91" i="7"/>
  <c r="E91" i="7"/>
  <c r="D91" i="7"/>
  <c r="H83" i="7"/>
  <c r="G83" i="7"/>
  <c r="F83" i="7"/>
  <c r="E83" i="7"/>
  <c r="D83" i="7"/>
  <c r="H75" i="7"/>
  <c r="G75" i="7"/>
  <c r="F75" i="7"/>
  <c r="E75" i="7"/>
  <c r="D75" i="7"/>
  <c r="H66" i="7"/>
  <c r="G66" i="7"/>
  <c r="F66" i="7"/>
  <c r="E66" i="7"/>
  <c r="D66" i="7"/>
  <c r="H54" i="7"/>
  <c r="G54" i="7"/>
  <c r="F54" i="7"/>
  <c r="E54" i="7"/>
  <c r="D54" i="7"/>
  <c r="H42" i="7"/>
  <c r="G42" i="7"/>
  <c r="F42" i="7"/>
  <c r="E42" i="7"/>
  <c r="D42" i="7"/>
  <c r="H30" i="7"/>
  <c r="G30" i="7"/>
  <c r="E30" i="7"/>
  <c r="F30" i="7"/>
  <c r="D30" i="7"/>
  <c r="H18" i="7"/>
  <c r="G18" i="7"/>
  <c r="F18" i="7"/>
  <c r="E18" i="7"/>
  <c r="D18" i="7"/>
  <c r="H6" i="7"/>
  <c r="G6" i="7"/>
  <c r="F6" i="7"/>
  <c r="E6" i="7"/>
  <c r="D6" i="7"/>
  <c r="H55" i="7"/>
  <c r="G55" i="7"/>
  <c r="E55" i="7"/>
  <c r="F55" i="7"/>
  <c r="D55" i="7"/>
  <c r="H31" i="7"/>
  <c r="G31" i="7"/>
  <c r="E31" i="7"/>
  <c r="F31" i="7"/>
  <c r="D31" i="7"/>
  <c r="H7" i="7"/>
  <c r="G7" i="7"/>
  <c r="E7" i="7"/>
  <c r="F7" i="7"/>
  <c r="D7" i="7"/>
  <c r="H178" i="7"/>
  <c r="G178" i="7"/>
  <c r="F178" i="7"/>
  <c r="E178" i="7"/>
  <c r="D178" i="7"/>
  <c r="H170" i="7"/>
  <c r="G170" i="7"/>
  <c r="F170" i="7"/>
  <c r="E170" i="7"/>
  <c r="D170" i="7"/>
  <c r="H162" i="7"/>
  <c r="G162" i="7"/>
  <c r="F162" i="7"/>
  <c r="E162" i="7"/>
  <c r="D162" i="7"/>
  <c r="H150" i="7"/>
  <c r="G150" i="7"/>
  <c r="F150" i="7"/>
  <c r="E150" i="7"/>
  <c r="D150" i="7"/>
  <c r="H142" i="7"/>
  <c r="G142" i="7"/>
  <c r="E142" i="7"/>
  <c r="F142" i="7"/>
  <c r="D142" i="7"/>
  <c r="H128" i="7"/>
  <c r="F128" i="7"/>
  <c r="G128" i="7"/>
  <c r="E128" i="7"/>
  <c r="D128" i="7"/>
  <c r="H120" i="7"/>
  <c r="F120" i="7"/>
  <c r="G120" i="7"/>
  <c r="E120" i="7"/>
  <c r="D120" i="7"/>
  <c r="H112" i="7"/>
  <c r="F112" i="7"/>
  <c r="G112" i="7"/>
  <c r="E112" i="7"/>
  <c r="D112" i="7"/>
  <c r="H102" i="7"/>
  <c r="G102" i="7"/>
  <c r="F102" i="7"/>
  <c r="E102" i="7"/>
  <c r="D102" i="7"/>
  <c r="H92" i="7"/>
  <c r="F92" i="7"/>
  <c r="G92" i="7"/>
  <c r="E92" i="7"/>
  <c r="D92" i="7"/>
  <c r="H84" i="7"/>
  <c r="F84" i="7"/>
  <c r="G84" i="7"/>
  <c r="E84" i="7"/>
  <c r="D84" i="7"/>
  <c r="H76" i="7"/>
  <c r="F76" i="7"/>
  <c r="G76" i="7"/>
  <c r="E76" i="7"/>
  <c r="D76" i="7"/>
  <c r="H68" i="7"/>
  <c r="F68" i="7"/>
  <c r="G68" i="7"/>
  <c r="E68" i="7"/>
  <c r="D68" i="7"/>
  <c r="H58" i="7"/>
  <c r="G58" i="7"/>
  <c r="F58" i="7"/>
  <c r="E58" i="7"/>
  <c r="D58" i="7"/>
  <c r="H46" i="7"/>
  <c r="G46" i="7"/>
  <c r="E46" i="7"/>
  <c r="F46" i="7"/>
  <c r="D46" i="7"/>
  <c r="H34" i="7"/>
  <c r="G34" i="7"/>
  <c r="F34" i="7"/>
  <c r="E34" i="7"/>
  <c r="D34" i="7"/>
  <c r="H22" i="7"/>
  <c r="G22" i="7"/>
  <c r="F22" i="7"/>
  <c r="E22" i="7"/>
  <c r="D22" i="7"/>
  <c r="H10" i="7"/>
  <c r="G10" i="7"/>
  <c r="F10" i="7"/>
  <c r="E10" i="7"/>
  <c r="D10" i="7"/>
  <c r="H181" i="7"/>
  <c r="G181" i="7"/>
  <c r="E181" i="7"/>
  <c r="F181" i="7"/>
  <c r="D181" i="7"/>
  <c r="H173" i="7"/>
  <c r="G173" i="7"/>
  <c r="E173" i="7"/>
  <c r="F173" i="7"/>
  <c r="D173" i="7"/>
  <c r="H165" i="7"/>
  <c r="F165" i="7"/>
  <c r="G165" i="7"/>
  <c r="E165" i="7"/>
  <c r="D165" i="7"/>
  <c r="H153" i="7"/>
  <c r="F153" i="7"/>
  <c r="G153" i="7"/>
  <c r="E153" i="7"/>
  <c r="D153" i="7"/>
  <c r="H145" i="7"/>
  <c r="F145" i="7"/>
  <c r="G145" i="7"/>
  <c r="E145" i="7"/>
  <c r="D145" i="7"/>
  <c r="H133" i="7"/>
  <c r="G133" i="7"/>
  <c r="F133" i="7"/>
  <c r="E133" i="7"/>
  <c r="D133" i="7"/>
  <c r="H125" i="7"/>
  <c r="G125" i="7"/>
  <c r="F125" i="7"/>
  <c r="E125" i="7"/>
  <c r="D125" i="7"/>
  <c r="H117" i="7"/>
  <c r="G117" i="7"/>
  <c r="F117" i="7"/>
  <c r="E117" i="7"/>
  <c r="D117" i="7"/>
  <c r="H109" i="7"/>
  <c r="G109" i="7"/>
  <c r="F109" i="7"/>
  <c r="E109" i="7"/>
  <c r="D109" i="7"/>
  <c r="H97" i="7"/>
  <c r="G97" i="7"/>
  <c r="F97" i="7"/>
  <c r="E97" i="7"/>
  <c r="D97" i="7"/>
  <c r="H89" i="7"/>
  <c r="G89" i="7"/>
  <c r="F89" i="7"/>
  <c r="E89" i="7"/>
  <c r="D89" i="7"/>
  <c r="H81" i="7"/>
  <c r="G81" i="7"/>
  <c r="F81" i="7"/>
  <c r="E81" i="7"/>
  <c r="D81" i="7"/>
  <c r="H73" i="7"/>
  <c r="G73" i="7"/>
  <c r="F73" i="7"/>
  <c r="E73" i="7"/>
  <c r="D73" i="7"/>
  <c r="H64" i="7"/>
  <c r="F64" i="7"/>
  <c r="G64" i="7"/>
  <c r="E64" i="7"/>
  <c r="D64" i="7"/>
  <c r="H52" i="7"/>
  <c r="G52" i="7"/>
  <c r="F52" i="7"/>
  <c r="E52" i="7"/>
  <c r="D52" i="7"/>
  <c r="H40" i="7"/>
  <c r="F40" i="7"/>
  <c r="G40" i="7"/>
  <c r="E40" i="7"/>
  <c r="D40" i="7"/>
  <c r="H28" i="7"/>
  <c r="G28" i="7"/>
  <c r="F28" i="7"/>
  <c r="E28" i="7"/>
  <c r="D28" i="7"/>
  <c r="H16" i="7"/>
  <c r="F16" i="7"/>
  <c r="G16" i="7"/>
  <c r="E16" i="7"/>
  <c r="D16" i="7"/>
  <c r="F4" i="7"/>
  <c r="H4" i="7"/>
  <c r="G4" i="7"/>
  <c r="E4" i="7"/>
  <c r="D4" i="7"/>
  <c r="H176" i="7"/>
  <c r="G176" i="7"/>
  <c r="F176" i="7"/>
  <c r="E176" i="7"/>
  <c r="D176" i="7"/>
  <c r="H168" i="7"/>
  <c r="G168" i="7"/>
  <c r="F168" i="7"/>
  <c r="E168" i="7"/>
  <c r="D168" i="7"/>
  <c r="H156" i="7"/>
  <c r="F156" i="7"/>
  <c r="G156" i="7"/>
  <c r="E156" i="7"/>
  <c r="D156" i="7"/>
  <c r="H148" i="7"/>
  <c r="G148" i="7"/>
  <c r="F148" i="7"/>
  <c r="E148" i="7"/>
  <c r="D148" i="7"/>
  <c r="H140" i="7"/>
  <c r="G140" i="7"/>
  <c r="F140" i="7"/>
  <c r="E140" i="7"/>
  <c r="D140" i="7"/>
  <c r="H126" i="7"/>
  <c r="G126" i="7"/>
  <c r="E126" i="7"/>
  <c r="F126" i="7"/>
  <c r="D126" i="7"/>
  <c r="H118" i="7"/>
  <c r="G118" i="7"/>
  <c r="F118" i="7"/>
  <c r="E118" i="7"/>
  <c r="D118" i="7"/>
  <c r="H110" i="7"/>
  <c r="G110" i="7"/>
  <c r="E110" i="7"/>
  <c r="F110" i="7"/>
  <c r="D110" i="7"/>
  <c r="H100" i="7"/>
  <c r="F100" i="7"/>
  <c r="G100" i="7"/>
  <c r="E100" i="7"/>
  <c r="D100" i="7"/>
  <c r="H90" i="7"/>
  <c r="G90" i="7"/>
  <c r="F90" i="7"/>
  <c r="E90" i="7"/>
  <c r="D90" i="7"/>
  <c r="H82" i="7"/>
  <c r="G82" i="7"/>
  <c r="F82" i="7"/>
  <c r="E82" i="7"/>
  <c r="D82" i="7"/>
  <c r="H74" i="7"/>
  <c r="G74" i="7"/>
  <c r="F74" i="7"/>
  <c r="E74" i="7"/>
  <c r="D74" i="7"/>
  <c r="H65" i="7"/>
  <c r="G65" i="7"/>
  <c r="F65" i="7"/>
  <c r="E65" i="7"/>
  <c r="D65" i="7"/>
  <c r="H53" i="7"/>
  <c r="G53" i="7"/>
  <c r="F53" i="7"/>
  <c r="E53" i="7"/>
  <c r="D53" i="7"/>
  <c r="H41" i="7"/>
  <c r="G41" i="7"/>
  <c r="F41" i="7"/>
  <c r="E41" i="7"/>
  <c r="D41" i="7"/>
  <c r="H29" i="7"/>
  <c r="G29" i="7"/>
  <c r="F29" i="7"/>
  <c r="E29" i="7"/>
  <c r="D29" i="7"/>
  <c r="H17" i="7"/>
  <c r="G17" i="7"/>
  <c r="F17" i="7"/>
  <c r="E17" i="7"/>
  <c r="D17" i="7"/>
  <c r="H5" i="7"/>
  <c r="G5" i="7"/>
  <c r="F5" i="7"/>
  <c r="E5" i="7"/>
  <c r="D5" i="7"/>
  <c r="H61" i="7"/>
  <c r="G61" i="7"/>
  <c r="F61" i="7"/>
  <c r="E61" i="7"/>
  <c r="D61" i="7"/>
  <c r="H37" i="7"/>
  <c r="G37" i="7"/>
  <c r="F37" i="7"/>
  <c r="E37" i="7"/>
  <c r="D37" i="7"/>
  <c r="H13" i="7"/>
  <c r="G13" i="7"/>
  <c r="F13" i="7"/>
  <c r="E13" i="7"/>
  <c r="D13" i="7"/>
  <c r="H179" i="7"/>
  <c r="F179" i="7"/>
  <c r="G179" i="7"/>
  <c r="E179" i="7"/>
  <c r="D179" i="7"/>
  <c r="H171" i="7"/>
  <c r="G171" i="7"/>
  <c r="F171" i="7"/>
  <c r="E171" i="7"/>
  <c r="D171" i="7"/>
  <c r="H161" i="7"/>
  <c r="F161" i="7"/>
  <c r="G161" i="7"/>
  <c r="E161" i="7"/>
  <c r="D161" i="7"/>
  <c r="H151" i="7"/>
  <c r="G151" i="7"/>
  <c r="E151" i="7"/>
  <c r="F151" i="7"/>
  <c r="D151" i="7"/>
  <c r="H143" i="7"/>
  <c r="G143" i="7"/>
  <c r="E143" i="7"/>
  <c r="F143" i="7"/>
  <c r="D143" i="7"/>
  <c r="H131" i="7"/>
  <c r="G131" i="7"/>
  <c r="F131" i="7"/>
  <c r="E131" i="7"/>
  <c r="D131" i="7"/>
  <c r="H123" i="7"/>
  <c r="G123" i="7"/>
  <c r="F123" i="7"/>
  <c r="E123" i="7"/>
  <c r="D123" i="7"/>
  <c r="H115" i="7"/>
  <c r="G115" i="7"/>
  <c r="F115" i="7"/>
  <c r="E115" i="7"/>
  <c r="D115" i="7"/>
  <c r="H105" i="7"/>
  <c r="G105" i="7"/>
  <c r="F105" i="7"/>
  <c r="E105" i="7"/>
  <c r="D105" i="7"/>
  <c r="H95" i="7"/>
  <c r="G95" i="7"/>
  <c r="E95" i="7"/>
  <c r="F95" i="7"/>
  <c r="D95" i="7"/>
  <c r="H87" i="7"/>
  <c r="G87" i="7"/>
  <c r="E87" i="7"/>
  <c r="F87" i="7"/>
  <c r="D87" i="7"/>
  <c r="H79" i="7"/>
  <c r="G79" i="7"/>
  <c r="E79" i="7"/>
  <c r="F79" i="7"/>
  <c r="D79" i="7"/>
  <c r="H71" i="7"/>
  <c r="G71" i="7"/>
  <c r="E71" i="7"/>
  <c r="F71" i="7"/>
  <c r="D71" i="7"/>
  <c r="H59" i="7"/>
  <c r="G59" i="7"/>
  <c r="F59" i="7"/>
  <c r="E59" i="7"/>
  <c r="D59" i="7"/>
  <c r="H47" i="7"/>
  <c r="G47" i="7"/>
  <c r="E47" i="7"/>
  <c r="F47" i="7"/>
  <c r="D47" i="7"/>
  <c r="H35" i="7"/>
  <c r="G35" i="7"/>
  <c r="F35" i="7"/>
  <c r="E35" i="7"/>
  <c r="D35" i="7"/>
  <c r="H23" i="7"/>
  <c r="G23" i="7"/>
  <c r="E23" i="7"/>
  <c r="F23" i="7"/>
  <c r="D23" i="7"/>
  <c r="H11" i="7"/>
  <c r="E11" i="7"/>
  <c r="G11" i="7"/>
  <c r="F11" i="7"/>
  <c r="D11" i="7"/>
  <c r="H67" i="7"/>
  <c r="G67" i="7"/>
  <c r="F67" i="7"/>
  <c r="E67" i="7"/>
  <c r="D67" i="7"/>
  <c r="H43" i="7"/>
  <c r="G43" i="7"/>
  <c r="F43" i="7"/>
  <c r="E43" i="7"/>
  <c r="D43" i="7"/>
  <c r="H19" i="7"/>
  <c r="E19" i="7"/>
  <c r="G19" i="7"/>
  <c r="F19" i="7"/>
  <c r="D19" i="7"/>
  <c r="H182" i="7"/>
  <c r="G182" i="7"/>
  <c r="F182" i="7"/>
  <c r="E182" i="7"/>
  <c r="D182" i="7"/>
  <c r="H174" i="7"/>
  <c r="G174" i="7"/>
  <c r="F174" i="7"/>
  <c r="E174" i="7"/>
  <c r="D174" i="7"/>
  <c r="H166" i="7"/>
  <c r="G166" i="7"/>
  <c r="F166" i="7"/>
  <c r="E166" i="7"/>
  <c r="D166" i="7"/>
  <c r="H154" i="7"/>
  <c r="G154" i="7"/>
  <c r="F154" i="7"/>
  <c r="E154" i="7"/>
  <c r="D154" i="7"/>
  <c r="H146" i="7"/>
  <c r="G146" i="7"/>
  <c r="F146" i="7"/>
  <c r="E146" i="7"/>
  <c r="D146" i="7"/>
  <c r="H132" i="7"/>
  <c r="F132" i="7"/>
  <c r="G132" i="7"/>
  <c r="E132" i="7"/>
  <c r="D132" i="7"/>
  <c r="H124" i="7"/>
  <c r="F124" i="7"/>
  <c r="G124" i="7"/>
  <c r="E124" i="7"/>
  <c r="D124" i="7"/>
  <c r="H116" i="7"/>
  <c r="G116" i="7"/>
  <c r="F116" i="7"/>
  <c r="E116" i="7"/>
  <c r="D116" i="7"/>
  <c r="H108" i="7"/>
  <c r="F108" i="7"/>
  <c r="G108" i="7"/>
  <c r="E108" i="7"/>
  <c r="D108" i="7"/>
  <c r="H98" i="7"/>
  <c r="G98" i="7"/>
  <c r="F98" i="7"/>
  <c r="E98" i="7"/>
  <c r="D98" i="7"/>
  <c r="H88" i="7"/>
  <c r="G88" i="7"/>
  <c r="F88" i="7"/>
  <c r="E88" i="7"/>
  <c r="D88" i="7"/>
  <c r="H80" i="7"/>
  <c r="G80" i="7"/>
  <c r="F80" i="7"/>
  <c r="E80" i="7"/>
  <c r="D80" i="7"/>
  <c r="H72" i="7"/>
  <c r="G72" i="7"/>
  <c r="F72" i="7"/>
  <c r="E72" i="7"/>
  <c r="D72" i="7"/>
  <c r="H63" i="7"/>
  <c r="G63" i="7"/>
  <c r="E63" i="7"/>
  <c r="F63" i="7"/>
  <c r="D63" i="7"/>
  <c r="H51" i="7"/>
  <c r="G51" i="7"/>
  <c r="F51" i="7"/>
  <c r="E51" i="7"/>
  <c r="D51" i="7"/>
  <c r="H39" i="7"/>
  <c r="G39" i="7"/>
  <c r="E39" i="7"/>
  <c r="F39" i="7"/>
  <c r="D39" i="7"/>
  <c r="H27" i="7"/>
  <c r="E27" i="7"/>
  <c r="G27" i="7"/>
  <c r="F27" i="7"/>
  <c r="D27" i="7"/>
  <c r="H15" i="7"/>
  <c r="G15" i="7"/>
  <c r="E15" i="7"/>
  <c r="F15" i="7"/>
  <c r="D15" i="7"/>
  <c r="H3" i="7"/>
  <c r="E3" i="7"/>
  <c r="F3" i="7"/>
  <c r="D3" i="7"/>
  <c r="H177" i="7"/>
  <c r="G177" i="7"/>
  <c r="F177" i="7"/>
  <c r="E177" i="7"/>
  <c r="D177" i="7"/>
  <c r="H169" i="7"/>
  <c r="F169" i="7"/>
  <c r="G169" i="7"/>
  <c r="E169" i="7"/>
  <c r="D169" i="7"/>
  <c r="H157" i="7"/>
  <c r="F157" i="7"/>
  <c r="G157" i="7"/>
  <c r="E157" i="7"/>
  <c r="D157" i="7"/>
  <c r="H149" i="7"/>
  <c r="F149" i="7"/>
  <c r="G149" i="7"/>
  <c r="E149" i="7"/>
  <c r="D149" i="7"/>
  <c r="H141" i="7"/>
  <c r="F141" i="7"/>
  <c r="G141" i="7"/>
  <c r="E141" i="7"/>
  <c r="D141" i="7"/>
  <c r="H129" i="7"/>
  <c r="G129" i="7"/>
  <c r="F129" i="7"/>
  <c r="E129" i="7"/>
  <c r="D129" i="7"/>
  <c r="H121" i="7"/>
  <c r="G121" i="7"/>
  <c r="F121" i="7"/>
  <c r="E121" i="7"/>
  <c r="D121" i="7"/>
  <c r="H113" i="7"/>
  <c r="G113" i="7"/>
  <c r="F113" i="7"/>
  <c r="E113" i="7"/>
  <c r="D113" i="7"/>
  <c r="H103" i="7"/>
  <c r="G103" i="7"/>
  <c r="E103" i="7"/>
  <c r="F103" i="7"/>
  <c r="D103" i="7"/>
  <c r="H93" i="7"/>
  <c r="G93" i="7"/>
  <c r="F93" i="7"/>
  <c r="E93" i="7"/>
  <c r="D93" i="7"/>
  <c r="H85" i="7"/>
  <c r="G85" i="7"/>
  <c r="F85" i="7"/>
  <c r="E85" i="7"/>
  <c r="D85" i="7"/>
  <c r="H77" i="7"/>
  <c r="G77" i="7"/>
  <c r="F77" i="7"/>
  <c r="E77" i="7"/>
  <c r="D77" i="7"/>
  <c r="H69" i="7"/>
  <c r="G69" i="7"/>
  <c r="F69" i="7"/>
  <c r="E69" i="7"/>
  <c r="D69" i="7"/>
  <c r="H57" i="7"/>
  <c r="G57" i="7"/>
  <c r="F57" i="7"/>
  <c r="E57" i="7"/>
  <c r="D57" i="7"/>
  <c r="H45" i="7"/>
  <c r="G45" i="7"/>
  <c r="F45" i="7"/>
  <c r="E45" i="7"/>
  <c r="D45" i="7"/>
  <c r="H33" i="7"/>
  <c r="G33" i="7"/>
  <c r="F33" i="7"/>
  <c r="E33" i="7"/>
  <c r="D33" i="7"/>
  <c r="H21" i="7"/>
  <c r="G21" i="7"/>
  <c r="F21" i="7"/>
  <c r="E21" i="7"/>
  <c r="D21" i="7"/>
  <c r="H9" i="7"/>
  <c r="G9" i="7"/>
  <c r="F9" i="7"/>
  <c r="E9" i="7"/>
  <c r="D9" i="7"/>
  <c r="H180" i="7"/>
  <c r="F180" i="7"/>
  <c r="G180" i="7"/>
  <c r="E180" i="7"/>
  <c r="D180" i="7"/>
  <c r="H172" i="7"/>
  <c r="F172" i="7"/>
  <c r="G172" i="7"/>
  <c r="E172" i="7"/>
  <c r="D172" i="7"/>
  <c r="H164" i="7"/>
  <c r="G164" i="7"/>
  <c r="F164" i="7"/>
  <c r="E164" i="7"/>
  <c r="D164" i="7"/>
  <c r="H152" i="7"/>
  <c r="G152" i="7"/>
  <c r="F152" i="7"/>
  <c r="E152" i="7"/>
  <c r="D152" i="7"/>
  <c r="H144" i="7"/>
  <c r="F144" i="7"/>
  <c r="G144" i="7"/>
  <c r="E144" i="7"/>
  <c r="D144" i="7"/>
  <c r="H130" i="7"/>
  <c r="G130" i="7"/>
  <c r="F130" i="7"/>
  <c r="E130" i="7"/>
  <c r="D130" i="7"/>
  <c r="H122" i="7"/>
  <c r="G122" i="7"/>
  <c r="F122" i="7"/>
  <c r="E122" i="7"/>
  <c r="D122" i="7"/>
  <c r="H114" i="7"/>
  <c r="G114" i="7"/>
  <c r="F114" i="7"/>
  <c r="E114" i="7"/>
  <c r="D114" i="7"/>
  <c r="H106" i="7"/>
  <c r="G106" i="7"/>
  <c r="F106" i="7"/>
  <c r="E106" i="7"/>
  <c r="D106" i="7"/>
  <c r="H94" i="7"/>
  <c r="G94" i="7"/>
  <c r="E94" i="7"/>
  <c r="F94" i="7"/>
  <c r="D94" i="7"/>
  <c r="H86" i="7"/>
  <c r="G86" i="7"/>
  <c r="F86" i="7"/>
  <c r="E86" i="7"/>
  <c r="D86" i="7"/>
  <c r="H78" i="7"/>
  <c r="G78" i="7"/>
  <c r="E78" i="7"/>
  <c r="F78" i="7"/>
  <c r="D78" i="7"/>
  <c r="H70" i="7"/>
  <c r="G70" i="7"/>
  <c r="F70" i="7"/>
  <c r="E70" i="7"/>
  <c r="D70" i="7"/>
  <c r="H60" i="7"/>
  <c r="G60" i="7"/>
  <c r="F60" i="7"/>
  <c r="E60" i="7"/>
  <c r="D60" i="7"/>
  <c r="H48" i="7"/>
  <c r="F48" i="7"/>
  <c r="G48" i="7"/>
  <c r="E48" i="7"/>
  <c r="D48" i="7"/>
  <c r="H36" i="7"/>
  <c r="G36" i="7"/>
  <c r="F36" i="7"/>
  <c r="E36" i="7"/>
  <c r="D36" i="7"/>
  <c r="H24" i="7"/>
  <c r="F24" i="7"/>
  <c r="G24" i="7"/>
  <c r="E24" i="7"/>
  <c r="D24" i="7"/>
  <c r="H12" i="7"/>
  <c r="G12" i="7"/>
  <c r="F12" i="7"/>
  <c r="E12" i="7"/>
  <c r="D12" i="7"/>
  <c r="G62" i="6"/>
  <c r="D62" i="17" s="1"/>
  <c r="G64" i="6"/>
  <c r="G66" i="6"/>
  <c r="G63" i="6"/>
  <c r="G65" i="6"/>
  <c r="G67" i="6"/>
  <c r="N62" i="6"/>
  <c r="E63" i="18" s="1"/>
  <c r="N64" i="6"/>
  <c r="E65" i="18" s="1"/>
  <c r="N66" i="6"/>
  <c r="E67" i="18" s="1"/>
  <c r="N63" i="6"/>
  <c r="E64" i="18" s="1"/>
  <c r="N65" i="6"/>
  <c r="E66" i="18" s="1"/>
  <c r="N67" i="6"/>
  <c r="E68" i="18" s="1"/>
  <c r="G50" i="6"/>
  <c r="D50" i="17" s="1"/>
  <c r="G52" i="6"/>
  <c r="G54" i="6"/>
  <c r="G51" i="6"/>
  <c r="G53" i="6"/>
  <c r="G55" i="6"/>
  <c r="N50" i="6"/>
  <c r="E51" i="18" s="1"/>
  <c r="N52" i="6"/>
  <c r="E53" i="18" s="1"/>
  <c r="N54" i="6"/>
  <c r="E55" i="18" s="1"/>
  <c r="N51" i="6"/>
  <c r="E52" i="18" s="1"/>
  <c r="N53" i="6"/>
  <c r="E54" i="18" s="1"/>
  <c r="N55" i="6"/>
  <c r="E56" i="18" s="1"/>
  <c r="G38" i="6"/>
  <c r="D38" i="17" s="1"/>
  <c r="G40" i="6"/>
  <c r="G42" i="6"/>
  <c r="G39" i="6"/>
  <c r="G41" i="6"/>
  <c r="G43" i="6"/>
  <c r="N38" i="6"/>
  <c r="E39" i="18" s="1"/>
  <c r="N40" i="6"/>
  <c r="E41" i="18" s="1"/>
  <c r="N42" i="6"/>
  <c r="E43" i="18" s="1"/>
  <c r="N39" i="6"/>
  <c r="E40" i="18" s="1"/>
  <c r="N41" i="6"/>
  <c r="E42" i="18" s="1"/>
  <c r="N43" i="6"/>
  <c r="E44" i="18" s="1"/>
  <c r="G26" i="6"/>
  <c r="D26" i="17" s="1"/>
  <c r="G28" i="6"/>
  <c r="G30" i="6"/>
  <c r="G27" i="6"/>
  <c r="G29" i="6"/>
  <c r="G31" i="6"/>
  <c r="N26" i="6"/>
  <c r="E27" i="18" s="1"/>
  <c r="N28" i="6"/>
  <c r="E29" i="18" s="1"/>
  <c r="N30" i="6"/>
  <c r="E31" i="18" s="1"/>
  <c r="N27" i="6"/>
  <c r="E28" i="18" s="1"/>
  <c r="N29" i="6"/>
  <c r="E30" i="18" s="1"/>
  <c r="N31" i="6"/>
  <c r="E32" i="18" s="1"/>
  <c r="G68" i="6"/>
  <c r="G70" i="6"/>
  <c r="G69" i="6"/>
  <c r="G71" i="6"/>
  <c r="N68" i="6"/>
  <c r="E69" i="18" s="1"/>
  <c r="N70" i="6"/>
  <c r="E71" i="18" s="1"/>
  <c r="N69" i="6"/>
  <c r="E70" i="18" s="1"/>
  <c r="N71" i="6"/>
  <c r="E72" i="18" s="1"/>
  <c r="G84" i="6"/>
  <c r="G86" i="6"/>
  <c r="G85" i="6"/>
  <c r="G87" i="6"/>
  <c r="N84" i="6"/>
  <c r="E85" i="18" s="1"/>
  <c r="N86" i="6"/>
  <c r="E87" i="18" s="1"/>
  <c r="N85" i="6"/>
  <c r="E86" i="18" s="1"/>
  <c r="N87" i="6"/>
  <c r="E88" i="18" s="1"/>
  <c r="G80" i="6"/>
  <c r="G82" i="6"/>
  <c r="G81" i="6"/>
  <c r="G83" i="6"/>
  <c r="N80" i="6"/>
  <c r="E81" i="18" s="1"/>
  <c r="N82" i="6"/>
  <c r="E83" i="18" s="1"/>
  <c r="N81" i="6"/>
  <c r="E82" i="18" s="1"/>
  <c r="N83" i="6"/>
  <c r="E84" i="18" s="1"/>
  <c r="G72" i="6"/>
  <c r="G74" i="6"/>
  <c r="G73" i="6"/>
  <c r="G75" i="6"/>
  <c r="N72" i="6"/>
  <c r="E73" i="18" s="1"/>
  <c r="N74" i="6"/>
  <c r="E75" i="18" s="1"/>
  <c r="N73" i="6"/>
  <c r="E74" i="18" s="1"/>
  <c r="N75" i="6"/>
  <c r="E76" i="18" s="1"/>
  <c r="G107" i="6"/>
  <c r="D107" i="17" s="1"/>
  <c r="N107" i="6"/>
  <c r="E108" i="18" s="1"/>
  <c r="G104" i="6"/>
  <c r="D104" i="17" s="1"/>
  <c r="G106" i="6"/>
  <c r="G105" i="6"/>
  <c r="N104" i="6"/>
  <c r="E105" i="18" s="1"/>
  <c r="N106" i="6"/>
  <c r="E107" i="18" s="1"/>
  <c r="N105" i="6"/>
  <c r="E106" i="18" s="1"/>
  <c r="G100" i="6"/>
  <c r="G99" i="6"/>
  <c r="N100" i="6"/>
  <c r="E101" i="18" s="1"/>
  <c r="N99" i="6"/>
  <c r="E100" i="18" s="1"/>
  <c r="G118" i="6"/>
  <c r="N118" i="6"/>
  <c r="E119" i="18" s="1"/>
  <c r="G114" i="6"/>
  <c r="G116" i="6"/>
  <c r="G115" i="6"/>
  <c r="N114" i="6"/>
  <c r="E115" i="18" s="1"/>
  <c r="N116" i="6"/>
  <c r="E117" i="18" s="1"/>
  <c r="N115" i="6"/>
  <c r="E116" i="18" s="1"/>
  <c r="G112" i="6"/>
  <c r="G111" i="6"/>
  <c r="G113" i="6"/>
  <c r="N112" i="6"/>
  <c r="E113" i="18" s="1"/>
  <c r="N111" i="6"/>
  <c r="E112" i="18" s="1"/>
  <c r="N113" i="6"/>
  <c r="E114" i="18" s="1"/>
  <c r="G108" i="6"/>
  <c r="G110" i="6"/>
  <c r="G109" i="6"/>
  <c r="N108" i="6"/>
  <c r="E109" i="18" s="1"/>
  <c r="N110" i="6"/>
  <c r="E111" i="18" s="1"/>
  <c r="N109" i="6"/>
  <c r="E110" i="18" s="1"/>
  <c r="G130" i="6"/>
  <c r="N130" i="6"/>
  <c r="E131" i="18" s="1"/>
  <c r="G129" i="6"/>
  <c r="G133" i="6"/>
  <c r="N129" i="6"/>
  <c r="E130" i="18" s="1"/>
  <c r="N133" i="6"/>
  <c r="E134" i="18" s="1"/>
  <c r="G127" i="6"/>
  <c r="N127" i="6"/>
  <c r="E128" i="18" s="1"/>
  <c r="G126" i="6"/>
  <c r="N126" i="6"/>
  <c r="E127" i="18" s="1"/>
  <c r="G124" i="6"/>
  <c r="G131" i="6"/>
  <c r="N124" i="6"/>
  <c r="E125" i="18" s="1"/>
  <c r="N131" i="6"/>
  <c r="E132" i="18" s="1"/>
  <c r="G137" i="6"/>
  <c r="D137" i="17" s="1"/>
  <c r="N137" i="6"/>
  <c r="E138" i="18" s="1"/>
  <c r="G136" i="6"/>
  <c r="D136" i="17" s="1"/>
  <c r="N136" i="6"/>
  <c r="E137" i="18" s="1"/>
  <c r="G135" i="6"/>
  <c r="D135" i="17" s="1"/>
  <c r="N135" i="6"/>
  <c r="E136" i="18" s="1"/>
  <c r="G150" i="6"/>
  <c r="G149" i="6"/>
  <c r="G151" i="6"/>
  <c r="N150" i="6"/>
  <c r="E151" i="18" s="1"/>
  <c r="N149" i="6"/>
  <c r="E150" i="18" s="1"/>
  <c r="N151" i="6"/>
  <c r="E152" i="18" s="1"/>
  <c r="G148" i="6"/>
  <c r="G147" i="6"/>
  <c r="N148" i="6"/>
  <c r="E149" i="18" s="1"/>
  <c r="N147" i="6"/>
  <c r="E148" i="18" s="1"/>
  <c r="G146" i="6"/>
  <c r="G154" i="6"/>
  <c r="G156" i="6"/>
  <c r="N146" i="6"/>
  <c r="E147" i="18" s="1"/>
  <c r="N154" i="6"/>
  <c r="E155" i="18" s="1"/>
  <c r="N156" i="6"/>
  <c r="E157" i="18" s="1"/>
  <c r="G140" i="6"/>
  <c r="G142" i="6"/>
  <c r="G141" i="6"/>
  <c r="N140" i="6"/>
  <c r="E141" i="18" s="1"/>
  <c r="N142" i="6"/>
  <c r="E143" i="18" s="1"/>
  <c r="N141" i="6"/>
  <c r="E142" i="18" s="1"/>
  <c r="G160" i="6"/>
  <c r="D160" i="17" s="1"/>
  <c r="G162" i="6"/>
  <c r="G161" i="6"/>
  <c r="N160" i="6"/>
  <c r="E161" i="18" s="1"/>
  <c r="N162" i="6"/>
  <c r="E163" i="18" s="1"/>
  <c r="N161" i="6"/>
  <c r="E162" i="18" s="1"/>
  <c r="G158" i="6"/>
  <c r="D158" i="17" s="1"/>
  <c r="G159" i="6"/>
  <c r="D159" i="17" s="1"/>
  <c r="G163" i="6"/>
  <c r="D163" i="17" s="1"/>
  <c r="N158" i="6"/>
  <c r="E159" i="18" s="1"/>
  <c r="N159" i="6"/>
  <c r="E160" i="18" s="1"/>
  <c r="N163" i="6"/>
  <c r="E164" i="18" s="1"/>
  <c r="G182" i="6"/>
  <c r="G183" i="6"/>
  <c r="N182" i="6"/>
  <c r="E183" i="18" s="1"/>
  <c r="N183" i="6"/>
  <c r="E184" i="18" s="1"/>
  <c r="G181" i="6"/>
  <c r="N181" i="6"/>
  <c r="E182" i="18" s="1"/>
  <c r="G176" i="6"/>
  <c r="G178" i="6"/>
  <c r="G177" i="6"/>
  <c r="N176" i="6"/>
  <c r="E177" i="18" s="1"/>
  <c r="N178" i="6"/>
  <c r="E179" i="18" s="1"/>
  <c r="N177" i="6"/>
  <c r="E178" i="18" s="1"/>
  <c r="G174" i="6"/>
  <c r="N174" i="6"/>
  <c r="E175" i="18" s="1"/>
  <c r="G4" i="6"/>
  <c r="G6" i="6"/>
  <c r="G3" i="6"/>
  <c r="G7" i="6"/>
  <c r="G2" i="6"/>
  <c r="D2" i="17" s="1"/>
  <c r="N4" i="6"/>
  <c r="E5" i="18" s="1"/>
  <c r="N6" i="6"/>
  <c r="N2" i="6"/>
  <c r="E3" i="8" s="1"/>
  <c r="N3" i="6"/>
  <c r="E4" i="8" s="1"/>
  <c r="N7" i="6"/>
  <c r="E8" i="18" s="1"/>
  <c r="G56" i="6"/>
  <c r="D56" i="17" s="1"/>
  <c r="G58" i="6"/>
  <c r="G60" i="6"/>
  <c r="G57" i="6"/>
  <c r="G59" i="6"/>
  <c r="G61" i="6"/>
  <c r="N56" i="6"/>
  <c r="E57" i="18" s="1"/>
  <c r="N58" i="6"/>
  <c r="E59" i="18" s="1"/>
  <c r="N60" i="6"/>
  <c r="E61" i="18" s="1"/>
  <c r="N57" i="6"/>
  <c r="E58" i="18" s="1"/>
  <c r="N59" i="6"/>
  <c r="E60" i="18" s="1"/>
  <c r="N61" i="6"/>
  <c r="E62" i="18" s="1"/>
  <c r="G44" i="6"/>
  <c r="D44" i="17" s="1"/>
  <c r="G46" i="6"/>
  <c r="G48" i="6"/>
  <c r="G45" i="6"/>
  <c r="G47" i="6"/>
  <c r="G49" i="6"/>
  <c r="N44" i="6"/>
  <c r="E45" i="18" s="1"/>
  <c r="N46" i="6"/>
  <c r="E47" i="18" s="1"/>
  <c r="N48" i="6"/>
  <c r="E49" i="8" s="1"/>
  <c r="N45" i="6"/>
  <c r="E46" i="18" s="1"/>
  <c r="N47" i="6"/>
  <c r="E48" i="18" s="1"/>
  <c r="N49" i="6"/>
  <c r="E50" i="18" s="1"/>
  <c r="G32" i="6"/>
  <c r="D32" i="17" s="1"/>
  <c r="G34" i="6"/>
  <c r="G36" i="6"/>
  <c r="G33" i="6"/>
  <c r="G35" i="6"/>
  <c r="G37" i="6"/>
  <c r="N32" i="6"/>
  <c r="E33" i="18" s="1"/>
  <c r="N34" i="6"/>
  <c r="E35" i="18" s="1"/>
  <c r="N36" i="6"/>
  <c r="E37" i="18" s="1"/>
  <c r="N33" i="6"/>
  <c r="E34" i="18" s="1"/>
  <c r="N35" i="6"/>
  <c r="E36" i="18" s="1"/>
  <c r="N37" i="6"/>
  <c r="E38" i="18" s="1"/>
  <c r="G20" i="6"/>
  <c r="D20" i="17" s="1"/>
  <c r="G22" i="6"/>
  <c r="G24" i="6"/>
  <c r="G21" i="6"/>
  <c r="G23" i="6"/>
  <c r="G25" i="6"/>
  <c r="N20" i="6"/>
  <c r="E21" i="18" s="1"/>
  <c r="N22" i="6"/>
  <c r="E23" i="18" s="1"/>
  <c r="N24" i="6"/>
  <c r="E25" i="18" s="1"/>
  <c r="N21" i="6"/>
  <c r="E22" i="18" s="1"/>
  <c r="N23" i="6"/>
  <c r="E24" i="18" s="1"/>
  <c r="N25" i="6"/>
  <c r="E26" i="18" s="1"/>
  <c r="G14" i="6"/>
  <c r="D14" i="17" s="1"/>
  <c r="G16" i="6"/>
  <c r="G18" i="6"/>
  <c r="G15" i="6"/>
  <c r="G17" i="6"/>
  <c r="G19" i="6"/>
  <c r="N14" i="6"/>
  <c r="E15" i="18" s="1"/>
  <c r="N16" i="6"/>
  <c r="E17" i="8" s="1"/>
  <c r="N18" i="6"/>
  <c r="E19" i="18" s="1"/>
  <c r="N15" i="6"/>
  <c r="E16" i="18" s="1"/>
  <c r="N17" i="6"/>
  <c r="E18" i="18" s="1"/>
  <c r="N19" i="6"/>
  <c r="E20" i="18" s="1"/>
  <c r="D8" i="17"/>
  <c r="G10" i="6"/>
  <c r="G12" i="6"/>
  <c r="G9" i="6"/>
  <c r="G11" i="6"/>
  <c r="G13" i="6"/>
  <c r="E9" i="18"/>
  <c r="N10" i="6"/>
  <c r="E11" i="18" s="1"/>
  <c r="N12" i="6"/>
  <c r="E13" i="18" s="1"/>
  <c r="N9" i="6"/>
  <c r="E10" i="18" s="1"/>
  <c r="N11" i="6"/>
  <c r="E12" i="18" s="1"/>
  <c r="N13" i="6"/>
  <c r="G92" i="6"/>
  <c r="G94" i="6"/>
  <c r="G93" i="6"/>
  <c r="G95" i="6"/>
  <c r="N92" i="6"/>
  <c r="E93" i="18" s="1"/>
  <c r="N94" i="6"/>
  <c r="E95" i="18" s="1"/>
  <c r="N93" i="6"/>
  <c r="E94" i="18" s="1"/>
  <c r="N95" i="6"/>
  <c r="E96" i="18" s="1"/>
  <c r="G88" i="6"/>
  <c r="G90" i="6"/>
  <c r="G89" i="6"/>
  <c r="G91" i="6"/>
  <c r="N88" i="6"/>
  <c r="E89" i="18" s="1"/>
  <c r="N90" i="6"/>
  <c r="E91" i="18" s="1"/>
  <c r="N89" i="6"/>
  <c r="E90" i="18" s="1"/>
  <c r="N91" i="6"/>
  <c r="E92" i="18" s="1"/>
  <c r="G76" i="6"/>
  <c r="G78" i="6"/>
  <c r="G77" i="6"/>
  <c r="G79" i="6"/>
  <c r="N76" i="6"/>
  <c r="E77" i="18" s="1"/>
  <c r="N78" i="6"/>
  <c r="E79" i="18" s="1"/>
  <c r="N77" i="6"/>
  <c r="E78" i="18" s="1"/>
  <c r="N79" i="6"/>
  <c r="E80" i="18" s="1"/>
  <c r="G103" i="6"/>
  <c r="N103" i="6"/>
  <c r="E104" i="18" s="1"/>
  <c r="G102" i="6"/>
  <c r="N102" i="6"/>
  <c r="E103" i="18" s="1"/>
  <c r="G101" i="6"/>
  <c r="N101" i="6"/>
  <c r="E102" i="18" s="1"/>
  <c r="G96" i="6"/>
  <c r="D96" i="17" s="1"/>
  <c r="G98" i="6"/>
  <c r="G97" i="6"/>
  <c r="N96" i="6"/>
  <c r="E97" i="18" s="1"/>
  <c r="N98" i="6"/>
  <c r="E99" i="18" s="1"/>
  <c r="N97" i="6"/>
  <c r="E98" i="18" s="1"/>
  <c r="G119" i="6"/>
  <c r="N119" i="6"/>
  <c r="E120" i="18" s="1"/>
  <c r="G120" i="6"/>
  <c r="N120" i="6"/>
  <c r="E121" i="18" s="1"/>
  <c r="G117" i="6"/>
  <c r="N117" i="6"/>
  <c r="E118" i="18" s="1"/>
  <c r="G128" i="6"/>
  <c r="N128" i="6"/>
  <c r="E129" i="18" s="1"/>
  <c r="G132" i="6"/>
  <c r="G125" i="6"/>
  <c r="N132" i="6"/>
  <c r="E133" i="18" s="1"/>
  <c r="N125" i="6"/>
  <c r="E126" i="18" s="1"/>
  <c r="G122" i="6"/>
  <c r="G121" i="6"/>
  <c r="G123" i="6"/>
  <c r="N122" i="6"/>
  <c r="E123" i="18" s="1"/>
  <c r="N121" i="6"/>
  <c r="E122" i="18" s="1"/>
  <c r="N123" i="6"/>
  <c r="E124" i="18" s="1"/>
  <c r="G139" i="6"/>
  <c r="N139" i="6"/>
  <c r="E140" i="18" s="1"/>
  <c r="G138" i="6"/>
  <c r="D138" i="17" s="1"/>
  <c r="N138" i="6"/>
  <c r="E139" i="18" s="1"/>
  <c r="G134" i="6"/>
  <c r="D134" i="17" s="1"/>
  <c r="N134" i="6"/>
  <c r="E135" i="18" s="1"/>
  <c r="G145" i="6"/>
  <c r="G153" i="6"/>
  <c r="G155" i="6"/>
  <c r="G157" i="6"/>
  <c r="N145" i="6"/>
  <c r="E146" i="18" s="1"/>
  <c r="N153" i="6"/>
  <c r="E154" i="18" s="1"/>
  <c r="N155" i="6"/>
  <c r="E156" i="18" s="1"/>
  <c r="N157" i="6"/>
  <c r="E158" i="18" s="1"/>
  <c r="G144" i="6"/>
  <c r="G152" i="6"/>
  <c r="G143" i="6"/>
  <c r="N144" i="6"/>
  <c r="E145" i="18" s="1"/>
  <c r="N152" i="6"/>
  <c r="E153" i="18" s="1"/>
  <c r="N143" i="6"/>
  <c r="E144" i="18" s="1"/>
  <c r="G168" i="6"/>
  <c r="G170" i="6"/>
  <c r="G167" i="6"/>
  <c r="G169" i="6"/>
  <c r="N168" i="6"/>
  <c r="N170" i="6"/>
  <c r="E171" i="18" s="1"/>
  <c r="N167" i="6"/>
  <c r="E168" i="18" s="1"/>
  <c r="N169" i="6"/>
  <c r="E170" i="18" s="1"/>
  <c r="G164" i="6"/>
  <c r="G166" i="6"/>
  <c r="G165" i="6"/>
  <c r="N164" i="6"/>
  <c r="E165" i="18" s="1"/>
  <c r="N166" i="6"/>
  <c r="N165" i="6"/>
  <c r="E166" i="18" s="1"/>
  <c r="G180" i="6"/>
  <c r="G179" i="6"/>
  <c r="N180" i="6"/>
  <c r="N179" i="6"/>
  <c r="E180" i="18" s="1"/>
  <c r="G175" i="6"/>
  <c r="N175" i="6"/>
  <c r="E176" i="18" s="1"/>
  <c r="G172" i="6"/>
  <c r="G171" i="6"/>
  <c r="G173" i="6"/>
  <c r="N172" i="6"/>
  <c r="E173" i="18" s="1"/>
  <c r="N171" i="6"/>
  <c r="N173" i="6"/>
  <c r="E174" i="18" s="1"/>
  <c r="D2" i="16"/>
  <c r="D6" i="16"/>
  <c r="D5" i="16"/>
  <c r="D4" i="16"/>
  <c r="D3" i="16"/>
  <c r="D7" i="16"/>
  <c r="D26" i="16"/>
  <c r="D30" i="16"/>
  <c r="D27" i="16"/>
  <c r="D31" i="16"/>
  <c r="D28" i="16"/>
  <c r="D29" i="16"/>
  <c r="D59" i="16"/>
  <c r="D58" i="16"/>
  <c r="D57" i="16"/>
  <c r="D61" i="16"/>
  <c r="D56" i="16"/>
  <c r="D60" i="16"/>
  <c r="D90" i="16"/>
  <c r="D91" i="16"/>
  <c r="D88" i="16"/>
  <c r="D89" i="16"/>
  <c r="D47" i="16"/>
  <c r="D46" i="16"/>
  <c r="D45" i="16"/>
  <c r="D49" i="16"/>
  <c r="D44" i="16"/>
  <c r="D48" i="16"/>
  <c r="D35" i="16"/>
  <c r="D34" i="16"/>
  <c r="D33" i="16"/>
  <c r="D37" i="16"/>
  <c r="D32" i="16"/>
  <c r="D36" i="16"/>
  <c r="D23" i="16"/>
  <c r="D22" i="16"/>
  <c r="D21" i="16"/>
  <c r="D25" i="16"/>
  <c r="D20" i="16"/>
  <c r="D24" i="16"/>
  <c r="D18" i="16"/>
  <c r="D14" i="16"/>
  <c r="D16" i="16"/>
  <c r="D19" i="16"/>
  <c r="D15" i="16"/>
  <c r="D17" i="16"/>
  <c r="D11" i="16"/>
  <c r="D8" i="16"/>
  <c r="D12" i="16"/>
  <c r="D9" i="16"/>
  <c r="D13" i="16"/>
  <c r="D10" i="16"/>
  <c r="D50" i="16"/>
  <c r="D54" i="16"/>
  <c r="D51" i="16"/>
  <c r="D55" i="16"/>
  <c r="D52" i="16"/>
  <c r="D53" i="16"/>
  <c r="D70" i="16"/>
  <c r="D71" i="16"/>
  <c r="D68" i="16"/>
  <c r="D69" i="16"/>
  <c r="D86" i="16"/>
  <c r="D87" i="16"/>
  <c r="D84" i="16"/>
  <c r="D85" i="16"/>
  <c r="D82" i="16"/>
  <c r="D83" i="16"/>
  <c r="D80" i="16"/>
  <c r="D81" i="16"/>
  <c r="D74" i="16"/>
  <c r="D75" i="16"/>
  <c r="D72" i="16"/>
  <c r="D73" i="16"/>
  <c r="D108" i="8"/>
  <c r="D107" i="16"/>
  <c r="D106" i="16"/>
  <c r="D105" i="16"/>
  <c r="D104" i="16"/>
  <c r="D99" i="16"/>
  <c r="D100" i="16"/>
  <c r="D119" i="8"/>
  <c r="D118" i="16"/>
  <c r="D115" i="16"/>
  <c r="D116" i="16"/>
  <c r="D114" i="16"/>
  <c r="D111" i="16"/>
  <c r="D112" i="16"/>
  <c r="D113" i="16"/>
  <c r="D108" i="16"/>
  <c r="D109" i="16"/>
  <c r="D110" i="16"/>
  <c r="D131" i="8"/>
  <c r="D130" i="16"/>
  <c r="D129" i="16"/>
  <c r="D133" i="16"/>
  <c r="D128" i="8"/>
  <c r="D127" i="16"/>
  <c r="D127" i="8"/>
  <c r="D126" i="16"/>
  <c r="D131" i="16"/>
  <c r="D124" i="16"/>
  <c r="D138" i="8"/>
  <c r="D137" i="16"/>
  <c r="D137" i="8"/>
  <c r="D136" i="16"/>
  <c r="D136" i="8"/>
  <c r="D135" i="16"/>
  <c r="D150" i="16"/>
  <c r="D149" i="16"/>
  <c r="D151" i="16"/>
  <c r="D148" i="16"/>
  <c r="D147" i="16"/>
  <c r="D146" i="16"/>
  <c r="D154" i="16"/>
  <c r="D156" i="16"/>
  <c r="D142" i="16"/>
  <c r="D141" i="16"/>
  <c r="D140" i="16"/>
  <c r="D161" i="16"/>
  <c r="D162" i="16"/>
  <c r="D160" i="16"/>
  <c r="D159" i="16"/>
  <c r="D158" i="16"/>
  <c r="D163" i="16"/>
  <c r="D182" i="16"/>
  <c r="D183" i="16"/>
  <c r="D182" i="8"/>
  <c r="D181" i="16"/>
  <c r="D178" i="16"/>
  <c r="D177" i="16"/>
  <c r="D176" i="16"/>
  <c r="D175" i="8"/>
  <c r="D174" i="16"/>
  <c r="D38" i="16"/>
  <c r="D42" i="16"/>
  <c r="D39" i="16"/>
  <c r="D43" i="16"/>
  <c r="D40" i="16"/>
  <c r="D41" i="16"/>
  <c r="D62" i="16"/>
  <c r="D66" i="16"/>
  <c r="D63" i="16"/>
  <c r="D67" i="16"/>
  <c r="D64" i="16"/>
  <c r="D65" i="16"/>
  <c r="D78" i="16"/>
  <c r="D79" i="16"/>
  <c r="D76" i="16"/>
  <c r="D77" i="16"/>
  <c r="D94" i="16"/>
  <c r="D95" i="16"/>
  <c r="D92" i="16"/>
  <c r="D93" i="16"/>
  <c r="D104" i="8"/>
  <c r="D103" i="16"/>
  <c r="D103" i="8"/>
  <c r="D102" i="16"/>
  <c r="D102" i="8"/>
  <c r="D101" i="16"/>
  <c r="D98" i="16"/>
  <c r="D97" i="16"/>
  <c r="D96" i="16"/>
  <c r="D120" i="8"/>
  <c r="D119" i="16"/>
  <c r="D121" i="8"/>
  <c r="D120" i="16"/>
  <c r="D118" i="8"/>
  <c r="D117" i="16"/>
  <c r="D129" i="8"/>
  <c r="D128" i="16"/>
  <c r="D132" i="16"/>
  <c r="D125" i="16"/>
  <c r="D123" i="16"/>
  <c r="D121" i="16"/>
  <c r="D122" i="16"/>
  <c r="D140" i="8"/>
  <c r="D139" i="16"/>
  <c r="D139" i="8"/>
  <c r="D138" i="16"/>
  <c r="D135" i="8"/>
  <c r="D134" i="16"/>
  <c r="D145" i="16"/>
  <c r="D153" i="16"/>
  <c r="D157" i="16"/>
  <c r="D155" i="16"/>
  <c r="D144" i="16"/>
  <c r="D152" i="16"/>
  <c r="D143" i="16"/>
  <c r="D170" i="16"/>
  <c r="D169" i="16"/>
  <c r="D168" i="16"/>
  <c r="D167" i="16"/>
  <c r="D166" i="16"/>
  <c r="D165" i="16"/>
  <c r="D164" i="16"/>
  <c r="D180" i="16"/>
  <c r="D179" i="16"/>
  <c r="D176" i="8"/>
  <c r="D175" i="16"/>
  <c r="D173" i="16"/>
  <c r="D172" i="16"/>
  <c r="D171" i="16"/>
  <c r="G73" i="5"/>
  <c r="H128" i="6"/>
  <c r="G133" i="5"/>
  <c r="H179" i="6"/>
  <c r="H180" i="6"/>
  <c r="D34" i="8"/>
  <c r="D36" i="8"/>
  <c r="D38" i="8"/>
  <c r="D33" i="8"/>
  <c r="D35" i="8"/>
  <c r="D37" i="8"/>
  <c r="D16" i="8"/>
  <c r="D18" i="8"/>
  <c r="D20" i="8"/>
  <c r="D15" i="8"/>
  <c r="D17" i="8"/>
  <c r="D19" i="8"/>
  <c r="D52" i="8"/>
  <c r="D54" i="8"/>
  <c r="D56" i="8"/>
  <c r="D51" i="8"/>
  <c r="D53" i="8"/>
  <c r="D55" i="8"/>
  <c r="D106" i="8"/>
  <c r="D105" i="8"/>
  <c r="D107" i="8"/>
  <c r="D100" i="8"/>
  <c r="D101" i="8"/>
  <c r="D116" i="8"/>
  <c r="D115" i="8"/>
  <c r="D117" i="8"/>
  <c r="D112" i="8"/>
  <c r="D114" i="8"/>
  <c r="D113" i="8"/>
  <c r="D110" i="8"/>
  <c r="D109" i="8"/>
  <c r="D111" i="8"/>
  <c r="D130" i="8"/>
  <c r="D134" i="8"/>
  <c r="D132" i="8"/>
  <c r="D125" i="8"/>
  <c r="D150" i="8"/>
  <c r="D152" i="8"/>
  <c r="D151" i="8"/>
  <c r="D148" i="8"/>
  <c r="D149" i="8"/>
  <c r="D147" i="8"/>
  <c r="D155" i="8"/>
  <c r="D157" i="8"/>
  <c r="D142" i="8"/>
  <c r="D141" i="8"/>
  <c r="D143" i="8"/>
  <c r="D162" i="8"/>
  <c r="D161" i="8"/>
  <c r="D163" i="8"/>
  <c r="D160" i="8"/>
  <c r="D164" i="8"/>
  <c r="D159" i="8"/>
  <c r="D184" i="8"/>
  <c r="D183" i="8"/>
  <c r="D178" i="8"/>
  <c r="D177" i="8"/>
  <c r="D179" i="8"/>
  <c r="D46" i="8"/>
  <c r="D48" i="8"/>
  <c r="D50" i="8"/>
  <c r="D45" i="8"/>
  <c r="D47" i="8"/>
  <c r="D49" i="8"/>
  <c r="D22" i="8"/>
  <c r="D24" i="8"/>
  <c r="D26" i="8"/>
  <c r="D21" i="8"/>
  <c r="D23" i="8"/>
  <c r="D25" i="8"/>
  <c r="D10" i="8"/>
  <c r="D12" i="8"/>
  <c r="D14" i="8"/>
  <c r="D9" i="8"/>
  <c r="D11" i="8"/>
  <c r="D13" i="8"/>
  <c r="D70" i="8"/>
  <c r="D72" i="8"/>
  <c r="D69" i="8"/>
  <c r="D71" i="8"/>
  <c r="D86" i="8"/>
  <c r="D88" i="8"/>
  <c r="D85" i="8"/>
  <c r="D87" i="8"/>
  <c r="D82" i="8"/>
  <c r="D84" i="8"/>
  <c r="D81" i="8"/>
  <c r="D83" i="8"/>
  <c r="D74" i="8"/>
  <c r="D76" i="8"/>
  <c r="D73" i="8"/>
  <c r="D75" i="8"/>
  <c r="D4" i="8"/>
  <c r="D6" i="8"/>
  <c r="D8" i="8"/>
  <c r="D5" i="8"/>
  <c r="D7" i="8"/>
  <c r="D3" i="8"/>
  <c r="D40" i="8"/>
  <c r="D42" i="8"/>
  <c r="D44" i="8"/>
  <c r="D39" i="8"/>
  <c r="D41" i="8"/>
  <c r="D43" i="8"/>
  <c r="D28" i="8"/>
  <c r="D30" i="8"/>
  <c r="D32" i="8"/>
  <c r="D27" i="8"/>
  <c r="D29" i="8"/>
  <c r="D31" i="8"/>
  <c r="D58" i="8"/>
  <c r="D60" i="8"/>
  <c r="D62" i="8"/>
  <c r="D57" i="8"/>
  <c r="D59" i="8"/>
  <c r="D61" i="8"/>
  <c r="D64" i="8"/>
  <c r="D66" i="8"/>
  <c r="D68" i="8"/>
  <c r="D63" i="8"/>
  <c r="D65" i="8"/>
  <c r="D67" i="8"/>
  <c r="D90" i="8"/>
  <c r="D92" i="8"/>
  <c r="D89" i="8"/>
  <c r="D91" i="8"/>
  <c r="D78" i="8"/>
  <c r="D80" i="8"/>
  <c r="D77" i="8"/>
  <c r="D79" i="8"/>
  <c r="D94" i="8"/>
  <c r="D96" i="8"/>
  <c r="D93" i="8"/>
  <c r="D95" i="8"/>
  <c r="D98" i="8"/>
  <c r="D97" i="8"/>
  <c r="D99" i="8"/>
  <c r="D126" i="8"/>
  <c r="D133" i="8"/>
  <c r="D122" i="8"/>
  <c r="D124" i="8"/>
  <c r="D123" i="8"/>
  <c r="D146" i="8"/>
  <c r="D154" i="8"/>
  <c r="D156" i="8"/>
  <c r="D158" i="8"/>
  <c r="D144" i="8"/>
  <c r="D145" i="8"/>
  <c r="D153" i="8"/>
  <c r="D168" i="8"/>
  <c r="D170" i="8"/>
  <c r="D169" i="8"/>
  <c r="D171" i="8"/>
  <c r="D166" i="8"/>
  <c r="D165" i="8"/>
  <c r="D167" i="8"/>
  <c r="D180" i="8"/>
  <c r="D181" i="8"/>
  <c r="D172" i="8"/>
  <c r="D173" i="8"/>
  <c r="D174" i="8"/>
  <c r="G16" i="5"/>
  <c r="H62" i="6" s="1"/>
  <c r="E66" i="8"/>
  <c r="E67" i="8"/>
  <c r="E51" i="8"/>
  <c r="E55" i="8"/>
  <c r="E41" i="8"/>
  <c r="E43" i="8"/>
  <c r="E40" i="8"/>
  <c r="E42" i="8"/>
  <c r="E44" i="8"/>
  <c r="E27" i="8"/>
  <c r="E31" i="8"/>
  <c r="G8" i="5"/>
  <c r="H8" i="5" s="1"/>
  <c r="I8" i="5" s="1"/>
  <c r="J8" i="5" s="1"/>
  <c r="G6" i="5"/>
  <c r="I6" i="5"/>
  <c r="H6" i="5"/>
  <c r="J6" i="5"/>
  <c r="G15" i="5"/>
  <c r="H56" i="6" s="1"/>
  <c r="E57" i="8"/>
  <c r="E35" i="8"/>
  <c r="G9" i="5"/>
  <c r="G7" i="5"/>
  <c r="H14" i="6" s="1"/>
  <c r="G5" i="5"/>
  <c r="G3" i="5"/>
  <c r="H8" i="6" s="1"/>
  <c r="G17" i="5"/>
  <c r="H68" i="6" s="1"/>
  <c r="G30" i="5"/>
  <c r="I30" i="5"/>
  <c r="H30" i="5"/>
  <c r="J30" i="5"/>
  <c r="G28" i="5"/>
  <c r="I28" i="5"/>
  <c r="H28" i="5"/>
  <c r="J28" i="5"/>
  <c r="H22" i="5"/>
  <c r="J22" i="5"/>
  <c r="G22" i="5"/>
  <c r="I22" i="5"/>
  <c r="G20" i="5"/>
  <c r="H72" i="6" s="1"/>
  <c r="G18" i="5"/>
  <c r="I18" i="5"/>
  <c r="H18" i="5"/>
  <c r="J18" i="5"/>
  <c r="G46" i="5"/>
  <c r="H42" i="5"/>
  <c r="J42" i="5"/>
  <c r="G42" i="5"/>
  <c r="I42" i="5"/>
  <c r="G40" i="5"/>
  <c r="I40" i="5"/>
  <c r="H40" i="5"/>
  <c r="J40" i="5"/>
  <c r="H38" i="5"/>
  <c r="J38" i="5"/>
  <c r="G38" i="5"/>
  <c r="I38" i="5"/>
  <c r="G36" i="5"/>
  <c r="I36" i="5"/>
  <c r="H36" i="5"/>
  <c r="J36" i="5"/>
  <c r="G47" i="5"/>
  <c r="I47" i="5"/>
  <c r="H47" i="5"/>
  <c r="J47" i="5"/>
  <c r="H60" i="5"/>
  <c r="J60" i="5"/>
  <c r="G60" i="5"/>
  <c r="I60" i="5"/>
  <c r="H58" i="5"/>
  <c r="J58" i="5"/>
  <c r="G58" i="5"/>
  <c r="I58" i="5"/>
  <c r="E119" i="8"/>
  <c r="G54" i="5"/>
  <c r="H116" i="6" s="1"/>
  <c r="E116" i="8"/>
  <c r="E117" i="8"/>
  <c r="G52" i="5"/>
  <c r="I52" i="5"/>
  <c r="H52" i="5"/>
  <c r="J52" i="5"/>
  <c r="E113" i="8"/>
  <c r="G50" i="5"/>
  <c r="H112" i="6" s="1"/>
  <c r="E112" i="8"/>
  <c r="G48" i="5"/>
  <c r="H110" i="6" s="1"/>
  <c r="G76" i="5"/>
  <c r="E131" i="8"/>
  <c r="G74" i="5"/>
  <c r="H74" i="5" s="1"/>
  <c r="I74" i="5" s="1"/>
  <c r="E134" i="8"/>
  <c r="G72" i="5"/>
  <c r="G70" i="5"/>
  <c r="H70" i="5" s="1"/>
  <c r="E125" i="8"/>
  <c r="H66" i="5"/>
  <c r="J66" i="5"/>
  <c r="G66" i="5"/>
  <c r="I66" i="5"/>
  <c r="G64" i="5"/>
  <c r="I64" i="5"/>
  <c r="H64" i="5"/>
  <c r="J64" i="5"/>
  <c r="H77" i="5"/>
  <c r="J77" i="5"/>
  <c r="G77" i="5"/>
  <c r="I77" i="5"/>
  <c r="H90" i="5"/>
  <c r="J90" i="5"/>
  <c r="G90" i="5"/>
  <c r="I90" i="5"/>
  <c r="H88" i="5"/>
  <c r="J88" i="5"/>
  <c r="G88" i="5"/>
  <c r="I88" i="5"/>
  <c r="H86" i="5"/>
  <c r="J86" i="5"/>
  <c r="G86" i="5"/>
  <c r="I86" i="5"/>
  <c r="G84" i="5"/>
  <c r="H84" i="5" s="1"/>
  <c r="I84" i="5" s="1"/>
  <c r="G82" i="5"/>
  <c r="G80" i="5"/>
  <c r="H78" i="5"/>
  <c r="J78" i="5"/>
  <c r="G78" i="5"/>
  <c r="I78" i="5"/>
  <c r="E150" i="8"/>
  <c r="G106" i="5"/>
  <c r="H150" i="6" s="1"/>
  <c r="E149" i="8"/>
  <c r="H102" i="5"/>
  <c r="J102" i="5"/>
  <c r="G102" i="5"/>
  <c r="I102" i="5"/>
  <c r="G100" i="5"/>
  <c r="H154" i="6" s="1"/>
  <c r="E155" i="8"/>
  <c r="H98" i="5"/>
  <c r="J98" i="5"/>
  <c r="G98" i="5"/>
  <c r="I98" i="5"/>
  <c r="H96" i="5"/>
  <c r="J96" i="5"/>
  <c r="G96" i="5"/>
  <c r="I96" i="5"/>
  <c r="E143" i="8"/>
  <c r="G107" i="5"/>
  <c r="I107" i="5"/>
  <c r="H107" i="5"/>
  <c r="J107" i="5"/>
  <c r="H120" i="5"/>
  <c r="J120" i="5"/>
  <c r="G120" i="5"/>
  <c r="I120" i="5"/>
  <c r="H118" i="5"/>
  <c r="J118" i="5"/>
  <c r="G118" i="5"/>
  <c r="I118" i="5"/>
  <c r="H116" i="5"/>
  <c r="J116" i="5"/>
  <c r="G116" i="5"/>
  <c r="I116" i="5"/>
  <c r="G114" i="5"/>
  <c r="H114" i="5" s="1"/>
  <c r="I114" i="5" s="1"/>
  <c r="H112" i="5"/>
  <c r="J112" i="5"/>
  <c r="G112" i="5"/>
  <c r="I112" i="5"/>
  <c r="G110" i="5"/>
  <c r="H158" i="6" s="1"/>
  <c r="G108" i="5"/>
  <c r="I108" i="5"/>
  <c r="H108" i="5"/>
  <c r="J108" i="5"/>
  <c r="G136" i="5"/>
  <c r="H182" i="6" s="1"/>
  <c r="G134" i="5"/>
  <c r="H134" i="5" s="1"/>
  <c r="I134" i="5" s="1"/>
  <c r="E182" i="8"/>
  <c r="G31" i="5"/>
  <c r="H94" i="6" s="1"/>
  <c r="G29" i="5"/>
  <c r="H90" i="6" s="1"/>
  <c r="G27" i="5"/>
  <c r="I27" i="5"/>
  <c r="H27" i="5"/>
  <c r="J27" i="5"/>
  <c r="G25" i="5"/>
  <c r="I25" i="5"/>
  <c r="H25" i="5"/>
  <c r="J25" i="5"/>
  <c r="G23" i="5"/>
  <c r="H78" i="6" s="1"/>
  <c r="G21" i="5"/>
  <c r="G19" i="5"/>
  <c r="I19" i="5"/>
  <c r="H19" i="5"/>
  <c r="J19" i="5"/>
  <c r="H32" i="5"/>
  <c r="J32" i="5"/>
  <c r="G32" i="5"/>
  <c r="I32" i="5"/>
  <c r="H45" i="5"/>
  <c r="J45" i="5"/>
  <c r="G45" i="5"/>
  <c r="I45" i="5"/>
  <c r="H43" i="5"/>
  <c r="J43" i="5"/>
  <c r="G43" i="5"/>
  <c r="I43" i="5"/>
  <c r="G41" i="5"/>
  <c r="E104" i="8"/>
  <c r="G39" i="5"/>
  <c r="G37" i="5"/>
  <c r="G35" i="5"/>
  <c r="H98" i="6" s="1"/>
  <c r="H33" i="5"/>
  <c r="J33" i="5"/>
  <c r="G33" i="5"/>
  <c r="I33" i="5"/>
  <c r="G61" i="5"/>
  <c r="H57" i="5"/>
  <c r="J57" i="5"/>
  <c r="G57" i="5"/>
  <c r="I57" i="5"/>
  <c r="G55" i="5"/>
  <c r="G53" i="5"/>
  <c r="I53" i="5"/>
  <c r="H53" i="5"/>
  <c r="J53" i="5"/>
  <c r="G51" i="5"/>
  <c r="I51" i="5"/>
  <c r="H51" i="5"/>
  <c r="J51" i="5"/>
  <c r="H49" i="5"/>
  <c r="J49" i="5"/>
  <c r="G49" i="5"/>
  <c r="I49" i="5"/>
  <c r="G62" i="5"/>
  <c r="I62" i="5"/>
  <c r="H62" i="5"/>
  <c r="J62" i="5"/>
  <c r="G75" i="5"/>
  <c r="I75" i="5"/>
  <c r="H75" i="5"/>
  <c r="J75" i="5"/>
  <c r="H71" i="5"/>
  <c r="J71" i="5"/>
  <c r="G71" i="5"/>
  <c r="I71" i="5"/>
  <c r="H67" i="5"/>
  <c r="J67" i="5"/>
  <c r="G67" i="5"/>
  <c r="I67" i="5"/>
  <c r="G65" i="5"/>
  <c r="H122" i="6" s="1"/>
  <c r="G63" i="5"/>
  <c r="I63" i="5"/>
  <c r="H63" i="5"/>
  <c r="J63" i="5"/>
  <c r="G91" i="5"/>
  <c r="H87" i="5"/>
  <c r="J87" i="5"/>
  <c r="G87" i="5"/>
  <c r="I87" i="5"/>
  <c r="H85" i="5"/>
  <c r="J85" i="5"/>
  <c r="G85" i="5"/>
  <c r="I85" i="5"/>
  <c r="H83" i="5"/>
  <c r="J83" i="5"/>
  <c r="G83" i="5"/>
  <c r="I83" i="5"/>
  <c r="G81" i="5"/>
  <c r="I81" i="5"/>
  <c r="H81" i="5"/>
  <c r="J81" i="5"/>
  <c r="G92" i="5"/>
  <c r="I92" i="5"/>
  <c r="H92" i="5"/>
  <c r="J92" i="5"/>
  <c r="H105" i="5"/>
  <c r="J105" i="5"/>
  <c r="G105" i="5"/>
  <c r="I105" i="5"/>
  <c r="H103" i="5"/>
  <c r="J103" i="5"/>
  <c r="G103" i="5"/>
  <c r="I103" i="5"/>
  <c r="H101" i="5"/>
  <c r="J101" i="5"/>
  <c r="G101" i="5"/>
  <c r="I101" i="5"/>
  <c r="H97" i="5"/>
  <c r="J97" i="5"/>
  <c r="G97" i="5"/>
  <c r="I97" i="5"/>
  <c r="E145" i="8"/>
  <c r="G95" i="5"/>
  <c r="H152" i="6" s="1"/>
  <c r="G93" i="5"/>
  <c r="I93" i="5"/>
  <c r="H93" i="5"/>
  <c r="J93" i="5"/>
  <c r="E170" i="8"/>
  <c r="G121" i="5"/>
  <c r="H167" i="6" s="1"/>
  <c r="E166" i="8"/>
  <c r="H117" i="5"/>
  <c r="J117" i="5"/>
  <c r="G117" i="5"/>
  <c r="I117" i="5"/>
  <c r="H115" i="5"/>
  <c r="J115" i="5"/>
  <c r="G115" i="5"/>
  <c r="I115" i="5"/>
  <c r="H113" i="5"/>
  <c r="J113" i="5"/>
  <c r="G113" i="5"/>
  <c r="I113" i="5"/>
  <c r="H111" i="5"/>
  <c r="J111" i="5"/>
  <c r="G111" i="5"/>
  <c r="I111" i="5"/>
  <c r="G122" i="5"/>
  <c r="I122" i="5"/>
  <c r="H122" i="5"/>
  <c r="J122" i="5"/>
  <c r="G135" i="5"/>
  <c r="I135" i="5"/>
  <c r="H135" i="5"/>
  <c r="J135" i="5"/>
  <c r="H133" i="5"/>
  <c r="I133" i="5" s="1"/>
  <c r="G132" i="5"/>
  <c r="H176" i="6" s="1"/>
  <c r="E179" i="8"/>
  <c r="I131" i="5"/>
  <c r="G131" i="5"/>
  <c r="I130" i="5"/>
  <c r="G130" i="5"/>
  <c r="I127" i="5"/>
  <c r="G127" i="5"/>
  <c r="G126" i="5"/>
  <c r="J124" i="5"/>
  <c r="H124" i="5"/>
  <c r="J123" i="5"/>
  <c r="H123" i="5"/>
  <c r="E173" i="8"/>
  <c r="J131" i="5"/>
  <c r="H131" i="5"/>
  <c r="J130" i="5"/>
  <c r="H130" i="5"/>
  <c r="J127" i="5"/>
  <c r="H127" i="5"/>
  <c r="G125" i="5"/>
  <c r="H171" i="6" s="1"/>
  <c r="I124" i="5"/>
  <c r="G124" i="5"/>
  <c r="I123" i="5"/>
  <c r="G123" i="5"/>
  <c r="E130" i="8"/>
  <c r="G129" i="5"/>
  <c r="E115" i="8"/>
  <c r="G99" i="5"/>
  <c r="H153" i="6" s="1"/>
  <c r="G69" i="5"/>
  <c r="H132" i="6" s="1"/>
  <c r="G24" i="5"/>
  <c r="H80" i="6" s="1"/>
  <c r="H73" i="5"/>
  <c r="I73" i="5" s="1"/>
  <c r="G13" i="5"/>
  <c r="H44" i="6" s="1"/>
  <c r="G128" i="5"/>
  <c r="G68" i="5"/>
  <c r="H124" i="6" s="1"/>
  <c r="G109" i="5"/>
  <c r="G94" i="5"/>
  <c r="H140" i="6" s="1"/>
  <c r="G79" i="5"/>
  <c r="H134" i="6" s="1"/>
  <c r="G34" i="5"/>
  <c r="H99" i="6" s="1"/>
  <c r="G4" i="5"/>
  <c r="G119" i="5"/>
  <c r="H165" i="6" s="1"/>
  <c r="G104" i="5"/>
  <c r="H147" i="6" s="1"/>
  <c r="G89" i="5"/>
  <c r="G59" i="5"/>
  <c r="G44" i="5"/>
  <c r="H104" i="6" s="1"/>
  <c r="G14" i="5"/>
  <c r="H50" i="6" s="1"/>
  <c r="G56" i="5"/>
  <c r="G26" i="5"/>
  <c r="H84" i="6" s="1"/>
  <c r="G11" i="5"/>
  <c r="H32" i="6" s="1"/>
  <c r="G10" i="5"/>
  <c r="H26" i="6" s="1"/>
  <c r="G12" i="5"/>
  <c r="H38" i="6" s="1"/>
  <c r="H17" i="5"/>
  <c r="G2" i="5"/>
  <c r="E18" i="8"/>
  <c r="E14" i="8"/>
  <c r="E12" i="8"/>
  <c r="E9" i="8"/>
  <c r="E7" i="8"/>
  <c r="E19" i="8"/>
  <c r="E13" i="8"/>
  <c r="E8" i="8"/>
  <c r="E6" i="8"/>
  <c r="V6" i="4"/>
  <c r="V21" i="4" s="1"/>
  <c r="W6" i="4"/>
  <c r="X6" i="4"/>
  <c r="Y6" i="4"/>
  <c r="V7" i="4"/>
  <c r="W7" i="4"/>
  <c r="W21" i="4" s="1"/>
  <c r="X7" i="4"/>
  <c r="Y7" i="4"/>
  <c r="Y21" i="4" s="1"/>
  <c r="V8" i="4"/>
  <c r="W8" i="4"/>
  <c r="X8" i="4"/>
  <c r="Y8" i="4"/>
  <c r="V9" i="4"/>
  <c r="W9" i="4"/>
  <c r="X9" i="4"/>
  <c r="Y9" i="4"/>
  <c r="V10" i="4"/>
  <c r="W10" i="4"/>
  <c r="X10" i="4"/>
  <c r="Y10" i="4"/>
  <c r="V11" i="4"/>
  <c r="W11" i="4"/>
  <c r="X11" i="4"/>
  <c r="Y11" i="4"/>
  <c r="V12" i="4"/>
  <c r="W12" i="4"/>
  <c r="X12" i="4"/>
  <c r="Y12" i="4"/>
  <c r="V13" i="4"/>
  <c r="W13" i="4"/>
  <c r="X13" i="4"/>
  <c r="Y13" i="4"/>
  <c r="V14" i="4"/>
  <c r="W14" i="4"/>
  <c r="X14" i="4"/>
  <c r="Y14" i="4"/>
  <c r="V15" i="4"/>
  <c r="W15" i="4"/>
  <c r="X15" i="4"/>
  <c r="Y15" i="4"/>
  <c r="V16" i="4"/>
  <c r="W16" i="4"/>
  <c r="X16" i="4"/>
  <c r="Y16" i="4"/>
  <c r="V17" i="4"/>
  <c r="W17" i="4"/>
  <c r="X17" i="4"/>
  <c r="Y17" i="4"/>
  <c r="V18" i="4"/>
  <c r="W18" i="4"/>
  <c r="X18" i="4"/>
  <c r="Y18" i="4"/>
  <c r="V19" i="4"/>
  <c r="W19" i="4"/>
  <c r="X19" i="4"/>
  <c r="Y19" i="4"/>
  <c r="V20" i="4"/>
  <c r="W20" i="4"/>
  <c r="X20" i="4"/>
  <c r="Y20" i="4"/>
  <c r="U7" i="4"/>
  <c r="U8" i="4"/>
  <c r="U9" i="4"/>
  <c r="U10" i="4"/>
  <c r="U11" i="4"/>
  <c r="U12" i="4"/>
  <c r="U13" i="4"/>
  <c r="U14" i="4"/>
  <c r="U15" i="4"/>
  <c r="U16" i="4"/>
  <c r="U17" i="4"/>
  <c r="U18" i="4"/>
  <c r="U19" i="4"/>
  <c r="U20" i="4"/>
  <c r="U6" i="4"/>
  <c r="AB6" i="4"/>
  <c r="AH6" i="4" s="1"/>
  <c r="AC6" i="4"/>
  <c r="AI6" i="4" s="1"/>
  <c r="AD6" i="4"/>
  <c r="AJ6" i="4" s="1"/>
  <c r="AE6" i="4"/>
  <c r="AK6" i="4" s="1"/>
  <c r="AB7" i="4"/>
  <c r="AH7" i="4" s="1"/>
  <c r="AC7" i="4"/>
  <c r="AI7" i="4" s="1"/>
  <c r="AD7" i="4"/>
  <c r="AJ7" i="4" s="1"/>
  <c r="AE7" i="4"/>
  <c r="AK7" i="4" s="1"/>
  <c r="AB8" i="4"/>
  <c r="AH8" i="4" s="1"/>
  <c r="AC8" i="4"/>
  <c r="AI8" i="4" s="1"/>
  <c r="AD8" i="4"/>
  <c r="AJ8" i="4" s="1"/>
  <c r="AE8" i="4"/>
  <c r="AK8" i="4" s="1"/>
  <c r="AB9" i="4"/>
  <c r="AH9" i="4" s="1"/>
  <c r="AC9" i="4"/>
  <c r="AI9" i="4" s="1"/>
  <c r="AD9" i="4"/>
  <c r="AJ9" i="4" s="1"/>
  <c r="AE9" i="4"/>
  <c r="AK9" i="4" s="1"/>
  <c r="AB10" i="4"/>
  <c r="AH10" i="4" s="1"/>
  <c r="AC10" i="4"/>
  <c r="AI10" i="4" s="1"/>
  <c r="AD10" i="4"/>
  <c r="AJ10" i="4" s="1"/>
  <c r="AE10" i="4"/>
  <c r="AK10" i="4" s="1"/>
  <c r="AB11" i="4"/>
  <c r="AH11" i="4" s="1"/>
  <c r="AC11" i="4"/>
  <c r="AI11" i="4" s="1"/>
  <c r="AD11" i="4"/>
  <c r="AJ11" i="4" s="1"/>
  <c r="AE11" i="4"/>
  <c r="AK11" i="4" s="1"/>
  <c r="AB12" i="4"/>
  <c r="AH12" i="4" s="1"/>
  <c r="AC12" i="4"/>
  <c r="AI12" i="4" s="1"/>
  <c r="AD12" i="4"/>
  <c r="AJ12" i="4" s="1"/>
  <c r="AE12" i="4"/>
  <c r="AK12" i="4" s="1"/>
  <c r="AB13" i="4"/>
  <c r="AH13" i="4" s="1"/>
  <c r="AC13" i="4"/>
  <c r="AI13" i="4" s="1"/>
  <c r="AD13" i="4"/>
  <c r="AJ13" i="4" s="1"/>
  <c r="AE13" i="4"/>
  <c r="AK13" i="4" s="1"/>
  <c r="AB14" i="4"/>
  <c r="AH14" i="4" s="1"/>
  <c r="AC14" i="4"/>
  <c r="AI14" i="4" s="1"/>
  <c r="AD14" i="4"/>
  <c r="AJ14" i="4" s="1"/>
  <c r="AE14" i="4"/>
  <c r="AK14" i="4" s="1"/>
  <c r="AB15" i="4"/>
  <c r="AH15" i="4" s="1"/>
  <c r="AC15" i="4"/>
  <c r="AI15" i="4" s="1"/>
  <c r="AD15" i="4"/>
  <c r="AJ15" i="4" s="1"/>
  <c r="AE15" i="4"/>
  <c r="AK15" i="4" s="1"/>
  <c r="AB16" i="4"/>
  <c r="AH16" i="4" s="1"/>
  <c r="AC16" i="4"/>
  <c r="AI16" i="4" s="1"/>
  <c r="AD16" i="4"/>
  <c r="AJ16" i="4" s="1"/>
  <c r="AE16" i="4"/>
  <c r="AK16" i="4" s="1"/>
  <c r="AB17" i="4"/>
  <c r="AH17" i="4" s="1"/>
  <c r="AC17" i="4"/>
  <c r="AI17" i="4" s="1"/>
  <c r="AD17" i="4"/>
  <c r="AJ17" i="4" s="1"/>
  <c r="AE17" i="4"/>
  <c r="AK17" i="4" s="1"/>
  <c r="AB18" i="4"/>
  <c r="AH18" i="4" s="1"/>
  <c r="AC18" i="4"/>
  <c r="AI18" i="4" s="1"/>
  <c r="AD18" i="4"/>
  <c r="AJ18" i="4" s="1"/>
  <c r="AE18" i="4"/>
  <c r="AK18" i="4" s="1"/>
  <c r="AB19" i="4"/>
  <c r="AH19" i="4" s="1"/>
  <c r="AC19" i="4"/>
  <c r="AI19" i="4" s="1"/>
  <c r="AD19" i="4"/>
  <c r="AJ19" i="4" s="1"/>
  <c r="AE19" i="4"/>
  <c r="AK19" i="4" s="1"/>
  <c r="AB20" i="4"/>
  <c r="AH20" i="4" s="1"/>
  <c r="AC20" i="4"/>
  <c r="AI20" i="4" s="1"/>
  <c r="AD20" i="4"/>
  <c r="AJ20" i="4" s="1"/>
  <c r="AE20" i="4"/>
  <c r="AK20" i="4" s="1"/>
  <c r="AA7" i="4"/>
  <c r="AG7" i="4" s="1"/>
  <c r="AA8" i="4"/>
  <c r="AG8" i="4" s="1"/>
  <c r="AA9" i="4"/>
  <c r="AG9" i="4" s="1"/>
  <c r="AA10" i="4"/>
  <c r="AG10" i="4" s="1"/>
  <c r="AA11" i="4"/>
  <c r="AG11" i="4" s="1"/>
  <c r="AA12" i="4"/>
  <c r="AG12" i="4" s="1"/>
  <c r="AA13" i="4"/>
  <c r="AG13" i="4" s="1"/>
  <c r="AA14" i="4"/>
  <c r="AG14" i="4" s="1"/>
  <c r="AA15" i="4"/>
  <c r="AG15" i="4" s="1"/>
  <c r="AA16" i="4"/>
  <c r="AG16" i="4" s="1"/>
  <c r="AA17" i="4"/>
  <c r="AG17" i="4" s="1"/>
  <c r="AA18" i="4"/>
  <c r="AG18" i="4" s="1"/>
  <c r="AA19" i="4"/>
  <c r="AG19" i="4" s="1"/>
  <c r="AA20" i="4"/>
  <c r="AG20" i="4" s="1"/>
  <c r="AA6" i="4"/>
  <c r="AG6" i="4" s="1"/>
  <c r="E107" i="8" l="1"/>
  <c r="X21" i="4"/>
  <c r="E129" i="8"/>
  <c r="E146" i="8"/>
  <c r="E46" i="8"/>
  <c r="E39" i="8"/>
  <c r="U21" i="4"/>
  <c r="E30" i="8"/>
  <c r="H185" i="18"/>
  <c r="E135" i="8"/>
  <c r="E163" i="8"/>
  <c r="E54" i="8"/>
  <c r="P185" i="18"/>
  <c r="P2" i="18" s="1"/>
  <c r="E5" i="8"/>
  <c r="E63" i="8"/>
  <c r="E123" i="8"/>
  <c r="E142" i="8"/>
  <c r="E111" i="8"/>
  <c r="H20" i="6"/>
  <c r="J185" i="18"/>
  <c r="E21" i="8"/>
  <c r="K185" i="18"/>
  <c r="K2" i="18" s="1"/>
  <c r="E15" i="8"/>
  <c r="E133" i="8"/>
  <c r="H29" i="5"/>
  <c r="E153" i="8"/>
  <c r="E156" i="8"/>
  <c r="E122" i="8"/>
  <c r="E183" i="8"/>
  <c r="E160" i="8"/>
  <c r="E24" i="8"/>
  <c r="E61" i="8"/>
  <c r="E60" i="8"/>
  <c r="H4" i="6"/>
  <c r="H5" i="6"/>
  <c r="H119" i="5"/>
  <c r="H3" i="5"/>
  <c r="E168" i="8"/>
  <c r="E180" i="8"/>
  <c r="E175" i="8"/>
  <c r="E178" i="8"/>
  <c r="E158" i="8"/>
  <c r="E154" i="8"/>
  <c r="E139" i="8"/>
  <c r="E140" i="8"/>
  <c r="E118" i="8"/>
  <c r="E121" i="8"/>
  <c r="E164" i="8"/>
  <c r="E159" i="8"/>
  <c r="E162" i="8"/>
  <c r="E157" i="8"/>
  <c r="E147" i="8"/>
  <c r="E151" i="8"/>
  <c r="E136" i="8"/>
  <c r="E137" i="8"/>
  <c r="E138" i="8"/>
  <c r="E132" i="8"/>
  <c r="E127" i="8"/>
  <c r="E108" i="8"/>
  <c r="E20" i="8"/>
  <c r="E23" i="8"/>
  <c r="E38" i="8"/>
  <c r="E47" i="8"/>
  <c r="E59" i="8"/>
  <c r="E62" i="8"/>
  <c r="E58" i="8"/>
  <c r="E10" i="8"/>
  <c r="E11" i="8"/>
  <c r="E16" i="8"/>
  <c r="E120" i="8"/>
  <c r="E105" i="8"/>
  <c r="E110" i="8"/>
  <c r="E102" i="8"/>
  <c r="E174" i="8"/>
  <c r="E176" i="8"/>
  <c r="E177" i="8"/>
  <c r="E165" i="8"/>
  <c r="E171" i="8"/>
  <c r="E144" i="8"/>
  <c r="E124" i="8"/>
  <c r="E126" i="8"/>
  <c r="E103" i="8"/>
  <c r="E184" i="8"/>
  <c r="E161" i="8"/>
  <c r="E141" i="8"/>
  <c r="E148" i="8"/>
  <c r="E152" i="8"/>
  <c r="E128" i="8"/>
  <c r="E109" i="8"/>
  <c r="E114" i="8"/>
  <c r="E106" i="8"/>
  <c r="E22" i="8"/>
  <c r="E26" i="8"/>
  <c r="E34" i="8"/>
  <c r="E50" i="8"/>
  <c r="E29" i="8"/>
  <c r="E32" i="8"/>
  <c r="E28" i="8"/>
  <c r="E53" i="8"/>
  <c r="E56" i="8"/>
  <c r="E52" i="8"/>
  <c r="E65" i="8"/>
  <c r="E68" i="8"/>
  <c r="E64" i="8"/>
  <c r="D70" i="17"/>
  <c r="D86" i="17"/>
  <c r="D106" i="17"/>
  <c r="D27" i="17"/>
  <c r="D51" i="17"/>
  <c r="D43" i="17"/>
  <c r="D131" i="17"/>
  <c r="D82" i="17"/>
  <c r="D40" i="17"/>
  <c r="D64" i="17"/>
  <c r="D55" i="17"/>
  <c r="AA37" i="17"/>
  <c r="D101" i="17"/>
  <c r="O2" i="18"/>
  <c r="M2" i="18"/>
  <c r="Q2" i="18"/>
  <c r="N2" i="18"/>
  <c r="D24" i="17"/>
  <c r="D48" i="17"/>
  <c r="D122" i="17"/>
  <c r="D144" i="17"/>
  <c r="D164" i="17"/>
  <c r="D180" i="17"/>
  <c r="D21" i="17"/>
  <c r="D45" i="17"/>
  <c r="D69" i="17"/>
  <c r="D85" i="17"/>
  <c r="D103" i="17"/>
  <c r="D121" i="17"/>
  <c r="D141" i="17"/>
  <c r="D157" i="17"/>
  <c r="D177" i="17"/>
  <c r="D72" i="17"/>
  <c r="D88" i="17"/>
  <c r="D108" i="17"/>
  <c r="D124" i="17"/>
  <c r="D146" i="17"/>
  <c r="D166" i="17"/>
  <c r="D182" i="17"/>
  <c r="D11" i="17"/>
  <c r="D35" i="17"/>
  <c r="D59" i="17"/>
  <c r="D79" i="17"/>
  <c r="D95" i="17"/>
  <c r="D115" i="17"/>
  <c r="D151" i="17"/>
  <c r="D171" i="17"/>
  <c r="D13" i="17"/>
  <c r="D61" i="17"/>
  <c r="D17" i="17"/>
  <c r="D41" i="17"/>
  <c r="D65" i="17"/>
  <c r="D100" i="17"/>
  <c r="D118" i="17"/>
  <c r="D140" i="17"/>
  <c r="D156" i="17"/>
  <c r="D176" i="17"/>
  <c r="D16" i="17"/>
  <c r="AA6" i="17" s="1"/>
  <c r="D81" i="17"/>
  <c r="D97" i="17"/>
  <c r="D117" i="17"/>
  <c r="AA55" i="17" s="1"/>
  <c r="D133" i="17"/>
  <c r="D153" i="17"/>
  <c r="D173" i="17"/>
  <c r="D10" i="17"/>
  <c r="D34" i="17"/>
  <c r="D58" i="17"/>
  <c r="D76" i="17"/>
  <c r="D92" i="17"/>
  <c r="D112" i="17"/>
  <c r="D128" i="17"/>
  <c r="D150" i="17"/>
  <c r="D170" i="17"/>
  <c r="D7" i="17"/>
  <c r="D18" i="17"/>
  <c r="D42" i="17"/>
  <c r="D66" i="17"/>
  <c r="D83" i="17"/>
  <c r="D99" i="17"/>
  <c r="D119" i="17"/>
  <c r="AA61" i="17" s="1"/>
  <c r="D139" i="17"/>
  <c r="D155" i="17"/>
  <c r="D175" i="17"/>
  <c r="AA129" i="17" s="1"/>
  <c r="D25" i="17"/>
  <c r="E25" i="8"/>
  <c r="E36" i="8"/>
  <c r="E37" i="8"/>
  <c r="E33" i="8"/>
  <c r="E48" i="8"/>
  <c r="E45" i="8"/>
  <c r="E17" i="18"/>
  <c r="J2" i="18"/>
  <c r="I2" i="18"/>
  <c r="L2" i="18"/>
  <c r="H2" i="18"/>
  <c r="D12" i="17"/>
  <c r="AA5" i="17" s="1"/>
  <c r="D36" i="17"/>
  <c r="D60" i="17"/>
  <c r="D78" i="17"/>
  <c r="D94" i="17"/>
  <c r="D114" i="17"/>
  <c r="D130" i="17"/>
  <c r="D152" i="17"/>
  <c r="D172" i="17"/>
  <c r="D9" i="17"/>
  <c r="D33" i="17"/>
  <c r="D57" i="17"/>
  <c r="D77" i="17"/>
  <c r="D93" i="17"/>
  <c r="D113" i="17"/>
  <c r="D129" i="17"/>
  <c r="D149" i="17"/>
  <c r="AA106" i="17" s="1"/>
  <c r="D169" i="17"/>
  <c r="D3" i="17"/>
  <c r="D15" i="17"/>
  <c r="D39" i="17"/>
  <c r="D63" i="17"/>
  <c r="D80" i="17"/>
  <c r="D98" i="17"/>
  <c r="D116" i="17"/>
  <c r="D132" i="17"/>
  <c r="D154" i="17"/>
  <c r="D174" i="17"/>
  <c r="AA128" i="17" s="1"/>
  <c r="D19" i="17"/>
  <c r="D67" i="17"/>
  <c r="D23" i="17"/>
  <c r="D47" i="17"/>
  <c r="D71" i="17"/>
  <c r="D87" i="17"/>
  <c r="D105" i="17"/>
  <c r="D123" i="17"/>
  <c r="D143" i="17"/>
  <c r="D161" i="17"/>
  <c r="D179" i="17"/>
  <c r="D37" i="17"/>
  <c r="D5" i="17"/>
  <c r="D29" i="17"/>
  <c r="D53" i="17"/>
  <c r="D74" i="17"/>
  <c r="D90" i="17"/>
  <c r="D110" i="17"/>
  <c r="D126" i="17"/>
  <c r="D148" i="17"/>
  <c r="D168" i="17"/>
  <c r="D4" i="17"/>
  <c r="D28" i="17"/>
  <c r="D52" i="17"/>
  <c r="D73" i="17"/>
  <c r="D89" i="17"/>
  <c r="D109" i="17"/>
  <c r="D125" i="17"/>
  <c r="D145" i="17"/>
  <c r="D165" i="17"/>
  <c r="D181" i="17"/>
  <c r="D22" i="17"/>
  <c r="AA8" i="17" s="1"/>
  <c r="D46" i="17"/>
  <c r="D68" i="17"/>
  <c r="D84" i="17"/>
  <c r="D102" i="17"/>
  <c r="D120" i="17"/>
  <c r="D142" i="17"/>
  <c r="D162" i="17"/>
  <c r="D178" i="17"/>
  <c r="D31" i="17"/>
  <c r="D6" i="17"/>
  <c r="D30" i="17"/>
  <c r="D54" i="17"/>
  <c r="D75" i="17"/>
  <c r="D91" i="17"/>
  <c r="D111" i="17"/>
  <c r="D127" i="17"/>
  <c r="AA72" i="17" s="1"/>
  <c r="D147" i="17"/>
  <c r="D167" i="17"/>
  <c r="D183" i="17"/>
  <c r="D49" i="17"/>
  <c r="O101" i="17"/>
  <c r="D101" i="20" s="1"/>
  <c r="E14" i="18"/>
  <c r="E4" i="18"/>
  <c r="E7" i="18"/>
  <c r="E172" i="8"/>
  <c r="E172" i="18"/>
  <c r="E181" i="8"/>
  <c r="E181" i="18"/>
  <c r="E167" i="8"/>
  <c r="E167" i="18"/>
  <c r="E169" i="8"/>
  <c r="E169" i="18"/>
  <c r="E49" i="18"/>
  <c r="E6" i="18"/>
  <c r="E3" i="18"/>
  <c r="AA80" i="17"/>
  <c r="AA84" i="17"/>
  <c r="H132" i="5"/>
  <c r="I132" i="5" s="1"/>
  <c r="H100" i="5"/>
  <c r="L2" i="17"/>
  <c r="H2" i="17"/>
  <c r="M2" i="17"/>
  <c r="I2" i="17"/>
  <c r="E2" i="17"/>
  <c r="J2" i="17"/>
  <c r="F2" i="17"/>
  <c r="K2" i="17"/>
  <c r="G2" i="17"/>
  <c r="H159" i="17"/>
  <c r="L159" i="17"/>
  <c r="G159" i="17"/>
  <c r="K159" i="17"/>
  <c r="F159" i="17"/>
  <c r="J159" i="17"/>
  <c r="E159" i="17"/>
  <c r="I159" i="17"/>
  <c r="M159" i="17"/>
  <c r="M101" i="17"/>
  <c r="AJ37" i="17" s="1"/>
  <c r="I101" i="17"/>
  <c r="AF37" i="17" s="1"/>
  <c r="E101" i="17"/>
  <c r="AB37" i="17" s="1"/>
  <c r="J101" i="17"/>
  <c r="AG37" i="17" s="1"/>
  <c r="F101" i="17"/>
  <c r="AC37" i="17" s="1"/>
  <c r="M135" i="17"/>
  <c r="AJ80" i="17" s="1"/>
  <c r="I135" i="17"/>
  <c r="AF80" i="17" s="1"/>
  <c r="E135" i="17"/>
  <c r="AB80" i="17" s="1"/>
  <c r="J135" i="17"/>
  <c r="AG80" i="17" s="1"/>
  <c r="F135" i="17"/>
  <c r="AC80" i="17" s="1"/>
  <c r="M137" i="17"/>
  <c r="AJ84" i="17" s="1"/>
  <c r="I137" i="17"/>
  <c r="AF84" i="17" s="1"/>
  <c r="E137" i="17"/>
  <c r="AB84" i="17" s="1"/>
  <c r="J137" i="17"/>
  <c r="AG84" i="17" s="1"/>
  <c r="F137" i="17"/>
  <c r="AC84" i="17" s="1"/>
  <c r="M160" i="17"/>
  <c r="I160" i="17"/>
  <c r="E160" i="17"/>
  <c r="J160" i="17"/>
  <c r="F160" i="17"/>
  <c r="M8" i="17"/>
  <c r="I8" i="17"/>
  <c r="E8" i="17"/>
  <c r="J8" i="17"/>
  <c r="F8" i="17"/>
  <c r="M20" i="17"/>
  <c r="I20" i="17"/>
  <c r="E20" i="17"/>
  <c r="J20" i="17"/>
  <c r="F20" i="17"/>
  <c r="AA79" i="17"/>
  <c r="H134" i="17"/>
  <c r="AE79" i="17" s="1"/>
  <c r="L134" i="17"/>
  <c r="AI79" i="17" s="1"/>
  <c r="G134" i="17"/>
  <c r="AD79" i="17" s="1"/>
  <c r="K134" i="17"/>
  <c r="AH79" i="17" s="1"/>
  <c r="F134" i="17"/>
  <c r="AC79" i="17" s="1"/>
  <c r="J134" i="17"/>
  <c r="AG79" i="17" s="1"/>
  <c r="E134" i="17"/>
  <c r="AB79" i="17" s="1"/>
  <c r="I134" i="17"/>
  <c r="AF79" i="17" s="1"/>
  <c r="M134" i="17"/>
  <c r="AJ79" i="17" s="1"/>
  <c r="AA89" i="17"/>
  <c r="H138" i="17"/>
  <c r="AE89" i="17" s="1"/>
  <c r="L138" i="17"/>
  <c r="AI89" i="17" s="1"/>
  <c r="G138" i="17"/>
  <c r="AD89" i="17" s="1"/>
  <c r="K138" i="17"/>
  <c r="AH89" i="17" s="1"/>
  <c r="F138" i="17"/>
  <c r="AC89" i="17" s="1"/>
  <c r="J138" i="17"/>
  <c r="AG89" i="17" s="1"/>
  <c r="E138" i="17"/>
  <c r="AB89" i="17" s="1"/>
  <c r="I138" i="17"/>
  <c r="AF89" i="17" s="1"/>
  <c r="M138" i="17"/>
  <c r="AJ89" i="17" s="1"/>
  <c r="H96" i="17"/>
  <c r="L96" i="17"/>
  <c r="G96" i="17"/>
  <c r="K96" i="17"/>
  <c r="F96" i="17"/>
  <c r="J96" i="17"/>
  <c r="E96" i="17"/>
  <c r="I96" i="17"/>
  <c r="M96" i="17"/>
  <c r="H14" i="17"/>
  <c r="L14" i="17"/>
  <c r="G14" i="17"/>
  <c r="K14" i="17"/>
  <c r="F14" i="17"/>
  <c r="J14" i="17"/>
  <c r="E14" i="17"/>
  <c r="I14" i="17"/>
  <c r="M14" i="17"/>
  <c r="H32" i="17"/>
  <c r="L32" i="17"/>
  <c r="G32" i="17"/>
  <c r="K32" i="17"/>
  <c r="F32" i="17"/>
  <c r="J32" i="17"/>
  <c r="E32" i="17"/>
  <c r="I32" i="17"/>
  <c r="M32" i="17"/>
  <c r="H44" i="17"/>
  <c r="L44" i="17"/>
  <c r="G44" i="17"/>
  <c r="K44" i="17"/>
  <c r="F44" i="17"/>
  <c r="J44" i="17"/>
  <c r="E44" i="17"/>
  <c r="I44" i="17"/>
  <c r="M44" i="17"/>
  <c r="H56" i="17"/>
  <c r="L56" i="17"/>
  <c r="G56" i="17"/>
  <c r="K56" i="17"/>
  <c r="F56" i="17"/>
  <c r="J56" i="17"/>
  <c r="E56" i="17"/>
  <c r="I56" i="17"/>
  <c r="M56" i="17"/>
  <c r="H163" i="17"/>
  <c r="L163" i="17"/>
  <c r="G163" i="17"/>
  <c r="K163" i="17"/>
  <c r="F163" i="17"/>
  <c r="J163" i="17"/>
  <c r="E163" i="17"/>
  <c r="I163" i="17"/>
  <c r="M163" i="17"/>
  <c r="AA110" i="17"/>
  <c r="H158" i="17"/>
  <c r="AE110" i="17" s="1"/>
  <c r="L158" i="17"/>
  <c r="G158" i="17"/>
  <c r="AD110" i="17" s="1"/>
  <c r="K158" i="17"/>
  <c r="F158" i="17"/>
  <c r="J158" i="17"/>
  <c r="AG110" i="17" s="1"/>
  <c r="E158" i="17"/>
  <c r="AB110" i="17" s="1"/>
  <c r="I158" i="17"/>
  <c r="AF110" i="17" s="1"/>
  <c r="M158" i="17"/>
  <c r="AJ110" i="17" s="1"/>
  <c r="AA82" i="17"/>
  <c r="H136" i="17"/>
  <c r="AE82" i="17" s="1"/>
  <c r="L136" i="17"/>
  <c r="AI82" i="17" s="1"/>
  <c r="G136" i="17"/>
  <c r="AD82" i="17" s="1"/>
  <c r="K136" i="17"/>
  <c r="AH82" i="17" s="1"/>
  <c r="F136" i="17"/>
  <c r="AC82" i="17" s="1"/>
  <c r="J136" i="17"/>
  <c r="AG82" i="17" s="1"/>
  <c r="E136" i="17"/>
  <c r="AB82" i="17" s="1"/>
  <c r="I136" i="17"/>
  <c r="AF82" i="17" s="1"/>
  <c r="M136" i="17"/>
  <c r="AJ82" i="17" s="1"/>
  <c r="H104" i="17"/>
  <c r="L104" i="17"/>
  <c r="G104" i="17"/>
  <c r="K104" i="17"/>
  <c r="F104" i="17"/>
  <c r="J104" i="17"/>
  <c r="E104" i="17"/>
  <c r="I104" i="17"/>
  <c r="M104" i="17"/>
  <c r="AA46" i="17"/>
  <c r="H107" i="17"/>
  <c r="AE46" i="17" s="1"/>
  <c r="L107" i="17"/>
  <c r="AI46" i="17" s="1"/>
  <c r="G107" i="17"/>
  <c r="AD46" i="17" s="1"/>
  <c r="K107" i="17"/>
  <c r="AH46" i="17" s="1"/>
  <c r="F107" i="17"/>
  <c r="AC46" i="17" s="1"/>
  <c r="J107" i="17"/>
  <c r="AG46" i="17" s="1"/>
  <c r="E107" i="17"/>
  <c r="AB46" i="17" s="1"/>
  <c r="I107" i="17"/>
  <c r="AF46" i="17" s="1"/>
  <c r="M107" i="17"/>
  <c r="AJ46" i="17" s="1"/>
  <c r="H26" i="17"/>
  <c r="L26" i="17"/>
  <c r="G26" i="17"/>
  <c r="K26" i="17"/>
  <c r="F26" i="17"/>
  <c r="J26" i="17"/>
  <c r="E26" i="17"/>
  <c r="I26" i="17"/>
  <c r="M26" i="17"/>
  <c r="H38" i="17"/>
  <c r="L38" i="17"/>
  <c r="G38" i="17"/>
  <c r="K38" i="17"/>
  <c r="F38" i="17"/>
  <c r="J38" i="17"/>
  <c r="E38" i="17"/>
  <c r="I38" i="17"/>
  <c r="M38" i="17"/>
  <c r="H50" i="17"/>
  <c r="L50" i="17"/>
  <c r="G50" i="17"/>
  <c r="K50" i="17"/>
  <c r="F50" i="17"/>
  <c r="J50" i="17"/>
  <c r="E50" i="17"/>
  <c r="I50" i="17"/>
  <c r="M50" i="17"/>
  <c r="H62" i="17"/>
  <c r="L62" i="17"/>
  <c r="G62" i="17"/>
  <c r="K62" i="17"/>
  <c r="F62" i="17"/>
  <c r="J62" i="17"/>
  <c r="E62" i="17"/>
  <c r="I62" i="17"/>
  <c r="M62" i="17"/>
  <c r="K101" i="17"/>
  <c r="AH37" i="17" s="1"/>
  <c r="G101" i="17"/>
  <c r="AD37" i="17" s="1"/>
  <c r="L101" i="17"/>
  <c r="AI37" i="17" s="1"/>
  <c r="H101" i="17"/>
  <c r="AE37" i="17" s="1"/>
  <c r="K135" i="17"/>
  <c r="AH80" i="17" s="1"/>
  <c r="G135" i="17"/>
  <c r="AD80" i="17" s="1"/>
  <c r="L135" i="17"/>
  <c r="AI80" i="17" s="1"/>
  <c r="H135" i="17"/>
  <c r="AE80" i="17" s="1"/>
  <c r="K137" i="17"/>
  <c r="AH84" i="17" s="1"/>
  <c r="G137" i="17"/>
  <c r="AD84" i="17" s="1"/>
  <c r="L137" i="17"/>
  <c r="AI84" i="17" s="1"/>
  <c r="H137" i="17"/>
  <c r="AE84" i="17" s="1"/>
  <c r="K160" i="17"/>
  <c r="G160" i="17"/>
  <c r="L160" i="17"/>
  <c r="H160" i="17"/>
  <c r="K8" i="17"/>
  <c r="G8" i="17"/>
  <c r="L8" i="17"/>
  <c r="H8" i="17"/>
  <c r="K20" i="17"/>
  <c r="G20" i="17"/>
  <c r="L20" i="17"/>
  <c r="H20" i="17"/>
  <c r="F10" i="17"/>
  <c r="H10" i="17"/>
  <c r="J10" i="17"/>
  <c r="L10" i="17"/>
  <c r="E10" i="17"/>
  <c r="G10" i="17"/>
  <c r="I10" i="17"/>
  <c r="K10" i="17"/>
  <c r="M10" i="17"/>
  <c r="F15" i="17"/>
  <c r="H15" i="17"/>
  <c r="J15" i="17"/>
  <c r="L15" i="17"/>
  <c r="E15" i="17"/>
  <c r="G15" i="17"/>
  <c r="I15" i="17"/>
  <c r="K15" i="17"/>
  <c r="M15" i="17"/>
  <c r="F22" i="17"/>
  <c r="H22" i="17"/>
  <c r="J22" i="17"/>
  <c r="L22" i="17"/>
  <c r="E22" i="17"/>
  <c r="G22" i="17"/>
  <c r="I22" i="17"/>
  <c r="K22" i="17"/>
  <c r="M22" i="17"/>
  <c r="F34" i="17"/>
  <c r="H34" i="17"/>
  <c r="J34" i="17"/>
  <c r="L34" i="17"/>
  <c r="E34" i="17"/>
  <c r="G34" i="17"/>
  <c r="I34" i="17"/>
  <c r="K34" i="17"/>
  <c r="M34" i="17"/>
  <c r="F80" i="17"/>
  <c r="H80" i="17"/>
  <c r="J80" i="17"/>
  <c r="L80" i="17"/>
  <c r="E80" i="17"/>
  <c r="G80" i="17"/>
  <c r="I80" i="17"/>
  <c r="K80" i="17"/>
  <c r="M80" i="17"/>
  <c r="F92" i="17"/>
  <c r="H92" i="17"/>
  <c r="J92" i="17"/>
  <c r="L92" i="17"/>
  <c r="E92" i="17"/>
  <c r="G92" i="17"/>
  <c r="I92" i="17"/>
  <c r="K92" i="17"/>
  <c r="M92" i="17"/>
  <c r="F98" i="17"/>
  <c r="H98" i="17"/>
  <c r="J98" i="17"/>
  <c r="L98" i="17"/>
  <c r="E98" i="17"/>
  <c r="G98" i="17"/>
  <c r="I98" i="17"/>
  <c r="K98" i="17"/>
  <c r="M98" i="17"/>
  <c r="F112" i="17"/>
  <c r="H112" i="17"/>
  <c r="J112" i="17"/>
  <c r="L112" i="17"/>
  <c r="E112" i="17"/>
  <c r="G112" i="17"/>
  <c r="I112" i="17"/>
  <c r="K112" i="17"/>
  <c r="M112" i="17"/>
  <c r="AA59" i="17"/>
  <c r="F120" i="17"/>
  <c r="AC59" i="17" s="1"/>
  <c r="H120" i="17"/>
  <c r="AE59" i="17" s="1"/>
  <c r="J120" i="17"/>
  <c r="AG59" i="17" s="1"/>
  <c r="L120" i="17"/>
  <c r="AI59" i="17" s="1"/>
  <c r="E120" i="17"/>
  <c r="AB59" i="17" s="1"/>
  <c r="G120" i="17"/>
  <c r="AD59" i="17" s="1"/>
  <c r="I120" i="17"/>
  <c r="AF59" i="17" s="1"/>
  <c r="K120" i="17"/>
  <c r="AH59" i="17" s="1"/>
  <c r="M120" i="17"/>
  <c r="AJ59" i="17" s="1"/>
  <c r="AA73" i="17"/>
  <c r="F128" i="17"/>
  <c r="AC73" i="17" s="1"/>
  <c r="H128" i="17"/>
  <c r="AE73" i="17" s="1"/>
  <c r="J128" i="17"/>
  <c r="AG73" i="17" s="1"/>
  <c r="L128" i="17"/>
  <c r="AI73" i="17" s="1"/>
  <c r="E128" i="17"/>
  <c r="AB73" i="17" s="1"/>
  <c r="G128" i="17"/>
  <c r="AD73" i="17" s="1"/>
  <c r="I128" i="17"/>
  <c r="AF73" i="17" s="1"/>
  <c r="K128" i="17"/>
  <c r="AH73" i="17" s="1"/>
  <c r="M128" i="17"/>
  <c r="AJ73" i="17" s="1"/>
  <c r="F142" i="17"/>
  <c r="H142" i="17"/>
  <c r="J142" i="17"/>
  <c r="L142" i="17"/>
  <c r="E142" i="17"/>
  <c r="G142" i="17"/>
  <c r="I142" i="17"/>
  <c r="K142" i="17"/>
  <c r="M142" i="17"/>
  <c r="F146" i="17"/>
  <c r="H146" i="17"/>
  <c r="J146" i="17"/>
  <c r="L146" i="17"/>
  <c r="E146" i="17"/>
  <c r="G146" i="17"/>
  <c r="I146" i="17"/>
  <c r="K146" i="17"/>
  <c r="M146" i="17"/>
  <c r="F150" i="17"/>
  <c r="H150" i="17"/>
  <c r="J150" i="17"/>
  <c r="L150" i="17"/>
  <c r="E150" i="17"/>
  <c r="G150" i="17"/>
  <c r="I150" i="17"/>
  <c r="K150" i="17"/>
  <c r="M150" i="17"/>
  <c r="F162" i="17"/>
  <c r="H162" i="17"/>
  <c r="J162" i="17"/>
  <c r="L162" i="17"/>
  <c r="E162" i="17"/>
  <c r="G162" i="17"/>
  <c r="I162" i="17"/>
  <c r="K162" i="17"/>
  <c r="M162" i="17"/>
  <c r="F170" i="17"/>
  <c r="H170" i="17"/>
  <c r="J170" i="17"/>
  <c r="L170" i="17"/>
  <c r="E170" i="17"/>
  <c r="G170" i="17"/>
  <c r="I170" i="17"/>
  <c r="K170" i="17"/>
  <c r="M170" i="17"/>
  <c r="F19" i="17"/>
  <c r="H19" i="17"/>
  <c r="J19" i="17"/>
  <c r="L19" i="17"/>
  <c r="E19" i="17"/>
  <c r="G19" i="17"/>
  <c r="I19" i="17"/>
  <c r="K19" i="17"/>
  <c r="M19" i="17"/>
  <c r="F31" i="17"/>
  <c r="H31" i="17"/>
  <c r="J31" i="17"/>
  <c r="L31" i="17"/>
  <c r="E31" i="17"/>
  <c r="G31" i="17"/>
  <c r="I31" i="17"/>
  <c r="K31" i="17"/>
  <c r="M31" i="17"/>
  <c r="F55" i="17"/>
  <c r="H55" i="17"/>
  <c r="J55" i="17"/>
  <c r="L55" i="17"/>
  <c r="E55" i="17"/>
  <c r="G55" i="17"/>
  <c r="I55" i="17"/>
  <c r="K55" i="17"/>
  <c r="M55" i="17"/>
  <c r="F67" i="17"/>
  <c r="H67" i="17"/>
  <c r="J67" i="17"/>
  <c r="L67" i="17"/>
  <c r="E67" i="17"/>
  <c r="G67" i="17"/>
  <c r="I67" i="17"/>
  <c r="K67" i="17"/>
  <c r="M67" i="17"/>
  <c r="F6" i="17"/>
  <c r="H6" i="17"/>
  <c r="J6" i="17"/>
  <c r="L6" i="17"/>
  <c r="E6" i="17"/>
  <c r="G6" i="17"/>
  <c r="I6" i="17"/>
  <c r="K6" i="17"/>
  <c r="M6" i="17"/>
  <c r="F18" i="17"/>
  <c r="H18" i="17"/>
  <c r="J18" i="17"/>
  <c r="L18" i="17"/>
  <c r="E18" i="17"/>
  <c r="G18" i="17"/>
  <c r="I18" i="17"/>
  <c r="K18" i="17"/>
  <c r="M18" i="17"/>
  <c r="F30" i="17"/>
  <c r="H30" i="17"/>
  <c r="J30" i="17"/>
  <c r="L30" i="17"/>
  <c r="E30" i="17"/>
  <c r="G30" i="17"/>
  <c r="I30" i="17"/>
  <c r="K30" i="17"/>
  <c r="M30" i="17"/>
  <c r="F35" i="17"/>
  <c r="H35" i="17"/>
  <c r="J35" i="17"/>
  <c r="L35" i="17"/>
  <c r="E35" i="17"/>
  <c r="G35" i="17"/>
  <c r="I35" i="17"/>
  <c r="K35" i="17"/>
  <c r="M35" i="17"/>
  <c r="F42" i="17"/>
  <c r="H42" i="17"/>
  <c r="J42" i="17"/>
  <c r="L42" i="17"/>
  <c r="E42" i="17"/>
  <c r="G42" i="17"/>
  <c r="I42" i="17"/>
  <c r="K42" i="17"/>
  <c r="M42" i="17"/>
  <c r="F54" i="17"/>
  <c r="H54" i="17"/>
  <c r="J54" i="17"/>
  <c r="L54" i="17"/>
  <c r="E54" i="17"/>
  <c r="G54" i="17"/>
  <c r="I54" i="17"/>
  <c r="K54" i="17"/>
  <c r="M54" i="17"/>
  <c r="F66" i="17"/>
  <c r="H66" i="17"/>
  <c r="J66" i="17"/>
  <c r="L66" i="17"/>
  <c r="E66" i="17"/>
  <c r="G66" i="17"/>
  <c r="I66" i="17"/>
  <c r="K66" i="17"/>
  <c r="M66" i="17"/>
  <c r="F71" i="17"/>
  <c r="H71" i="17"/>
  <c r="J71" i="17"/>
  <c r="L71" i="17"/>
  <c r="E71" i="17"/>
  <c r="G71" i="17"/>
  <c r="I71" i="17"/>
  <c r="K71" i="17"/>
  <c r="M71" i="17"/>
  <c r="F83" i="17"/>
  <c r="H83" i="17"/>
  <c r="J83" i="17"/>
  <c r="L83" i="17"/>
  <c r="E83" i="17"/>
  <c r="G83" i="17"/>
  <c r="I83" i="17"/>
  <c r="K83" i="17"/>
  <c r="M83" i="17"/>
  <c r="F95" i="17"/>
  <c r="H95" i="17"/>
  <c r="J95" i="17"/>
  <c r="L95" i="17"/>
  <c r="E95" i="17"/>
  <c r="G95" i="17"/>
  <c r="I95" i="17"/>
  <c r="K95" i="17"/>
  <c r="M95" i="17"/>
  <c r="F99" i="17"/>
  <c r="H99" i="17"/>
  <c r="J99" i="17"/>
  <c r="L99" i="17"/>
  <c r="E99" i="17"/>
  <c r="G99" i="17"/>
  <c r="I99" i="17"/>
  <c r="K99" i="17"/>
  <c r="M99" i="17"/>
  <c r="F105" i="17"/>
  <c r="H105" i="17"/>
  <c r="J105" i="17"/>
  <c r="L105" i="17"/>
  <c r="E105" i="17"/>
  <c r="G105" i="17"/>
  <c r="I105" i="17"/>
  <c r="K105" i="17"/>
  <c r="M105" i="17"/>
  <c r="F111" i="17"/>
  <c r="H111" i="17"/>
  <c r="J111" i="17"/>
  <c r="L111" i="17"/>
  <c r="E111" i="17"/>
  <c r="G111" i="17"/>
  <c r="I111" i="17"/>
  <c r="K111" i="17"/>
  <c r="M111" i="17"/>
  <c r="F119" i="17"/>
  <c r="AC61" i="17" s="1"/>
  <c r="H119" i="17"/>
  <c r="AE61" i="17" s="1"/>
  <c r="J119" i="17"/>
  <c r="AG61" i="17" s="1"/>
  <c r="L119" i="17"/>
  <c r="AI61" i="17" s="1"/>
  <c r="E119" i="17"/>
  <c r="AB61" i="17" s="1"/>
  <c r="G119" i="17"/>
  <c r="AD61" i="17" s="1"/>
  <c r="I119" i="17"/>
  <c r="AF61" i="17" s="1"/>
  <c r="K119" i="17"/>
  <c r="AH61" i="17" s="1"/>
  <c r="M119" i="17"/>
  <c r="AJ61" i="17" s="1"/>
  <c r="F127" i="17"/>
  <c r="AC72" i="17" s="1"/>
  <c r="H127" i="17"/>
  <c r="AE72" i="17" s="1"/>
  <c r="J127" i="17"/>
  <c r="AG72" i="17" s="1"/>
  <c r="L127" i="17"/>
  <c r="AI72" i="17" s="1"/>
  <c r="E127" i="17"/>
  <c r="AB72" i="17" s="1"/>
  <c r="G127" i="17"/>
  <c r="AD72" i="17" s="1"/>
  <c r="I127" i="17"/>
  <c r="AF72" i="17" s="1"/>
  <c r="K127" i="17"/>
  <c r="AH72" i="17" s="1"/>
  <c r="M127" i="17"/>
  <c r="AJ72" i="17" s="1"/>
  <c r="F143" i="17"/>
  <c r="H143" i="17"/>
  <c r="J143" i="17"/>
  <c r="L143" i="17"/>
  <c r="E143" i="17"/>
  <c r="G143" i="17"/>
  <c r="I143" i="17"/>
  <c r="K143" i="17"/>
  <c r="M143" i="17"/>
  <c r="F147" i="17"/>
  <c r="H147" i="17"/>
  <c r="J147" i="17"/>
  <c r="L147" i="17"/>
  <c r="E147" i="17"/>
  <c r="G147" i="17"/>
  <c r="I147" i="17"/>
  <c r="K147" i="17"/>
  <c r="M147" i="17"/>
  <c r="F151" i="17"/>
  <c r="H151" i="17"/>
  <c r="J151" i="17"/>
  <c r="L151" i="17"/>
  <c r="E151" i="17"/>
  <c r="G151" i="17"/>
  <c r="I151" i="17"/>
  <c r="K151" i="17"/>
  <c r="M151" i="17"/>
  <c r="F155" i="17"/>
  <c r="H155" i="17"/>
  <c r="J155" i="17"/>
  <c r="L155" i="17"/>
  <c r="E155" i="17"/>
  <c r="G155" i="17"/>
  <c r="I155" i="17"/>
  <c r="K155" i="17"/>
  <c r="M155" i="17"/>
  <c r="F167" i="17"/>
  <c r="H167" i="17"/>
  <c r="J167" i="17"/>
  <c r="L167" i="17"/>
  <c r="E167" i="17"/>
  <c r="G167" i="17"/>
  <c r="I167" i="17"/>
  <c r="K167" i="17"/>
  <c r="M167" i="17"/>
  <c r="F183" i="17"/>
  <c r="H183" i="17"/>
  <c r="J183" i="17"/>
  <c r="L183" i="17"/>
  <c r="E183" i="17"/>
  <c r="G183" i="17"/>
  <c r="I183" i="17"/>
  <c r="K183" i="17"/>
  <c r="M183" i="17"/>
  <c r="F25" i="17"/>
  <c r="H25" i="17"/>
  <c r="J25" i="17"/>
  <c r="L25" i="17"/>
  <c r="E25" i="17"/>
  <c r="G25" i="17"/>
  <c r="I25" i="17"/>
  <c r="K25" i="17"/>
  <c r="M25" i="17"/>
  <c r="F37" i="17"/>
  <c r="H37" i="17"/>
  <c r="J37" i="17"/>
  <c r="L37" i="17"/>
  <c r="E37" i="17"/>
  <c r="G37" i="17"/>
  <c r="I37" i="17"/>
  <c r="K37" i="17"/>
  <c r="M37" i="17"/>
  <c r="F12" i="17"/>
  <c r="H12" i="17"/>
  <c r="J12" i="17"/>
  <c r="L12" i="17"/>
  <c r="E12" i="17"/>
  <c r="G12" i="17"/>
  <c r="I12" i="17"/>
  <c r="K12" i="17"/>
  <c r="M12" i="17"/>
  <c r="F24" i="17"/>
  <c r="H24" i="17"/>
  <c r="J24" i="17"/>
  <c r="L24" i="17"/>
  <c r="E24" i="17"/>
  <c r="G24" i="17"/>
  <c r="I24" i="17"/>
  <c r="K24" i="17"/>
  <c r="M24" i="17"/>
  <c r="F36" i="17"/>
  <c r="H36" i="17"/>
  <c r="J36" i="17"/>
  <c r="L36" i="17"/>
  <c r="E36" i="17"/>
  <c r="G36" i="17"/>
  <c r="I36" i="17"/>
  <c r="K36" i="17"/>
  <c r="M36" i="17"/>
  <c r="F41" i="17"/>
  <c r="H41" i="17"/>
  <c r="J41" i="17"/>
  <c r="L41" i="17"/>
  <c r="E41" i="17"/>
  <c r="G41" i="17"/>
  <c r="I41" i="17"/>
  <c r="K41" i="17"/>
  <c r="M41" i="17"/>
  <c r="F53" i="17"/>
  <c r="H53" i="17"/>
  <c r="J53" i="17"/>
  <c r="L53" i="17"/>
  <c r="E53" i="17"/>
  <c r="G53" i="17"/>
  <c r="I53" i="17"/>
  <c r="K53" i="17"/>
  <c r="M53" i="17"/>
  <c r="F65" i="17"/>
  <c r="H65" i="17"/>
  <c r="J65" i="17"/>
  <c r="L65" i="17"/>
  <c r="E65" i="17"/>
  <c r="G65" i="17"/>
  <c r="I65" i="17"/>
  <c r="K65" i="17"/>
  <c r="M65" i="17"/>
  <c r="F74" i="17"/>
  <c r="H74" i="17"/>
  <c r="J74" i="17"/>
  <c r="L74" i="17"/>
  <c r="E74" i="17"/>
  <c r="G74" i="17"/>
  <c r="I74" i="17"/>
  <c r="K74" i="17"/>
  <c r="M74" i="17"/>
  <c r="F78" i="17"/>
  <c r="H78" i="17"/>
  <c r="J78" i="17"/>
  <c r="L78" i="17"/>
  <c r="E78" i="17"/>
  <c r="G78" i="17"/>
  <c r="I78" i="17"/>
  <c r="K78" i="17"/>
  <c r="M78" i="17"/>
  <c r="F82" i="17"/>
  <c r="H82" i="17"/>
  <c r="J82" i="17"/>
  <c r="L82" i="17"/>
  <c r="E82" i="17"/>
  <c r="G82" i="17"/>
  <c r="I82" i="17"/>
  <c r="K82" i="17"/>
  <c r="M82" i="17"/>
  <c r="F90" i="17"/>
  <c r="H90" i="17"/>
  <c r="J90" i="17"/>
  <c r="L90" i="17"/>
  <c r="E90" i="17"/>
  <c r="G90" i="17"/>
  <c r="I90" i="17"/>
  <c r="K90" i="17"/>
  <c r="M90" i="17"/>
  <c r="F94" i="17"/>
  <c r="H94" i="17"/>
  <c r="J94" i="17"/>
  <c r="L94" i="17"/>
  <c r="E94" i="17"/>
  <c r="G94" i="17"/>
  <c r="I94" i="17"/>
  <c r="K94" i="17"/>
  <c r="M94" i="17"/>
  <c r="F100" i="17"/>
  <c r="H100" i="17"/>
  <c r="J100" i="17"/>
  <c r="L100" i="17"/>
  <c r="E100" i="17"/>
  <c r="G100" i="17"/>
  <c r="I100" i="17"/>
  <c r="K100" i="17"/>
  <c r="M100" i="17"/>
  <c r="F110" i="17"/>
  <c r="H110" i="17"/>
  <c r="J110" i="17"/>
  <c r="L110" i="17"/>
  <c r="E110" i="17"/>
  <c r="G110" i="17"/>
  <c r="I110" i="17"/>
  <c r="K110" i="17"/>
  <c r="M110" i="17"/>
  <c r="F114" i="17"/>
  <c r="H114" i="17"/>
  <c r="J114" i="17"/>
  <c r="L114" i="17"/>
  <c r="E114" i="17"/>
  <c r="G114" i="17"/>
  <c r="I114" i="17"/>
  <c r="K114" i="17"/>
  <c r="M114" i="17"/>
  <c r="AA56" i="17"/>
  <c r="F118" i="17"/>
  <c r="AC56" i="17" s="1"/>
  <c r="H118" i="17"/>
  <c r="AE56" i="17" s="1"/>
  <c r="J118" i="17"/>
  <c r="AG56" i="17" s="1"/>
  <c r="L118" i="17"/>
  <c r="AI56" i="17" s="1"/>
  <c r="E118" i="17"/>
  <c r="AB56" i="17" s="1"/>
  <c r="G118" i="17"/>
  <c r="AD56" i="17" s="1"/>
  <c r="I118" i="17"/>
  <c r="AF56" i="17" s="1"/>
  <c r="K118" i="17"/>
  <c r="AH56" i="17" s="1"/>
  <c r="M118" i="17"/>
  <c r="AJ56" i="17" s="1"/>
  <c r="AA76" i="17"/>
  <c r="F130" i="17"/>
  <c r="AC76" i="17" s="1"/>
  <c r="H130" i="17"/>
  <c r="AE76" i="17" s="1"/>
  <c r="J130" i="17"/>
  <c r="AG76" i="17" s="1"/>
  <c r="L130" i="17"/>
  <c r="AI76" i="17" s="1"/>
  <c r="E130" i="17"/>
  <c r="AB76" i="17" s="1"/>
  <c r="G130" i="17"/>
  <c r="AD76" i="17" s="1"/>
  <c r="I130" i="17"/>
  <c r="AF76" i="17" s="1"/>
  <c r="K130" i="17"/>
  <c r="AH76" i="17" s="1"/>
  <c r="M130" i="17"/>
  <c r="AJ76" i="17" s="1"/>
  <c r="F152" i="17"/>
  <c r="H152" i="17"/>
  <c r="J152" i="17"/>
  <c r="L152" i="17"/>
  <c r="E152" i="17"/>
  <c r="G152" i="17"/>
  <c r="I152" i="17"/>
  <c r="K152" i="17"/>
  <c r="M152" i="17"/>
  <c r="E156" i="17"/>
  <c r="F156" i="17"/>
  <c r="H156" i="17"/>
  <c r="J156" i="17"/>
  <c r="L156" i="17"/>
  <c r="G156" i="17"/>
  <c r="I156" i="17"/>
  <c r="K156" i="17"/>
  <c r="M156" i="17"/>
  <c r="F164" i="17"/>
  <c r="H164" i="17"/>
  <c r="J164" i="17"/>
  <c r="L164" i="17"/>
  <c r="E164" i="17"/>
  <c r="G164" i="17"/>
  <c r="I164" i="17"/>
  <c r="K164" i="17"/>
  <c r="M164" i="17"/>
  <c r="F168" i="17"/>
  <c r="H168" i="17"/>
  <c r="J168" i="17"/>
  <c r="L168" i="17"/>
  <c r="E168" i="17"/>
  <c r="G168" i="17"/>
  <c r="I168" i="17"/>
  <c r="K168" i="17"/>
  <c r="M168" i="17"/>
  <c r="F172" i="17"/>
  <c r="H172" i="17"/>
  <c r="J172" i="17"/>
  <c r="L172" i="17"/>
  <c r="E172" i="17"/>
  <c r="G172" i="17"/>
  <c r="I172" i="17"/>
  <c r="K172" i="17"/>
  <c r="M172" i="17"/>
  <c r="F176" i="17"/>
  <c r="H176" i="17"/>
  <c r="J176" i="17"/>
  <c r="L176" i="17"/>
  <c r="E176" i="17"/>
  <c r="G176" i="17"/>
  <c r="I176" i="17"/>
  <c r="K176" i="17"/>
  <c r="M176" i="17"/>
  <c r="F16" i="17"/>
  <c r="AC6" i="17" s="1"/>
  <c r="H16" i="17"/>
  <c r="AE6" i="17" s="1"/>
  <c r="J16" i="17"/>
  <c r="AG6" i="17" s="1"/>
  <c r="L16" i="17"/>
  <c r="AI6" i="17" s="1"/>
  <c r="E16" i="17"/>
  <c r="AB6" i="17" s="1"/>
  <c r="G16" i="17"/>
  <c r="AD6" i="17" s="1"/>
  <c r="I16" i="17"/>
  <c r="AF6" i="17" s="1"/>
  <c r="K16" i="17"/>
  <c r="AH6" i="17" s="1"/>
  <c r="M16" i="17"/>
  <c r="AJ6" i="17" s="1"/>
  <c r="F21" i="17"/>
  <c r="H21" i="17"/>
  <c r="J21" i="17"/>
  <c r="L21" i="17"/>
  <c r="E21" i="17"/>
  <c r="G21" i="17"/>
  <c r="I21" i="17"/>
  <c r="K21" i="17"/>
  <c r="M21" i="17"/>
  <c r="F28" i="17"/>
  <c r="H28" i="17"/>
  <c r="J28" i="17"/>
  <c r="L28" i="17"/>
  <c r="E28" i="17"/>
  <c r="G28" i="17"/>
  <c r="I28" i="17"/>
  <c r="K28" i="17"/>
  <c r="M28" i="17"/>
  <c r="F45" i="17"/>
  <c r="H45" i="17"/>
  <c r="J45" i="17"/>
  <c r="L45" i="17"/>
  <c r="E45" i="17"/>
  <c r="G45" i="17"/>
  <c r="I45" i="17"/>
  <c r="K45" i="17"/>
  <c r="M45" i="17"/>
  <c r="F57" i="17"/>
  <c r="H57" i="17"/>
  <c r="J57" i="17"/>
  <c r="L57" i="17"/>
  <c r="E57" i="17"/>
  <c r="G57" i="17"/>
  <c r="I57" i="17"/>
  <c r="K57" i="17"/>
  <c r="M57" i="17"/>
  <c r="F64" i="17"/>
  <c r="H64" i="17"/>
  <c r="J64" i="17"/>
  <c r="L64" i="17"/>
  <c r="E64" i="17"/>
  <c r="G64" i="17"/>
  <c r="I64" i="17"/>
  <c r="K64" i="17"/>
  <c r="M64" i="17"/>
  <c r="F73" i="17"/>
  <c r="H73" i="17"/>
  <c r="J73" i="17"/>
  <c r="L73" i="17"/>
  <c r="E73" i="17"/>
  <c r="G73" i="17"/>
  <c r="I73" i="17"/>
  <c r="K73" i="17"/>
  <c r="M73" i="17"/>
  <c r="F81" i="17"/>
  <c r="H81" i="17"/>
  <c r="J81" i="17"/>
  <c r="L81" i="17"/>
  <c r="E81" i="17"/>
  <c r="G81" i="17"/>
  <c r="I81" i="17"/>
  <c r="K81" i="17"/>
  <c r="M81" i="17"/>
  <c r="F85" i="17"/>
  <c r="H85" i="17"/>
  <c r="J85" i="17"/>
  <c r="L85" i="17"/>
  <c r="E85" i="17"/>
  <c r="G85" i="17"/>
  <c r="I85" i="17"/>
  <c r="K85" i="17"/>
  <c r="M85" i="17"/>
  <c r="F93" i="17"/>
  <c r="H93" i="17"/>
  <c r="J93" i="17"/>
  <c r="L93" i="17"/>
  <c r="E93" i="17"/>
  <c r="G93" i="17"/>
  <c r="I93" i="17"/>
  <c r="K93" i="17"/>
  <c r="M93" i="17"/>
  <c r="F97" i="17"/>
  <c r="H97" i="17"/>
  <c r="J97" i="17"/>
  <c r="L97" i="17"/>
  <c r="E97" i="17"/>
  <c r="G97" i="17"/>
  <c r="I97" i="17"/>
  <c r="K97" i="17"/>
  <c r="M97" i="17"/>
  <c r="AA41" i="17"/>
  <c r="F103" i="17"/>
  <c r="AC41" i="17" s="1"/>
  <c r="H103" i="17"/>
  <c r="AE41" i="17" s="1"/>
  <c r="J103" i="17"/>
  <c r="AG41" i="17" s="1"/>
  <c r="L103" i="17"/>
  <c r="AI41" i="17" s="1"/>
  <c r="E103" i="17"/>
  <c r="AB41" i="17" s="1"/>
  <c r="G103" i="17"/>
  <c r="AD41" i="17" s="1"/>
  <c r="I103" i="17"/>
  <c r="AF41" i="17" s="1"/>
  <c r="K103" i="17"/>
  <c r="AH41" i="17" s="1"/>
  <c r="M103" i="17"/>
  <c r="AJ41" i="17" s="1"/>
  <c r="F121" i="17"/>
  <c r="H121" i="17"/>
  <c r="J121" i="17"/>
  <c r="L121" i="17"/>
  <c r="E121" i="17"/>
  <c r="G121" i="17"/>
  <c r="I121" i="17"/>
  <c r="K121" i="17"/>
  <c r="M121" i="17"/>
  <c r="F133" i="17"/>
  <c r="H133" i="17"/>
  <c r="J133" i="17"/>
  <c r="L133" i="17"/>
  <c r="E133" i="17"/>
  <c r="G133" i="17"/>
  <c r="I133" i="17"/>
  <c r="K133" i="17"/>
  <c r="M133" i="17"/>
  <c r="F153" i="17"/>
  <c r="H153" i="17"/>
  <c r="J153" i="17"/>
  <c r="L153" i="17"/>
  <c r="E153" i="17"/>
  <c r="G153" i="17"/>
  <c r="I153" i="17"/>
  <c r="K153" i="17"/>
  <c r="M153" i="17"/>
  <c r="F165" i="17"/>
  <c r="H165" i="17"/>
  <c r="J165" i="17"/>
  <c r="L165" i="17"/>
  <c r="E165" i="17"/>
  <c r="G165" i="17"/>
  <c r="I165" i="17"/>
  <c r="K165" i="17"/>
  <c r="M165" i="17"/>
  <c r="F169" i="17"/>
  <c r="H169" i="17"/>
  <c r="J169" i="17"/>
  <c r="L169" i="17"/>
  <c r="E169" i="17"/>
  <c r="G169" i="17"/>
  <c r="I169" i="17"/>
  <c r="K169" i="17"/>
  <c r="M169" i="17"/>
  <c r="F177" i="17"/>
  <c r="H177" i="17"/>
  <c r="J177" i="17"/>
  <c r="L177" i="17"/>
  <c r="E177" i="17"/>
  <c r="G177" i="17"/>
  <c r="I177" i="17"/>
  <c r="K177" i="17"/>
  <c r="M177" i="17"/>
  <c r="AA134" i="17"/>
  <c r="F181" i="17"/>
  <c r="AC134" i="17" s="1"/>
  <c r="H181" i="17"/>
  <c r="AE134" i="17" s="1"/>
  <c r="J181" i="17"/>
  <c r="AG134" i="17" s="1"/>
  <c r="L181" i="17"/>
  <c r="AI134" i="17" s="1"/>
  <c r="E181" i="17"/>
  <c r="AB134" i="17" s="1"/>
  <c r="G181" i="17"/>
  <c r="AD134" i="17" s="1"/>
  <c r="I181" i="17"/>
  <c r="AF134" i="17" s="1"/>
  <c r="K181" i="17"/>
  <c r="AH134" i="17" s="1"/>
  <c r="M181" i="17"/>
  <c r="AJ134" i="17" s="1"/>
  <c r="F3" i="17"/>
  <c r="H3" i="17"/>
  <c r="J3" i="17"/>
  <c r="L3" i="17"/>
  <c r="E3" i="17"/>
  <c r="G3" i="17"/>
  <c r="I3" i="17"/>
  <c r="K3" i="17"/>
  <c r="M3" i="17"/>
  <c r="F27" i="17"/>
  <c r="H27" i="17"/>
  <c r="J27" i="17"/>
  <c r="L27" i="17"/>
  <c r="E27" i="17"/>
  <c r="G27" i="17"/>
  <c r="I27" i="17"/>
  <c r="K27" i="17"/>
  <c r="M27" i="17"/>
  <c r="F39" i="17"/>
  <c r="H39" i="17"/>
  <c r="J39" i="17"/>
  <c r="L39" i="17"/>
  <c r="E39" i="17"/>
  <c r="G39" i="17"/>
  <c r="I39" i="17"/>
  <c r="K39" i="17"/>
  <c r="M39" i="17"/>
  <c r="F46" i="17"/>
  <c r="H46" i="17"/>
  <c r="J46" i="17"/>
  <c r="L46" i="17"/>
  <c r="E46" i="17"/>
  <c r="G46" i="17"/>
  <c r="I46" i="17"/>
  <c r="K46" i="17"/>
  <c r="M46" i="17"/>
  <c r="F51" i="17"/>
  <c r="H51" i="17"/>
  <c r="J51" i="17"/>
  <c r="L51" i="17"/>
  <c r="E51" i="17"/>
  <c r="G51" i="17"/>
  <c r="I51" i="17"/>
  <c r="K51" i="17"/>
  <c r="M51" i="17"/>
  <c r="F58" i="17"/>
  <c r="H58" i="17"/>
  <c r="J58" i="17"/>
  <c r="L58" i="17"/>
  <c r="E58" i="17"/>
  <c r="G58" i="17"/>
  <c r="I58" i="17"/>
  <c r="K58" i="17"/>
  <c r="M58" i="17"/>
  <c r="F63" i="17"/>
  <c r="H63" i="17"/>
  <c r="J63" i="17"/>
  <c r="L63" i="17"/>
  <c r="E63" i="17"/>
  <c r="G63" i="17"/>
  <c r="I63" i="17"/>
  <c r="K63" i="17"/>
  <c r="M63" i="17"/>
  <c r="F68" i="17"/>
  <c r="H68" i="17"/>
  <c r="J68" i="17"/>
  <c r="L68" i="17"/>
  <c r="E68" i="17"/>
  <c r="G68" i="17"/>
  <c r="I68" i="17"/>
  <c r="K68" i="17"/>
  <c r="M68" i="17"/>
  <c r="F72" i="17"/>
  <c r="H72" i="17"/>
  <c r="J72" i="17"/>
  <c r="L72" i="17"/>
  <c r="E72" i="17"/>
  <c r="G72" i="17"/>
  <c r="I72" i="17"/>
  <c r="K72" i="17"/>
  <c r="M72" i="17"/>
  <c r="F76" i="17"/>
  <c r="H76" i="17"/>
  <c r="J76" i="17"/>
  <c r="L76" i="17"/>
  <c r="E76" i="17"/>
  <c r="G76" i="17"/>
  <c r="I76" i="17"/>
  <c r="K76" i="17"/>
  <c r="M76" i="17"/>
  <c r="F84" i="17"/>
  <c r="H84" i="17"/>
  <c r="J84" i="17"/>
  <c r="L84" i="17"/>
  <c r="E84" i="17"/>
  <c r="G84" i="17"/>
  <c r="I84" i="17"/>
  <c r="K84" i="17"/>
  <c r="M84" i="17"/>
  <c r="F88" i="17"/>
  <c r="H88" i="17"/>
  <c r="J88" i="17"/>
  <c r="L88" i="17"/>
  <c r="E88" i="17"/>
  <c r="G88" i="17"/>
  <c r="I88" i="17"/>
  <c r="K88" i="17"/>
  <c r="M88" i="17"/>
  <c r="AA39" i="17"/>
  <c r="F102" i="17"/>
  <c r="AC39" i="17" s="1"/>
  <c r="H102" i="17"/>
  <c r="AE39" i="17" s="1"/>
  <c r="J102" i="17"/>
  <c r="AG39" i="17" s="1"/>
  <c r="L102" i="17"/>
  <c r="AI39" i="17" s="1"/>
  <c r="E102" i="17"/>
  <c r="AB39" i="17" s="1"/>
  <c r="G102" i="17"/>
  <c r="AD39" i="17" s="1"/>
  <c r="I102" i="17"/>
  <c r="AF39" i="17" s="1"/>
  <c r="K102" i="17"/>
  <c r="AH39" i="17" s="1"/>
  <c r="M102" i="17"/>
  <c r="AJ39" i="17" s="1"/>
  <c r="F108" i="17"/>
  <c r="H108" i="17"/>
  <c r="J108" i="17"/>
  <c r="L108" i="17"/>
  <c r="E108" i="17"/>
  <c r="G108" i="17"/>
  <c r="I108" i="17"/>
  <c r="K108" i="17"/>
  <c r="M108" i="17"/>
  <c r="F116" i="17"/>
  <c r="H116" i="17"/>
  <c r="J116" i="17"/>
  <c r="L116" i="17"/>
  <c r="E116" i="17"/>
  <c r="G116" i="17"/>
  <c r="I116" i="17"/>
  <c r="K116" i="17"/>
  <c r="M116" i="17"/>
  <c r="F124" i="17"/>
  <c r="H124" i="17"/>
  <c r="J124" i="17"/>
  <c r="L124" i="17"/>
  <c r="E124" i="17"/>
  <c r="G124" i="17"/>
  <c r="I124" i="17"/>
  <c r="K124" i="17"/>
  <c r="M124" i="17"/>
  <c r="F132" i="17"/>
  <c r="H132" i="17"/>
  <c r="J132" i="17"/>
  <c r="L132" i="17"/>
  <c r="E132" i="17"/>
  <c r="G132" i="17"/>
  <c r="I132" i="17"/>
  <c r="K132" i="17"/>
  <c r="M132" i="17"/>
  <c r="F154" i="17"/>
  <c r="H154" i="17"/>
  <c r="J154" i="17"/>
  <c r="L154" i="17"/>
  <c r="E154" i="17"/>
  <c r="G154" i="17"/>
  <c r="I154" i="17"/>
  <c r="K154" i="17"/>
  <c r="M154" i="17"/>
  <c r="F166" i="17"/>
  <c r="H166" i="17"/>
  <c r="J166" i="17"/>
  <c r="L166" i="17"/>
  <c r="E166" i="17"/>
  <c r="G166" i="17"/>
  <c r="I166" i="17"/>
  <c r="K166" i="17"/>
  <c r="M166" i="17"/>
  <c r="F174" i="17"/>
  <c r="AC128" i="17" s="1"/>
  <c r="H174" i="17"/>
  <c r="AE128" i="17" s="1"/>
  <c r="J174" i="17"/>
  <c r="AG128" i="17" s="1"/>
  <c r="L174" i="17"/>
  <c r="AI128" i="17" s="1"/>
  <c r="E174" i="17"/>
  <c r="AB128" i="17" s="1"/>
  <c r="G174" i="17"/>
  <c r="AD128" i="17" s="1"/>
  <c r="I174" i="17"/>
  <c r="AF128" i="17" s="1"/>
  <c r="K174" i="17"/>
  <c r="AH128" i="17" s="1"/>
  <c r="M174" i="17"/>
  <c r="AJ128" i="17" s="1"/>
  <c r="F178" i="17"/>
  <c r="H178" i="17"/>
  <c r="J178" i="17"/>
  <c r="L178" i="17"/>
  <c r="E178" i="17"/>
  <c r="G178" i="17"/>
  <c r="I178" i="17"/>
  <c r="K178" i="17"/>
  <c r="M178" i="17"/>
  <c r="AA136" i="17"/>
  <c r="F182" i="17"/>
  <c r="AC136" i="17" s="1"/>
  <c r="H182" i="17"/>
  <c r="AE136" i="17" s="1"/>
  <c r="J182" i="17"/>
  <c r="AG136" i="17" s="1"/>
  <c r="L182" i="17"/>
  <c r="AI136" i="17" s="1"/>
  <c r="E182" i="17"/>
  <c r="AB136" i="17" s="1"/>
  <c r="G182" i="17"/>
  <c r="AD136" i="17" s="1"/>
  <c r="I182" i="17"/>
  <c r="AF136" i="17" s="1"/>
  <c r="K182" i="17"/>
  <c r="AH136" i="17" s="1"/>
  <c r="M182" i="17"/>
  <c r="AJ136" i="17" s="1"/>
  <c r="F7" i="17"/>
  <c r="H7" i="17"/>
  <c r="J7" i="17"/>
  <c r="L7" i="17"/>
  <c r="E7" i="17"/>
  <c r="G7" i="17"/>
  <c r="I7" i="17"/>
  <c r="K7" i="17"/>
  <c r="M7" i="17"/>
  <c r="F43" i="17"/>
  <c r="H43" i="17"/>
  <c r="J43" i="17"/>
  <c r="L43" i="17"/>
  <c r="E43" i="17"/>
  <c r="G43" i="17"/>
  <c r="I43" i="17"/>
  <c r="K43" i="17"/>
  <c r="M43" i="17"/>
  <c r="F11" i="17"/>
  <c r="H11" i="17"/>
  <c r="J11" i="17"/>
  <c r="L11" i="17"/>
  <c r="E11" i="17"/>
  <c r="G11" i="17"/>
  <c r="I11" i="17"/>
  <c r="K11" i="17"/>
  <c r="M11" i="17"/>
  <c r="F23" i="17"/>
  <c r="H23" i="17"/>
  <c r="J23" i="17"/>
  <c r="L23" i="17"/>
  <c r="E23" i="17"/>
  <c r="G23" i="17"/>
  <c r="I23" i="17"/>
  <c r="K23" i="17"/>
  <c r="M23" i="17"/>
  <c r="F47" i="17"/>
  <c r="H47" i="17"/>
  <c r="J47" i="17"/>
  <c r="L47" i="17"/>
  <c r="E47" i="17"/>
  <c r="G47" i="17"/>
  <c r="I47" i="17"/>
  <c r="K47" i="17"/>
  <c r="M47" i="17"/>
  <c r="F59" i="17"/>
  <c r="H59" i="17"/>
  <c r="J59" i="17"/>
  <c r="L59" i="17"/>
  <c r="E59" i="17"/>
  <c r="G59" i="17"/>
  <c r="I59" i="17"/>
  <c r="K59" i="17"/>
  <c r="M59" i="17"/>
  <c r="F75" i="17"/>
  <c r="H75" i="17"/>
  <c r="J75" i="17"/>
  <c r="L75" i="17"/>
  <c r="E75" i="17"/>
  <c r="G75" i="17"/>
  <c r="I75" i="17"/>
  <c r="K75" i="17"/>
  <c r="M75" i="17"/>
  <c r="F79" i="17"/>
  <c r="H79" i="17"/>
  <c r="J79" i="17"/>
  <c r="L79" i="17"/>
  <c r="E79" i="17"/>
  <c r="G79" i="17"/>
  <c r="I79" i="17"/>
  <c r="K79" i="17"/>
  <c r="M79" i="17"/>
  <c r="F87" i="17"/>
  <c r="H87" i="17"/>
  <c r="J87" i="17"/>
  <c r="L87" i="17"/>
  <c r="E87" i="17"/>
  <c r="G87" i="17"/>
  <c r="I87" i="17"/>
  <c r="K87" i="17"/>
  <c r="M87" i="17"/>
  <c r="F91" i="17"/>
  <c r="H91" i="17"/>
  <c r="J91" i="17"/>
  <c r="L91" i="17"/>
  <c r="E91" i="17"/>
  <c r="G91" i="17"/>
  <c r="I91" i="17"/>
  <c r="K91" i="17"/>
  <c r="M91" i="17"/>
  <c r="F115" i="17"/>
  <c r="H115" i="17"/>
  <c r="J115" i="17"/>
  <c r="L115" i="17"/>
  <c r="E115" i="17"/>
  <c r="G115" i="17"/>
  <c r="I115" i="17"/>
  <c r="K115" i="17"/>
  <c r="M115" i="17"/>
  <c r="F123" i="17"/>
  <c r="H123" i="17"/>
  <c r="J123" i="17"/>
  <c r="L123" i="17"/>
  <c r="E123" i="17"/>
  <c r="G123" i="17"/>
  <c r="I123" i="17"/>
  <c r="K123" i="17"/>
  <c r="M123" i="17"/>
  <c r="F131" i="17"/>
  <c r="H131" i="17"/>
  <c r="J131" i="17"/>
  <c r="L131" i="17"/>
  <c r="E131" i="17"/>
  <c r="G131" i="17"/>
  <c r="I131" i="17"/>
  <c r="K131" i="17"/>
  <c r="M131" i="17"/>
  <c r="AA91" i="17"/>
  <c r="F139" i="17"/>
  <c r="AC91" i="17" s="1"/>
  <c r="H139" i="17"/>
  <c r="AE91" i="17" s="1"/>
  <c r="J139" i="17"/>
  <c r="AG91" i="17" s="1"/>
  <c r="L139" i="17"/>
  <c r="AI91" i="17" s="1"/>
  <c r="E139" i="17"/>
  <c r="AB91" i="17" s="1"/>
  <c r="G139" i="17"/>
  <c r="AD91" i="17" s="1"/>
  <c r="I139" i="17"/>
  <c r="AF91" i="17" s="1"/>
  <c r="K139" i="17"/>
  <c r="AH91" i="17" s="1"/>
  <c r="M139" i="17"/>
  <c r="AJ91" i="17" s="1"/>
  <c r="AA114" i="17"/>
  <c r="F161" i="17"/>
  <c r="H161" i="17"/>
  <c r="J161" i="17"/>
  <c r="AG114" i="17" s="1"/>
  <c r="L161" i="17"/>
  <c r="AI114" i="17" s="1"/>
  <c r="E161" i="17"/>
  <c r="AB114" i="17" s="1"/>
  <c r="G161" i="17"/>
  <c r="I161" i="17"/>
  <c r="K161" i="17"/>
  <c r="AH114" i="17" s="1"/>
  <c r="M161" i="17"/>
  <c r="AJ114" i="17" s="1"/>
  <c r="F171" i="17"/>
  <c r="H171" i="17"/>
  <c r="J171" i="17"/>
  <c r="L171" i="17"/>
  <c r="E171" i="17"/>
  <c r="G171" i="17"/>
  <c r="I171" i="17"/>
  <c r="K171" i="17"/>
  <c r="M171" i="17"/>
  <c r="F175" i="17"/>
  <c r="AC129" i="17" s="1"/>
  <c r="H175" i="17"/>
  <c r="AE129" i="17" s="1"/>
  <c r="J175" i="17"/>
  <c r="AG129" i="17" s="1"/>
  <c r="L175" i="17"/>
  <c r="AI129" i="17" s="1"/>
  <c r="E175" i="17"/>
  <c r="AB129" i="17" s="1"/>
  <c r="G175" i="17"/>
  <c r="AD129" i="17" s="1"/>
  <c r="I175" i="17"/>
  <c r="AF129" i="17" s="1"/>
  <c r="K175" i="17"/>
  <c r="AH129" i="17" s="1"/>
  <c r="M175" i="17"/>
  <c r="AJ129" i="17" s="1"/>
  <c r="F179" i="17"/>
  <c r="H179" i="17"/>
  <c r="J179" i="17"/>
  <c r="L179" i="17"/>
  <c r="E179" i="17"/>
  <c r="G179" i="17"/>
  <c r="I179" i="17"/>
  <c r="K179" i="17"/>
  <c r="M179" i="17"/>
  <c r="F13" i="17"/>
  <c r="H13" i="17"/>
  <c r="J13" i="17"/>
  <c r="L13" i="17"/>
  <c r="E13" i="17"/>
  <c r="G13" i="17"/>
  <c r="I13" i="17"/>
  <c r="K13" i="17"/>
  <c r="M13" i="17"/>
  <c r="F49" i="17"/>
  <c r="H49" i="17"/>
  <c r="J49" i="17"/>
  <c r="L49" i="17"/>
  <c r="E49" i="17"/>
  <c r="G49" i="17"/>
  <c r="I49" i="17"/>
  <c r="K49" i="17"/>
  <c r="M49" i="17"/>
  <c r="F61" i="17"/>
  <c r="H61" i="17"/>
  <c r="J61" i="17"/>
  <c r="L61" i="17"/>
  <c r="E61" i="17"/>
  <c r="G61" i="17"/>
  <c r="I61" i="17"/>
  <c r="K61" i="17"/>
  <c r="M61" i="17"/>
  <c r="F5" i="17"/>
  <c r="H5" i="17"/>
  <c r="J5" i="17"/>
  <c r="L5" i="17"/>
  <c r="E5" i="17"/>
  <c r="G5" i="17"/>
  <c r="I5" i="17"/>
  <c r="K5" i="17"/>
  <c r="M5" i="17"/>
  <c r="F17" i="17"/>
  <c r="H17" i="17"/>
  <c r="J17" i="17"/>
  <c r="L17" i="17"/>
  <c r="E17" i="17"/>
  <c r="G17" i="17"/>
  <c r="I17" i="17"/>
  <c r="K17" i="17"/>
  <c r="M17" i="17"/>
  <c r="F29" i="17"/>
  <c r="H29" i="17"/>
  <c r="J29" i="17"/>
  <c r="L29" i="17"/>
  <c r="E29" i="17"/>
  <c r="G29" i="17"/>
  <c r="I29" i="17"/>
  <c r="K29" i="17"/>
  <c r="M29" i="17"/>
  <c r="F48" i="17"/>
  <c r="H48" i="17"/>
  <c r="J48" i="17"/>
  <c r="L48" i="17"/>
  <c r="E48" i="17"/>
  <c r="G48" i="17"/>
  <c r="I48" i="17"/>
  <c r="K48" i="17"/>
  <c r="M48" i="17"/>
  <c r="F60" i="17"/>
  <c r="H60" i="17"/>
  <c r="J60" i="17"/>
  <c r="L60" i="17"/>
  <c r="E60" i="17"/>
  <c r="G60" i="17"/>
  <c r="I60" i="17"/>
  <c r="K60" i="17"/>
  <c r="M60" i="17"/>
  <c r="F70" i="17"/>
  <c r="H70" i="17"/>
  <c r="J70" i="17"/>
  <c r="L70" i="17"/>
  <c r="E70" i="17"/>
  <c r="G70" i="17"/>
  <c r="I70" i="17"/>
  <c r="K70" i="17"/>
  <c r="M70" i="17"/>
  <c r="F86" i="17"/>
  <c r="H86" i="17"/>
  <c r="J86" i="17"/>
  <c r="L86" i="17"/>
  <c r="E86" i="17"/>
  <c r="G86" i="17"/>
  <c r="I86" i="17"/>
  <c r="K86" i="17"/>
  <c r="M86" i="17"/>
  <c r="F106" i="17"/>
  <c r="H106" i="17"/>
  <c r="J106" i="17"/>
  <c r="L106" i="17"/>
  <c r="E106" i="17"/>
  <c r="G106" i="17"/>
  <c r="I106" i="17"/>
  <c r="K106" i="17"/>
  <c r="M106" i="17"/>
  <c r="F122" i="17"/>
  <c r="H122" i="17"/>
  <c r="J122" i="17"/>
  <c r="L122" i="17"/>
  <c r="E122" i="17"/>
  <c r="G122" i="17"/>
  <c r="I122" i="17"/>
  <c r="K122" i="17"/>
  <c r="M122" i="17"/>
  <c r="AA70" i="17"/>
  <c r="F126" i="17"/>
  <c r="AC70" i="17" s="1"/>
  <c r="H126" i="17"/>
  <c r="AE70" i="17" s="1"/>
  <c r="J126" i="17"/>
  <c r="AG70" i="17" s="1"/>
  <c r="L126" i="17"/>
  <c r="AI70" i="17" s="1"/>
  <c r="E126" i="17"/>
  <c r="AB70" i="17" s="1"/>
  <c r="G126" i="17"/>
  <c r="AD70" i="17" s="1"/>
  <c r="I126" i="17"/>
  <c r="AF70" i="17" s="1"/>
  <c r="K126" i="17"/>
  <c r="AH70" i="17" s="1"/>
  <c r="M126" i="17"/>
  <c r="AJ70" i="17" s="1"/>
  <c r="F140" i="17"/>
  <c r="H140" i="17"/>
  <c r="J140" i="17"/>
  <c r="L140" i="17"/>
  <c r="E140" i="17"/>
  <c r="G140" i="17"/>
  <c r="I140" i="17"/>
  <c r="K140" i="17"/>
  <c r="M140" i="17"/>
  <c r="F144" i="17"/>
  <c r="H144" i="17"/>
  <c r="J144" i="17"/>
  <c r="L144" i="17"/>
  <c r="E144" i="17"/>
  <c r="G144" i="17"/>
  <c r="I144" i="17"/>
  <c r="K144" i="17"/>
  <c r="M144" i="17"/>
  <c r="F148" i="17"/>
  <c r="H148" i="17"/>
  <c r="J148" i="17"/>
  <c r="L148" i="17"/>
  <c r="E148" i="17"/>
  <c r="G148" i="17"/>
  <c r="I148" i="17"/>
  <c r="K148" i="17"/>
  <c r="M148" i="17"/>
  <c r="F180" i="17"/>
  <c r="H180" i="17"/>
  <c r="J180" i="17"/>
  <c r="L180" i="17"/>
  <c r="E180" i="17"/>
  <c r="G180" i="17"/>
  <c r="I180" i="17"/>
  <c r="K180" i="17"/>
  <c r="M180" i="17"/>
  <c r="F4" i="17"/>
  <c r="H4" i="17"/>
  <c r="J4" i="17"/>
  <c r="L4" i="17"/>
  <c r="E4" i="17"/>
  <c r="G4" i="17"/>
  <c r="I4" i="17"/>
  <c r="K4" i="17"/>
  <c r="M4" i="17"/>
  <c r="F9" i="17"/>
  <c r="AC5" i="17" s="1"/>
  <c r="H9" i="17"/>
  <c r="J9" i="17"/>
  <c r="L9" i="17"/>
  <c r="AI5" i="17" s="1"/>
  <c r="E9" i="17"/>
  <c r="G9" i="17"/>
  <c r="I9" i="17"/>
  <c r="AF5" i="17" s="1"/>
  <c r="K9" i="17"/>
  <c r="M9" i="17"/>
  <c r="AJ5" i="17" s="1"/>
  <c r="AA11" i="17"/>
  <c r="F33" i="17"/>
  <c r="H33" i="17"/>
  <c r="J33" i="17"/>
  <c r="L33" i="17"/>
  <c r="E33" i="17"/>
  <c r="AB11" i="17" s="1"/>
  <c r="G33" i="17"/>
  <c r="I33" i="17"/>
  <c r="K33" i="17"/>
  <c r="AH11" i="17" s="1"/>
  <c r="M33" i="17"/>
  <c r="F40" i="17"/>
  <c r="H40" i="17"/>
  <c r="J40" i="17"/>
  <c r="L40" i="17"/>
  <c r="E40" i="17"/>
  <c r="G40" i="17"/>
  <c r="I40" i="17"/>
  <c r="K40" i="17"/>
  <c r="M40" i="17"/>
  <c r="F52" i="17"/>
  <c r="H52" i="17"/>
  <c r="J52" i="17"/>
  <c r="L52" i="17"/>
  <c r="E52" i="17"/>
  <c r="G52" i="17"/>
  <c r="I52" i="17"/>
  <c r="K52" i="17"/>
  <c r="M52" i="17"/>
  <c r="F69" i="17"/>
  <c r="H69" i="17"/>
  <c r="J69" i="17"/>
  <c r="L69" i="17"/>
  <c r="E69" i="17"/>
  <c r="G69" i="17"/>
  <c r="I69" i="17"/>
  <c r="K69" i="17"/>
  <c r="M69" i="17"/>
  <c r="F77" i="17"/>
  <c r="H77" i="17"/>
  <c r="J77" i="17"/>
  <c r="L77" i="17"/>
  <c r="E77" i="17"/>
  <c r="G77" i="17"/>
  <c r="I77" i="17"/>
  <c r="K77" i="17"/>
  <c r="M77" i="17"/>
  <c r="F89" i="17"/>
  <c r="H89" i="17"/>
  <c r="J89" i="17"/>
  <c r="L89" i="17"/>
  <c r="E89" i="17"/>
  <c r="G89" i="17"/>
  <c r="I89" i="17"/>
  <c r="K89" i="17"/>
  <c r="M89" i="17"/>
  <c r="F109" i="17"/>
  <c r="H109" i="17"/>
  <c r="J109" i="17"/>
  <c r="L109" i="17"/>
  <c r="E109" i="17"/>
  <c r="G109" i="17"/>
  <c r="I109" i="17"/>
  <c r="K109" i="17"/>
  <c r="M109" i="17"/>
  <c r="F113" i="17"/>
  <c r="H113" i="17"/>
  <c r="J113" i="17"/>
  <c r="L113" i="17"/>
  <c r="E113" i="17"/>
  <c r="G113" i="17"/>
  <c r="I113" i="17"/>
  <c r="K113" i="17"/>
  <c r="M113" i="17"/>
  <c r="F117" i="17"/>
  <c r="AC55" i="17" s="1"/>
  <c r="H117" i="17"/>
  <c r="AE55" i="17" s="1"/>
  <c r="J117" i="17"/>
  <c r="AG55" i="17" s="1"/>
  <c r="L117" i="17"/>
  <c r="AI55" i="17" s="1"/>
  <c r="E117" i="17"/>
  <c r="AB55" i="17" s="1"/>
  <c r="G117" i="17"/>
  <c r="AD55" i="17" s="1"/>
  <c r="I117" i="17"/>
  <c r="AF55" i="17" s="1"/>
  <c r="K117" i="17"/>
  <c r="AH55" i="17" s="1"/>
  <c r="M117" i="17"/>
  <c r="AJ55" i="17" s="1"/>
  <c r="AA69" i="17"/>
  <c r="F125" i="17"/>
  <c r="AC69" i="17" s="1"/>
  <c r="H125" i="17"/>
  <c r="J125" i="17"/>
  <c r="AG69" i="17" s="1"/>
  <c r="L125" i="17"/>
  <c r="AI69" i="17" s="1"/>
  <c r="E125" i="17"/>
  <c r="G125" i="17"/>
  <c r="AD69" i="17" s="1"/>
  <c r="I125" i="17"/>
  <c r="AF69" i="17" s="1"/>
  <c r="K125" i="17"/>
  <c r="M125" i="17"/>
  <c r="AJ69" i="17" s="1"/>
  <c r="AA74" i="17"/>
  <c r="F129" i="17"/>
  <c r="AC74" i="17" s="1"/>
  <c r="H129" i="17"/>
  <c r="AE74" i="17" s="1"/>
  <c r="J129" i="17"/>
  <c r="AG74" i="17" s="1"/>
  <c r="L129" i="17"/>
  <c r="AI74" i="17" s="1"/>
  <c r="E129" i="17"/>
  <c r="AB74" i="17" s="1"/>
  <c r="G129" i="17"/>
  <c r="AD74" i="17" s="1"/>
  <c r="I129" i="17"/>
  <c r="AF74" i="17" s="1"/>
  <c r="K129" i="17"/>
  <c r="AH74" i="17" s="1"/>
  <c r="M129" i="17"/>
  <c r="AJ74" i="17" s="1"/>
  <c r="F141" i="17"/>
  <c r="H141" i="17"/>
  <c r="J141" i="17"/>
  <c r="L141" i="17"/>
  <c r="E141" i="17"/>
  <c r="G141" i="17"/>
  <c r="I141" i="17"/>
  <c r="K141" i="17"/>
  <c r="M141" i="17"/>
  <c r="F145" i="17"/>
  <c r="H145" i="17"/>
  <c r="J145" i="17"/>
  <c r="L145" i="17"/>
  <c r="E145" i="17"/>
  <c r="G145" i="17"/>
  <c r="I145" i="17"/>
  <c r="K145" i="17"/>
  <c r="M145" i="17"/>
  <c r="F149" i="17"/>
  <c r="AC106" i="17" s="1"/>
  <c r="H149" i="17"/>
  <c r="AE106" i="17" s="1"/>
  <c r="J149" i="17"/>
  <c r="L149" i="17"/>
  <c r="AI106" i="17" s="1"/>
  <c r="E149" i="17"/>
  <c r="AB106" i="17" s="1"/>
  <c r="G149" i="17"/>
  <c r="AD106" i="17" s="1"/>
  <c r="I149" i="17"/>
  <c r="AF106" i="17" s="1"/>
  <c r="K149" i="17"/>
  <c r="M149" i="17"/>
  <c r="AJ106" i="17" s="1"/>
  <c r="F157" i="17"/>
  <c r="H157" i="17"/>
  <c r="J157" i="17"/>
  <c r="L157" i="17"/>
  <c r="E157" i="17"/>
  <c r="G157" i="17"/>
  <c r="I157" i="17"/>
  <c r="K157" i="17"/>
  <c r="M157" i="17"/>
  <c r="F173" i="17"/>
  <c r="H173" i="17"/>
  <c r="J173" i="17"/>
  <c r="L173" i="17"/>
  <c r="E173" i="17"/>
  <c r="G173" i="17"/>
  <c r="I173" i="17"/>
  <c r="K173" i="17"/>
  <c r="M173" i="17"/>
  <c r="H173" i="6"/>
  <c r="H164" i="6"/>
  <c r="H170" i="6"/>
  <c r="H169" i="6"/>
  <c r="H143" i="6"/>
  <c r="H144" i="6"/>
  <c r="H155" i="6"/>
  <c r="H145" i="6"/>
  <c r="H121" i="6"/>
  <c r="H125" i="6"/>
  <c r="H97" i="6"/>
  <c r="H96" i="6"/>
  <c r="H77" i="6"/>
  <c r="H76" i="6"/>
  <c r="H89" i="6"/>
  <c r="H88" i="6"/>
  <c r="H93" i="6"/>
  <c r="H92" i="6"/>
  <c r="H13" i="6"/>
  <c r="H9" i="6"/>
  <c r="H10" i="6"/>
  <c r="H19" i="6"/>
  <c r="H15" i="6"/>
  <c r="H16" i="6"/>
  <c r="H25" i="6"/>
  <c r="H21" i="6"/>
  <c r="H22" i="6"/>
  <c r="H37" i="6"/>
  <c r="H33" i="6"/>
  <c r="H34" i="6"/>
  <c r="H49" i="6"/>
  <c r="H45" i="6"/>
  <c r="H46" i="6"/>
  <c r="H61" i="6"/>
  <c r="H57" i="6"/>
  <c r="H58" i="6"/>
  <c r="H2" i="6"/>
  <c r="H6" i="6"/>
  <c r="H178" i="6"/>
  <c r="H177" i="6"/>
  <c r="H183" i="6"/>
  <c r="H159" i="6"/>
  <c r="H162" i="6"/>
  <c r="H161" i="6"/>
  <c r="H142" i="6"/>
  <c r="H156" i="6"/>
  <c r="H146" i="6"/>
  <c r="H148" i="6"/>
  <c r="H149" i="6"/>
  <c r="H131" i="6"/>
  <c r="H133" i="6"/>
  <c r="H109" i="6"/>
  <c r="H108" i="6"/>
  <c r="H111" i="6"/>
  <c r="H115" i="6"/>
  <c r="H114" i="6"/>
  <c r="H100" i="6"/>
  <c r="H106" i="6"/>
  <c r="H75" i="6"/>
  <c r="H74" i="6"/>
  <c r="H83" i="6"/>
  <c r="H82" i="6"/>
  <c r="H87" i="6"/>
  <c r="H86" i="6"/>
  <c r="H71" i="6"/>
  <c r="H70" i="6"/>
  <c r="H31" i="6"/>
  <c r="H27" i="6"/>
  <c r="H28" i="6"/>
  <c r="H43" i="6"/>
  <c r="H39" i="6"/>
  <c r="H40" i="6"/>
  <c r="H55" i="6"/>
  <c r="H51" i="6"/>
  <c r="H52" i="6"/>
  <c r="H67" i="6"/>
  <c r="H63" i="6"/>
  <c r="H64" i="6"/>
  <c r="H175" i="6"/>
  <c r="H138" i="6"/>
  <c r="H117" i="6"/>
  <c r="H119" i="6"/>
  <c r="E99" i="8"/>
  <c r="H102" i="6"/>
  <c r="E80" i="8"/>
  <c r="E79" i="8"/>
  <c r="E92" i="8"/>
  <c r="E91" i="8"/>
  <c r="E96" i="8"/>
  <c r="E95" i="8"/>
  <c r="H174" i="6"/>
  <c r="H135" i="6"/>
  <c r="H137" i="6"/>
  <c r="H127" i="6"/>
  <c r="H118" i="6"/>
  <c r="E101" i="8"/>
  <c r="E76" i="8"/>
  <c r="E75" i="8"/>
  <c r="E84" i="8"/>
  <c r="E83" i="8"/>
  <c r="E88" i="8"/>
  <c r="E87" i="8"/>
  <c r="E72" i="8"/>
  <c r="E71" i="8"/>
  <c r="H172" i="6"/>
  <c r="H166" i="6"/>
  <c r="H168" i="6"/>
  <c r="H157" i="6"/>
  <c r="H123" i="6"/>
  <c r="H79" i="6"/>
  <c r="H91" i="6"/>
  <c r="H95" i="6"/>
  <c r="H11" i="6"/>
  <c r="H12" i="6"/>
  <c r="H17" i="6"/>
  <c r="H18" i="6"/>
  <c r="H23" i="6"/>
  <c r="H24" i="6"/>
  <c r="H35" i="6"/>
  <c r="H36" i="6"/>
  <c r="H47" i="6"/>
  <c r="H48" i="6"/>
  <c r="H59" i="6"/>
  <c r="H60" i="6"/>
  <c r="H7" i="6"/>
  <c r="H3" i="6"/>
  <c r="H163" i="6"/>
  <c r="H160" i="6"/>
  <c r="H141" i="6"/>
  <c r="H151" i="6"/>
  <c r="H129" i="6"/>
  <c r="H113" i="6"/>
  <c r="H105" i="6"/>
  <c r="H73" i="6"/>
  <c r="H81" i="6"/>
  <c r="H85" i="6"/>
  <c r="H69" i="6"/>
  <c r="H29" i="6"/>
  <c r="H30" i="6"/>
  <c r="H41" i="6"/>
  <c r="H42" i="6"/>
  <c r="H53" i="6"/>
  <c r="H54" i="6"/>
  <c r="H65" i="6"/>
  <c r="H66" i="6"/>
  <c r="H139" i="6"/>
  <c r="H120" i="6"/>
  <c r="E98" i="8"/>
  <c r="E97" i="8"/>
  <c r="H101" i="6"/>
  <c r="H103" i="6"/>
  <c r="E78" i="8"/>
  <c r="E77" i="8"/>
  <c r="E90" i="8"/>
  <c r="E89" i="8"/>
  <c r="E94" i="8"/>
  <c r="E93" i="8"/>
  <c r="H181" i="6"/>
  <c r="H136" i="6"/>
  <c r="H126" i="6"/>
  <c r="H130" i="6"/>
  <c r="E100" i="8"/>
  <c r="H107" i="6"/>
  <c r="E74" i="8"/>
  <c r="E73" i="8"/>
  <c r="E82" i="8"/>
  <c r="E81" i="8"/>
  <c r="E86" i="8"/>
  <c r="E85" i="8"/>
  <c r="E70" i="8"/>
  <c r="E69" i="8"/>
  <c r="H55" i="5"/>
  <c r="I55" i="5" s="1"/>
  <c r="H126" i="5"/>
  <c r="I126" i="5" s="1"/>
  <c r="J177" i="6"/>
  <c r="J176" i="6"/>
  <c r="J178" i="6"/>
  <c r="I126" i="6"/>
  <c r="I165" i="6"/>
  <c r="I164" i="6"/>
  <c r="I166" i="6"/>
  <c r="I89" i="6"/>
  <c r="I91" i="6"/>
  <c r="I88" i="6"/>
  <c r="I90" i="6"/>
  <c r="H79" i="5"/>
  <c r="I79" i="5" s="1"/>
  <c r="H69" i="5"/>
  <c r="I69" i="5" s="1"/>
  <c r="I179" i="6"/>
  <c r="I180" i="6"/>
  <c r="I177" i="6"/>
  <c r="I176" i="6"/>
  <c r="I178" i="6"/>
  <c r="J161" i="6"/>
  <c r="J160" i="6"/>
  <c r="J162" i="6"/>
  <c r="I161" i="6"/>
  <c r="I160" i="6"/>
  <c r="I162" i="6"/>
  <c r="J179" i="6"/>
  <c r="J180" i="6"/>
  <c r="I69" i="6"/>
  <c r="I71" i="6"/>
  <c r="I68" i="6"/>
  <c r="I70" i="6"/>
  <c r="I117" i="6"/>
  <c r="I146" i="6"/>
  <c r="I154" i="6"/>
  <c r="I156" i="6"/>
  <c r="J129" i="6"/>
  <c r="J133" i="6"/>
  <c r="J181" i="6"/>
  <c r="H44" i="5"/>
  <c r="I44" i="5" s="1"/>
  <c r="I129" i="6"/>
  <c r="I133" i="6"/>
  <c r="I181" i="6"/>
  <c r="H68" i="5"/>
  <c r="I68" i="5" s="1"/>
  <c r="J128" i="6"/>
  <c r="I128" i="6"/>
  <c r="J137" i="6"/>
  <c r="I137" i="6"/>
  <c r="H26" i="5"/>
  <c r="I26" i="5" s="1"/>
  <c r="H21" i="5"/>
  <c r="H12" i="5"/>
  <c r="I12" i="5" s="1"/>
  <c r="H10" i="5"/>
  <c r="I10" i="5" s="1"/>
  <c r="H14" i="5"/>
  <c r="I14" i="5" s="1"/>
  <c r="H125" i="5"/>
  <c r="H121" i="5"/>
  <c r="H95" i="5"/>
  <c r="H91" i="5"/>
  <c r="H61" i="5"/>
  <c r="H37" i="5"/>
  <c r="H31" i="5"/>
  <c r="H136" i="5"/>
  <c r="H80" i="5"/>
  <c r="H82" i="5"/>
  <c r="H72" i="5"/>
  <c r="H48" i="5"/>
  <c r="H50" i="5"/>
  <c r="H5" i="5"/>
  <c r="H9" i="5"/>
  <c r="H15" i="5"/>
  <c r="H109" i="5"/>
  <c r="H11" i="5"/>
  <c r="I11" i="5" s="1"/>
  <c r="I29" i="5"/>
  <c r="J29" i="5" s="1"/>
  <c r="H59" i="5"/>
  <c r="I59" i="5" s="1"/>
  <c r="H89" i="5"/>
  <c r="I89" i="5" s="1"/>
  <c r="J114" i="5"/>
  <c r="H65" i="5"/>
  <c r="H35" i="5"/>
  <c r="H39" i="5"/>
  <c r="H41" i="5"/>
  <c r="H23" i="5"/>
  <c r="H110" i="5"/>
  <c r="H106" i="5"/>
  <c r="H76" i="5"/>
  <c r="H54" i="5"/>
  <c r="H46" i="5"/>
  <c r="H20" i="5"/>
  <c r="H7" i="5"/>
  <c r="H16" i="5"/>
  <c r="H129" i="5"/>
  <c r="H99" i="5"/>
  <c r="J84" i="5"/>
  <c r="H24" i="5"/>
  <c r="J73" i="5"/>
  <c r="H13" i="5"/>
  <c r="H128" i="5"/>
  <c r="I109" i="5"/>
  <c r="H94" i="5"/>
  <c r="H34" i="5"/>
  <c r="H4" i="5"/>
  <c r="J74" i="5"/>
  <c r="I119" i="5"/>
  <c r="J134" i="5"/>
  <c r="H104" i="5"/>
  <c r="H56" i="5"/>
  <c r="I100" i="5"/>
  <c r="I70" i="5"/>
  <c r="J132" i="5"/>
  <c r="I17" i="5"/>
  <c r="H2" i="5"/>
  <c r="I5" i="6" s="1"/>
  <c r="J133" i="5"/>
  <c r="AK21" i="4"/>
  <c r="AI21" i="4"/>
  <c r="AJ21" i="4"/>
  <c r="AH21" i="4"/>
  <c r="AG21" i="4"/>
  <c r="AH106" i="17" l="1"/>
  <c r="AC11" i="17"/>
  <c r="AG5" i="17"/>
  <c r="AH35" i="17"/>
  <c r="AI110" i="17"/>
  <c r="AJ11" i="17"/>
  <c r="AB69" i="17"/>
  <c r="AH5" i="17"/>
  <c r="AC114" i="17"/>
  <c r="AG106" i="17"/>
  <c r="AI11" i="17"/>
  <c r="AF114" i="17"/>
  <c r="AC110" i="17"/>
  <c r="AE69" i="17"/>
  <c r="AH69" i="17"/>
  <c r="AB5" i="17"/>
  <c r="AH110" i="17"/>
  <c r="AA3" i="17"/>
  <c r="AI8" i="17"/>
  <c r="AH8" i="17"/>
  <c r="AC8" i="17"/>
  <c r="AB8" i="17"/>
  <c r="AJ8" i="17"/>
  <c r="AE8" i="17"/>
  <c r="AD8" i="17"/>
  <c r="AG8" i="17"/>
  <c r="AF8" i="17"/>
  <c r="AE3" i="17"/>
  <c r="AD3" i="17"/>
  <c r="AC3" i="17"/>
  <c r="AB3" i="17"/>
  <c r="AJ3" i="17"/>
  <c r="AI3" i="17"/>
  <c r="AH3" i="17"/>
  <c r="AG3" i="17"/>
  <c r="AF3" i="17"/>
  <c r="I8" i="6"/>
  <c r="I3" i="5"/>
  <c r="X149" i="17"/>
  <c r="M149" i="20" s="1"/>
  <c r="X151" i="17"/>
  <c r="M151" i="20" s="1"/>
  <c r="X150" i="17"/>
  <c r="M150" i="20" s="1"/>
  <c r="T149" i="17"/>
  <c r="I149" i="20" s="1"/>
  <c r="T151" i="17"/>
  <c r="I151" i="20" s="1"/>
  <c r="T150" i="17"/>
  <c r="I150" i="20" s="1"/>
  <c r="P149" i="17"/>
  <c r="E149" i="20" s="1"/>
  <c r="P151" i="17"/>
  <c r="E151" i="20" s="1"/>
  <c r="AB106" i="20" s="1"/>
  <c r="P150" i="17"/>
  <c r="E150" i="20" s="1"/>
  <c r="U150" i="17"/>
  <c r="J150" i="20" s="1"/>
  <c r="U149" i="17"/>
  <c r="J149" i="20" s="1"/>
  <c r="U151" i="17"/>
  <c r="J151" i="20" s="1"/>
  <c r="Q150" i="17"/>
  <c r="F150" i="20" s="1"/>
  <c r="Q149" i="17"/>
  <c r="F149" i="20" s="1"/>
  <c r="AC106" i="20" s="1"/>
  <c r="Q151" i="17"/>
  <c r="F151" i="20" s="1"/>
  <c r="X129" i="17"/>
  <c r="M129" i="20" s="1"/>
  <c r="X133" i="17"/>
  <c r="M133" i="20" s="1"/>
  <c r="T129" i="17"/>
  <c r="I129" i="20" s="1"/>
  <c r="T133" i="17"/>
  <c r="I133" i="20" s="1"/>
  <c r="P129" i="17"/>
  <c r="E129" i="20" s="1"/>
  <c r="P133" i="17"/>
  <c r="E133" i="20" s="1"/>
  <c r="U129" i="17"/>
  <c r="J129" i="20" s="1"/>
  <c r="AG74" i="20" s="1"/>
  <c r="U133" i="17"/>
  <c r="J133" i="20" s="1"/>
  <c r="Q129" i="17"/>
  <c r="F129" i="20" s="1"/>
  <c r="Q133" i="17"/>
  <c r="F133" i="20" s="1"/>
  <c r="X125" i="17"/>
  <c r="M125" i="20" s="1"/>
  <c r="AJ69" i="20" s="1"/>
  <c r="X132" i="17"/>
  <c r="M132" i="20" s="1"/>
  <c r="T125" i="17"/>
  <c r="I125" i="20" s="1"/>
  <c r="T132" i="17"/>
  <c r="I132" i="20" s="1"/>
  <c r="P125" i="17"/>
  <c r="E125" i="20" s="1"/>
  <c r="AB69" i="20" s="1"/>
  <c r="P132" i="17"/>
  <c r="E132" i="20" s="1"/>
  <c r="U132" i="17"/>
  <c r="J132" i="20" s="1"/>
  <c r="U125" i="17"/>
  <c r="J125" i="20" s="1"/>
  <c r="Q132" i="17"/>
  <c r="F132" i="20" s="1"/>
  <c r="Q125" i="17"/>
  <c r="F125" i="20" s="1"/>
  <c r="AJ55" i="20"/>
  <c r="X117" i="20" s="1"/>
  <c r="X117" i="17"/>
  <c r="M117" i="20" s="1"/>
  <c r="AF55" i="20"/>
  <c r="T117" i="20" s="1"/>
  <c r="T117" i="17"/>
  <c r="I117" i="20" s="1"/>
  <c r="AB55" i="20"/>
  <c r="P117" i="20" s="1"/>
  <c r="P117" i="17"/>
  <c r="E117" i="20" s="1"/>
  <c r="AG55" i="20"/>
  <c r="U117" i="20" s="1"/>
  <c r="U117" i="17"/>
  <c r="J117" i="20" s="1"/>
  <c r="AC55" i="20"/>
  <c r="Q117" i="20" s="1"/>
  <c r="Q117" i="17"/>
  <c r="F117" i="20" s="1"/>
  <c r="V32" i="17"/>
  <c r="K32" i="20" s="1"/>
  <c r="V34" i="17"/>
  <c r="K34" i="20" s="1"/>
  <c r="V36" i="17"/>
  <c r="K36" i="20" s="1"/>
  <c r="V33" i="17"/>
  <c r="K33" i="20" s="1"/>
  <c r="V35" i="17"/>
  <c r="K35" i="20" s="1"/>
  <c r="V37" i="17"/>
  <c r="K37" i="20" s="1"/>
  <c r="W33" i="17"/>
  <c r="L33" i="20" s="1"/>
  <c r="W35" i="17"/>
  <c r="L35" i="20" s="1"/>
  <c r="W37" i="17"/>
  <c r="L37" i="20" s="1"/>
  <c r="W32" i="17"/>
  <c r="L32" i="20" s="1"/>
  <c r="W34" i="17"/>
  <c r="L34" i="20" s="1"/>
  <c r="W36" i="17"/>
  <c r="L36" i="20" s="1"/>
  <c r="V8" i="17"/>
  <c r="K8" i="20" s="1"/>
  <c r="V10" i="17"/>
  <c r="K10" i="20" s="1"/>
  <c r="V12" i="17"/>
  <c r="K12" i="20" s="1"/>
  <c r="V9" i="17"/>
  <c r="K9" i="20" s="1"/>
  <c r="V11" i="17"/>
  <c r="K11" i="20" s="1"/>
  <c r="V13" i="17"/>
  <c r="K13" i="20" s="1"/>
  <c r="W9" i="17"/>
  <c r="L9" i="20" s="1"/>
  <c r="W11" i="17"/>
  <c r="L11" i="20" s="1"/>
  <c r="W13" i="17"/>
  <c r="L13" i="20" s="1"/>
  <c r="W8" i="17"/>
  <c r="L8" i="20" s="1"/>
  <c r="W10" i="17"/>
  <c r="L10" i="20" s="1"/>
  <c r="W12" i="17"/>
  <c r="L12" i="20" s="1"/>
  <c r="AJ70" i="20"/>
  <c r="X126" i="20" s="1"/>
  <c r="X126" i="17"/>
  <c r="M126" i="20" s="1"/>
  <c r="AF70" i="20"/>
  <c r="T126" i="20" s="1"/>
  <c r="T126" i="17"/>
  <c r="I126" i="20" s="1"/>
  <c r="AB70" i="20"/>
  <c r="P126" i="20" s="1"/>
  <c r="P126" i="17"/>
  <c r="E126" i="20" s="1"/>
  <c r="AG70" i="20"/>
  <c r="U126" i="20" s="1"/>
  <c r="U126" i="17"/>
  <c r="J126" i="20" s="1"/>
  <c r="AC70" i="20"/>
  <c r="Q126" i="20" s="1"/>
  <c r="Q126" i="17"/>
  <c r="F126" i="20" s="1"/>
  <c r="AH129" i="20"/>
  <c r="V175" i="20" s="1"/>
  <c r="V175" i="17"/>
  <c r="K175" i="20" s="1"/>
  <c r="AD129" i="20"/>
  <c r="R175" i="20" s="1"/>
  <c r="R175" i="17"/>
  <c r="G175" i="20" s="1"/>
  <c r="AI129" i="20"/>
  <c r="W175" i="20" s="1"/>
  <c r="W175" i="17"/>
  <c r="L175" i="20" s="1"/>
  <c r="AE129" i="20"/>
  <c r="S175" i="20" s="1"/>
  <c r="S175" i="17"/>
  <c r="H175" i="20" s="1"/>
  <c r="X161" i="17"/>
  <c r="M161" i="20" s="1"/>
  <c r="X160" i="17"/>
  <c r="M160" i="20" s="1"/>
  <c r="X162" i="17"/>
  <c r="M162" i="20" s="1"/>
  <c r="T161" i="17"/>
  <c r="I161" i="20" s="1"/>
  <c r="T160" i="17"/>
  <c r="I160" i="20" s="1"/>
  <c r="AF114" i="20" s="1"/>
  <c r="T162" i="17"/>
  <c r="I162" i="20" s="1"/>
  <c r="P161" i="17"/>
  <c r="E161" i="20" s="1"/>
  <c r="P160" i="17"/>
  <c r="E160" i="20" s="1"/>
  <c r="P162" i="17"/>
  <c r="E162" i="20" s="1"/>
  <c r="U160" i="17"/>
  <c r="J160" i="20" s="1"/>
  <c r="U162" i="17"/>
  <c r="J162" i="20" s="1"/>
  <c r="AG114" i="20" s="1"/>
  <c r="U161" i="17"/>
  <c r="J161" i="20" s="1"/>
  <c r="Q160" i="17"/>
  <c r="F160" i="20" s="1"/>
  <c r="Q162" i="17"/>
  <c r="F162" i="20" s="1"/>
  <c r="Q161" i="17"/>
  <c r="F161" i="20" s="1"/>
  <c r="X139" i="17"/>
  <c r="M139" i="20" s="1"/>
  <c r="AJ91" i="20" s="1"/>
  <c r="X139" i="20" s="1"/>
  <c r="T139" i="17"/>
  <c r="I139" i="20" s="1"/>
  <c r="AF91" i="20" s="1"/>
  <c r="T139" i="20" s="1"/>
  <c r="P139" i="17"/>
  <c r="E139" i="20" s="1"/>
  <c r="AB91" i="20" s="1"/>
  <c r="P139" i="20" s="1"/>
  <c r="U139" i="17"/>
  <c r="J139" i="20" s="1"/>
  <c r="AG91" i="20" s="1"/>
  <c r="U139" i="20" s="1"/>
  <c r="Q139" i="17"/>
  <c r="F139" i="20" s="1"/>
  <c r="AC91" i="20" s="1"/>
  <c r="Q139" i="20" s="1"/>
  <c r="V183" i="17"/>
  <c r="K183" i="20" s="1"/>
  <c r="V182" i="17"/>
  <c r="K182" i="20" s="1"/>
  <c r="R183" i="17"/>
  <c r="G183" i="20" s="1"/>
  <c r="R182" i="17"/>
  <c r="G182" i="20" s="1"/>
  <c r="W182" i="17"/>
  <c r="L182" i="20" s="1"/>
  <c r="W183" i="17"/>
  <c r="L183" i="20" s="1"/>
  <c r="S182" i="17"/>
  <c r="H182" i="20" s="1"/>
  <c r="S183" i="17"/>
  <c r="H183" i="20" s="1"/>
  <c r="X174" i="17"/>
  <c r="M174" i="20" s="1"/>
  <c r="AJ128" i="20" s="1"/>
  <c r="X174" i="20" s="1"/>
  <c r="T174" i="17"/>
  <c r="I174" i="20" s="1"/>
  <c r="AF128" i="20" s="1"/>
  <c r="T174" i="20" s="1"/>
  <c r="P174" i="17"/>
  <c r="E174" i="20" s="1"/>
  <c r="AB128" i="20" s="1"/>
  <c r="P174" i="20" s="1"/>
  <c r="U174" i="17"/>
  <c r="J174" i="20" s="1"/>
  <c r="AG128" i="20" s="1"/>
  <c r="U174" i="20" s="1"/>
  <c r="Q174" i="17"/>
  <c r="F174" i="20" s="1"/>
  <c r="AC128" i="20" s="1"/>
  <c r="Q174" i="20" s="1"/>
  <c r="X102" i="17"/>
  <c r="M102" i="20" s="1"/>
  <c r="AJ39" i="20" s="1"/>
  <c r="X102" i="20" s="1"/>
  <c r="T102" i="17"/>
  <c r="I102" i="20" s="1"/>
  <c r="AF39" i="20" s="1"/>
  <c r="T102" i="20" s="1"/>
  <c r="P102" i="17"/>
  <c r="E102" i="20" s="1"/>
  <c r="AB39" i="20" s="1"/>
  <c r="P102" i="20" s="1"/>
  <c r="U102" i="17"/>
  <c r="J102" i="20" s="1"/>
  <c r="AG39" i="20" s="1"/>
  <c r="U102" i="20" s="1"/>
  <c r="Q102" i="17"/>
  <c r="F102" i="20" s="1"/>
  <c r="AC39" i="20" s="1"/>
  <c r="Q102" i="20" s="1"/>
  <c r="X181" i="17"/>
  <c r="M181" i="20" s="1"/>
  <c r="AJ134" i="20" s="1"/>
  <c r="X181" i="20" s="1"/>
  <c r="T181" i="17"/>
  <c r="I181" i="20" s="1"/>
  <c r="AF134" i="20" s="1"/>
  <c r="T181" i="20" s="1"/>
  <c r="P181" i="17"/>
  <c r="E181" i="20" s="1"/>
  <c r="AB134" i="20" s="1"/>
  <c r="P181" i="20" s="1"/>
  <c r="U181" i="17"/>
  <c r="J181" i="20" s="1"/>
  <c r="AG134" i="20" s="1"/>
  <c r="U181" i="20" s="1"/>
  <c r="Q181" i="17"/>
  <c r="F181" i="20" s="1"/>
  <c r="AC134" i="20" s="1"/>
  <c r="Q181" i="20" s="1"/>
  <c r="X103" i="17"/>
  <c r="M103" i="20" s="1"/>
  <c r="AJ41" i="20" s="1"/>
  <c r="X103" i="20" s="1"/>
  <c r="AF41" i="20"/>
  <c r="T103" i="20" s="1"/>
  <c r="T103" i="17"/>
  <c r="I103" i="20" s="1"/>
  <c r="AB41" i="20"/>
  <c r="P103" i="20" s="1"/>
  <c r="P103" i="17"/>
  <c r="E103" i="20" s="1"/>
  <c r="AG41" i="20"/>
  <c r="U103" i="20" s="1"/>
  <c r="U103" i="17"/>
  <c r="J103" i="20" s="1"/>
  <c r="AC41" i="20"/>
  <c r="Q103" i="20" s="1"/>
  <c r="Q103" i="17"/>
  <c r="F103" i="20" s="1"/>
  <c r="AH76" i="20"/>
  <c r="V130" i="20" s="1"/>
  <c r="V130" i="17"/>
  <c r="K130" i="20" s="1"/>
  <c r="AD76" i="20"/>
  <c r="R130" i="20" s="1"/>
  <c r="R130" i="17"/>
  <c r="G130" i="20" s="1"/>
  <c r="AI76" i="20"/>
  <c r="W130" i="20" s="1"/>
  <c r="W130" i="17"/>
  <c r="L130" i="20" s="1"/>
  <c r="AE76" i="20"/>
  <c r="S130" i="20" s="1"/>
  <c r="S130" i="17"/>
  <c r="H130" i="20" s="1"/>
  <c r="AH56" i="20"/>
  <c r="V118" i="20" s="1"/>
  <c r="V118" i="17"/>
  <c r="K118" i="20" s="1"/>
  <c r="AD56" i="20"/>
  <c r="R118" i="20" s="1"/>
  <c r="R118" i="17"/>
  <c r="G118" i="20" s="1"/>
  <c r="AI56" i="20"/>
  <c r="W118" i="20" s="1"/>
  <c r="W118" i="17"/>
  <c r="L118" i="20" s="1"/>
  <c r="AE56" i="20"/>
  <c r="S118" i="20" s="1"/>
  <c r="S118" i="17"/>
  <c r="H118" i="20" s="1"/>
  <c r="AH72" i="20"/>
  <c r="V127" i="20" s="1"/>
  <c r="V127" i="17"/>
  <c r="K127" i="20" s="1"/>
  <c r="AD72" i="20"/>
  <c r="R127" i="20" s="1"/>
  <c r="R127" i="17"/>
  <c r="G127" i="20" s="1"/>
  <c r="AI72" i="20"/>
  <c r="W127" i="20" s="1"/>
  <c r="W127" i="17"/>
  <c r="L127" i="20" s="1"/>
  <c r="AE72" i="20"/>
  <c r="S127" i="20" s="1"/>
  <c r="S127" i="17"/>
  <c r="H127" i="20" s="1"/>
  <c r="AH61" i="20"/>
  <c r="V119" i="20" s="1"/>
  <c r="V119" i="17"/>
  <c r="K119" i="20" s="1"/>
  <c r="AD61" i="20"/>
  <c r="R119" i="20" s="1"/>
  <c r="R119" i="17"/>
  <c r="G119" i="20" s="1"/>
  <c r="AI61" i="20"/>
  <c r="W119" i="20" s="1"/>
  <c r="W119" i="17"/>
  <c r="L119" i="20" s="1"/>
  <c r="AE61" i="20"/>
  <c r="S119" i="20" s="1"/>
  <c r="S119" i="17"/>
  <c r="H119" i="20" s="1"/>
  <c r="AH73" i="20"/>
  <c r="V128" i="20" s="1"/>
  <c r="V128" i="17"/>
  <c r="K128" i="20" s="1"/>
  <c r="AD73" i="20"/>
  <c r="R128" i="20" s="1"/>
  <c r="R128" i="17"/>
  <c r="G128" i="20" s="1"/>
  <c r="AI73" i="20"/>
  <c r="W128" i="20" s="1"/>
  <c r="W128" i="17"/>
  <c r="L128" i="20" s="1"/>
  <c r="AE73" i="20"/>
  <c r="S128" i="20" s="1"/>
  <c r="S128" i="17"/>
  <c r="H128" i="20" s="1"/>
  <c r="AH59" i="20"/>
  <c r="V120" i="20" s="1"/>
  <c r="V120" i="17"/>
  <c r="K120" i="20" s="1"/>
  <c r="AD59" i="20"/>
  <c r="R120" i="20" s="1"/>
  <c r="R120" i="17"/>
  <c r="G120" i="20" s="1"/>
  <c r="AI59" i="20"/>
  <c r="W120" i="20" s="1"/>
  <c r="W120" i="17"/>
  <c r="L120" i="20" s="1"/>
  <c r="AE59" i="20"/>
  <c r="S120" i="20" s="1"/>
  <c r="S120" i="17"/>
  <c r="H120" i="20" s="1"/>
  <c r="AI84" i="20"/>
  <c r="W137" i="20" s="1"/>
  <c r="W137" i="17"/>
  <c r="L137" i="20" s="1"/>
  <c r="AH84" i="20"/>
  <c r="V137" i="20" s="1"/>
  <c r="V137" i="17"/>
  <c r="K137" i="20" s="1"/>
  <c r="AI80" i="20"/>
  <c r="W135" i="20" s="1"/>
  <c r="W135" i="17"/>
  <c r="L135" i="20" s="1"/>
  <c r="AH80" i="20"/>
  <c r="V135" i="20" s="1"/>
  <c r="V135" i="17"/>
  <c r="K135" i="20" s="1"/>
  <c r="AI37" i="20"/>
  <c r="W101" i="20" s="1"/>
  <c r="W101" i="17"/>
  <c r="L101" i="20" s="1"/>
  <c r="AH37" i="20"/>
  <c r="V101" i="20" s="1"/>
  <c r="V101" i="17"/>
  <c r="K101" i="20" s="1"/>
  <c r="AF46" i="20"/>
  <c r="T107" i="20" s="1"/>
  <c r="T107" i="17"/>
  <c r="I107" i="20" s="1"/>
  <c r="AG46" i="20"/>
  <c r="U107" i="20" s="1"/>
  <c r="U107" i="17"/>
  <c r="J107" i="20" s="1"/>
  <c r="AH46" i="20"/>
  <c r="V107" i="20" s="1"/>
  <c r="V107" i="17"/>
  <c r="K107" i="20" s="1"/>
  <c r="AI46" i="20"/>
  <c r="W107" i="20" s="1"/>
  <c r="W107" i="17"/>
  <c r="L107" i="20" s="1"/>
  <c r="AJ82" i="20"/>
  <c r="X136" i="20" s="1"/>
  <c r="X136" i="17"/>
  <c r="M136" i="20" s="1"/>
  <c r="AB82" i="20"/>
  <c r="P136" i="20" s="1"/>
  <c r="P136" i="17"/>
  <c r="E136" i="20" s="1"/>
  <c r="AC82" i="20"/>
  <c r="Q136" i="20" s="1"/>
  <c r="Q136" i="17"/>
  <c r="F136" i="20" s="1"/>
  <c r="AD82" i="20"/>
  <c r="R136" i="20" s="1"/>
  <c r="R136" i="17"/>
  <c r="G136" i="20" s="1"/>
  <c r="AE82" i="20"/>
  <c r="S136" i="20" s="1"/>
  <c r="S136" i="17"/>
  <c r="H136" i="20" s="1"/>
  <c r="X159" i="17"/>
  <c r="M159" i="20" s="1"/>
  <c r="X163" i="17"/>
  <c r="M163" i="20" s="1"/>
  <c r="X158" i="17"/>
  <c r="M158" i="20" s="1"/>
  <c r="P159" i="17"/>
  <c r="E159" i="20" s="1"/>
  <c r="P163" i="17"/>
  <c r="E163" i="20" s="1"/>
  <c r="AB110" i="20" s="1"/>
  <c r="P158" i="17"/>
  <c r="E158" i="20" s="1"/>
  <c r="Q158" i="17"/>
  <c r="F158" i="20" s="1"/>
  <c r="Q159" i="17"/>
  <c r="F159" i="20" s="1"/>
  <c r="Q163" i="17"/>
  <c r="F163" i="20" s="1"/>
  <c r="R159" i="17"/>
  <c r="G159" i="20" s="1"/>
  <c r="R163" i="17"/>
  <c r="G163" i="20" s="1"/>
  <c r="AD110" i="20" s="1"/>
  <c r="R158" i="17"/>
  <c r="G158" i="20" s="1"/>
  <c r="S158" i="17"/>
  <c r="H158" i="20" s="1"/>
  <c r="S159" i="17"/>
  <c r="H159" i="20" s="1"/>
  <c r="S163" i="17"/>
  <c r="H163" i="20" s="1"/>
  <c r="X138" i="17"/>
  <c r="M138" i="20" s="1"/>
  <c r="AJ89" i="20" s="1"/>
  <c r="X138" i="20" s="1"/>
  <c r="P138" i="17"/>
  <c r="E138" i="20" s="1"/>
  <c r="AB89" i="20" s="1"/>
  <c r="P138" i="20" s="1"/>
  <c r="Q138" i="17"/>
  <c r="F138" i="20" s="1"/>
  <c r="AC89" i="20" s="1"/>
  <c r="Q138" i="20" s="1"/>
  <c r="R138" i="17"/>
  <c r="G138" i="20" s="1"/>
  <c r="AD89" i="20" s="1"/>
  <c r="R138" i="20" s="1"/>
  <c r="S138" i="17"/>
  <c r="H138" i="20" s="1"/>
  <c r="AE89" i="20" s="1"/>
  <c r="S138" i="20" s="1"/>
  <c r="X134" i="17"/>
  <c r="M134" i="20" s="1"/>
  <c r="AJ79" i="20" s="1"/>
  <c r="X134" i="20" s="1"/>
  <c r="P134" i="17"/>
  <c r="E134" i="20" s="1"/>
  <c r="AB79" i="20" s="1"/>
  <c r="P134" i="20" s="1"/>
  <c r="Q134" i="17"/>
  <c r="F134" i="20" s="1"/>
  <c r="AC79" i="20" s="1"/>
  <c r="Q134" i="20" s="1"/>
  <c r="R134" i="17"/>
  <c r="G134" i="20" s="1"/>
  <c r="AD79" i="20" s="1"/>
  <c r="R134" i="20" s="1"/>
  <c r="S134" i="17"/>
  <c r="H134" i="20" s="1"/>
  <c r="AE79" i="20" s="1"/>
  <c r="S134" i="20" s="1"/>
  <c r="U137" i="17"/>
  <c r="J137" i="20" s="1"/>
  <c r="AG84" i="20" s="1"/>
  <c r="U137" i="20" s="1"/>
  <c r="T137" i="17"/>
  <c r="I137" i="20" s="1"/>
  <c r="AF84" i="20" s="1"/>
  <c r="T137" i="20" s="1"/>
  <c r="Q135" i="17"/>
  <c r="F135" i="20" s="1"/>
  <c r="AC80" i="20" s="1"/>
  <c r="Q135" i="20" s="1"/>
  <c r="P135" i="17"/>
  <c r="E135" i="20" s="1"/>
  <c r="AB80" i="20" s="1"/>
  <c r="P135" i="20" s="1"/>
  <c r="X135" i="17"/>
  <c r="M135" i="20" s="1"/>
  <c r="AJ80" i="20" s="1"/>
  <c r="X135" i="20" s="1"/>
  <c r="U101" i="17"/>
  <c r="J101" i="20" s="1"/>
  <c r="AG37" i="20" s="1"/>
  <c r="U101" i="20" s="1"/>
  <c r="T101" i="17"/>
  <c r="I101" i="20" s="1"/>
  <c r="AF37" i="20" s="1"/>
  <c r="T101" i="20" s="1"/>
  <c r="V149" i="17"/>
  <c r="K149" i="20" s="1"/>
  <c r="V151" i="17"/>
  <c r="K151" i="20" s="1"/>
  <c r="V150" i="17"/>
  <c r="K150" i="20" s="1"/>
  <c r="R149" i="17"/>
  <c r="G149" i="20" s="1"/>
  <c r="R151" i="17"/>
  <c r="G151" i="20" s="1"/>
  <c r="R150" i="17"/>
  <c r="G150" i="20" s="1"/>
  <c r="W150" i="17"/>
  <c r="L150" i="20" s="1"/>
  <c r="W149" i="17"/>
  <c r="L149" i="20" s="1"/>
  <c r="W151" i="17"/>
  <c r="L151" i="20" s="1"/>
  <c r="S150" i="17"/>
  <c r="H150" i="20" s="1"/>
  <c r="S149" i="17"/>
  <c r="H149" i="20" s="1"/>
  <c r="S151" i="17"/>
  <c r="H151" i="20" s="1"/>
  <c r="V129" i="17"/>
  <c r="K129" i="20" s="1"/>
  <c r="V133" i="17"/>
  <c r="K133" i="20" s="1"/>
  <c r="R129" i="17"/>
  <c r="G129" i="20" s="1"/>
  <c r="R133" i="17"/>
  <c r="G133" i="20" s="1"/>
  <c r="W129" i="17"/>
  <c r="L129" i="20" s="1"/>
  <c r="W133" i="17"/>
  <c r="L133" i="20" s="1"/>
  <c r="S129" i="17"/>
  <c r="H129" i="20" s="1"/>
  <c r="S133" i="17"/>
  <c r="H133" i="20" s="1"/>
  <c r="V125" i="17"/>
  <c r="K125" i="20" s="1"/>
  <c r="V132" i="17"/>
  <c r="K132" i="20" s="1"/>
  <c r="R125" i="17"/>
  <c r="G125" i="20" s="1"/>
  <c r="R132" i="17"/>
  <c r="G132" i="20" s="1"/>
  <c r="W132" i="17"/>
  <c r="L132" i="20" s="1"/>
  <c r="W125" i="17"/>
  <c r="L125" i="20" s="1"/>
  <c r="S132" i="17"/>
  <c r="H132" i="20" s="1"/>
  <c r="S125" i="17"/>
  <c r="H125" i="20" s="1"/>
  <c r="V117" i="17"/>
  <c r="K117" i="20" s="1"/>
  <c r="AH55" i="20" s="1"/>
  <c r="V117" i="20" s="1"/>
  <c r="R117" i="17"/>
  <c r="G117" i="20" s="1"/>
  <c r="AD55" i="20" s="1"/>
  <c r="R117" i="20" s="1"/>
  <c r="W117" i="17"/>
  <c r="L117" i="20" s="1"/>
  <c r="AI55" i="20" s="1"/>
  <c r="W117" i="20" s="1"/>
  <c r="S117" i="17"/>
  <c r="H117" i="20" s="1"/>
  <c r="AE55" i="20" s="1"/>
  <c r="S117" i="20" s="1"/>
  <c r="X32" i="17"/>
  <c r="M32" i="20" s="1"/>
  <c r="X34" i="17"/>
  <c r="M34" i="20" s="1"/>
  <c r="X36" i="17"/>
  <c r="M36" i="20" s="1"/>
  <c r="X33" i="17"/>
  <c r="M33" i="20" s="1"/>
  <c r="X35" i="17"/>
  <c r="M35" i="20" s="1"/>
  <c r="X37" i="17"/>
  <c r="M37" i="20" s="1"/>
  <c r="P32" i="17"/>
  <c r="E32" i="20" s="1"/>
  <c r="P34" i="17"/>
  <c r="E34" i="20" s="1"/>
  <c r="P36" i="17"/>
  <c r="E36" i="20" s="1"/>
  <c r="P33" i="17"/>
  <c r="E33" i="20" s="1"/>
  <c r="P35" i="17"/>
  <c r="E35" i="20" s="1"/>
  <c r="P37" i="17"/>
  <c r="E37" i="20" s="1"/>
  <c r="Q33" i="17"/>
  <c r="F33" i="20" s="1"/>
  <c r="Q35" i="17"/>
  <c r="F35" i="20" s="1"/>
  <c r="Q37" i="17"/>
  <c r="F37" i="20" s="1"/>
  <c r="Q32" i="17"/>
  <c r="F32" i="20" s="1"/>
  <c r="Q34" i="17"/>
  <c r="F34" i="20" s="1"/>
  <c r="Q36" i="17"/>
  <c r="F36" i="20" s="1"/>
  <c r="X8" i="17"/>
  <c r="M8" i="20" s="1"/>
  <c r="X10" i="17"/>
  <c r="M10" i="20" s="1"/>
  <c r="X12" i="17"/>
  <c r="M12" i="20" s="1"/>
  <c r="X9" i="17"/>
  <c r="M9" i="20" s="1"/>
  <c r="X11" i="17"/>
  <c r="M11" i="20" s="1"/>
  <c r="X13" i="17"/>
  <c r="M13" i="20" s="1"/>
  <c r="T8" i="17"/>
  <c r="I8" i="20" s="1"/>
  <c r="T10" i="17"/>
  <c r="I10" i="20" s="1"/>
  <c r="T12" i="17"/>
  <c r="I12" i="20" s="1"/>
  <c r="T9" i="17"/>
  <c r="I9" i="20" s="1"/>
  <c r="T11" i="17"/>
  <c r="I11" i="20" s="1"/>
  <c r="T13" i="17"/>
  <c r="I13" i="20" s="1"/>
  <c r="P8" i="17"/>
  <c r="E8" i="20" s="1"/>
  <c r="P10" i="17"/>
  <c r="E10" i="20" s="1"/>
  <c r="P12" i="17"/>
  <c r="E12" i="20" s="1"/>
  <c r="P9" i="17"/>
  <c r="E9" i="20" s="1"/>
  <c r="P11" i="17"/>
  <c r="E11" i="20" s="1"/>
  <c r="P13" i="17"/>
  <c r="E13" i="20" s="1"/>
  <c r="U9" i="17"/>
  <c r="J9" i="20" s="1"/>
  <c r="U11" i="17"/>
  <c r="J11" i="20" s="1"/>
  <c r="U13" i="17"/>
  <c r="J13" i="20" s="1"/>
  <c r="U8" i="17"/>
  <c r="J8" i="20" s="1"/>
  <c r="U10" i="17"/>
  <c r="J10" i="20" s="1"/>
  <c r="U12" i="17"/>
  <c r="J12" i="20" s="1"/>
  <c r="Q9" i="17"/>
  <c r="F9" i="20" s="1"/>
  <c r="Q11" i="17"/>
  <c r="F11" i="20" s="1"/>
  <c r="Q13" i="17"/>
  <c r="F13" i="20" s="1"/>
  <c r="Q8" i="17"/>
  <c r="F8" i="20" s="1"/>
  <c r="Q10" i="17"/>
  <c r="F10" i="20" s="1"/>
  <c r="Q12" i="17"/>
  <c r="F12" i="20" s="1"/>
  <c r="V126" i="17"/>
  <c r="K126" i="20" s="1"/>
  <c r="AH70" i="20" s="1"/>
  <c r="V126" i="20" s="1"/>
  <c r="R126" i="17"/>
  <c r="G126" i="20" s="1"/>
  <c r="AD70" i="20" s="1"/>
  <c r="R126" i="20" s="1"/>
  <c r="W126" i="17"/>
  <c r="L126" i="20" s="1"/>
  <c r="AI70" i="20" s="1"/>
  <c r="W126" i="20" s="1"/>
  <c r="S126" i="17"/>
  <c r="H126" i="20" s="1"/>
  <c r="AE70" i="20" s="1"/>
  <c r="S126" i="20" s="1"/>
  <c r="X175" i="17"/>
  <c r="M175" i="20" s="1"/>
  <c r="AJ129" i="20" s="1"/>
  <c r="X175" i="20" s="1"/>
  <c r="T175" i="17"/>
  <c r="I175" i="20" s="1"/>
  <c r="AF129" i="20" s="1"/>
  <c r="T175" i="20" s="1"/>
  <c r="P175" i="17"/>
  <c r="E175" i="20" s="1"/>
  <c r="AB129" i="20" s="1"/>
  <c r="P175" i="20" s="1"/>
  <c r="U175" i="17"/>
  <c r="J175" i="20" s="1"/>
  <c r="AG129" i="20" s="1"/>
  <c r="U175" i="20" s="1"/>
  <c r="Q175" i="17"/>
  <c r="F175" i="20" s="1"/>
  <c r="AC129" i="20" s="1"/>
  <c r="Q175" i="20" s="1"/>
  <c r="V161" i="17"/>
  <c r="K161" i="20" s="1"/>
  <c r="V160" i="17"/>
  <c r="K160" i="20" s="1"/>
  <c r="AH114" i="20" s="1"/>
  <c r="V162" i="17"/>
  <c r="K162" i="20" s="1"/>
  <c r="W160" i="17"/>
  <c r="L160" i="20" s="1"/>
  <c r="W162" i="17"/>
  <c r="L162" i="20" s="1"/>
  <c r="W161" i="17"/>
  <c r="L161" i="20" s="1"/>
  <c r="V139" i="17"/>
  <c r="K139" i="20" s="1"/>
  <c r="AH91" i="20" s="1"/>
  <c r="V139" i="20" s="1"/>
  <c r="R139" i="17"/>
  <c r="G139" i="20" s="1"/>
  <c r="AD91" i="20" s="1"/>
  <c r="R139" i="20" s="1"/>
  <c r="W139" i="17"/>
  <c r="L139" i="20" s="1"/>
  <c r="AI91" i="20" s="1"/>
  <c r="W139" i="20" s="1"/>
  <c r="S139" i="17"/>
  <c r="H139" i="20" s="1"/>
  <c r="AE91" i="20" s="1"/>
  <c r="S139" i="20" s="1"/>
  <c r="X183" i="17"/>
  <c r="M183" i="20" s="1"/>
  <c r="X182" i="17"/>
  <c r="M182" i="20" s="1"/>
  <c r="AJ136" i="20" s="1"/>
  <c r="T183" i="17"/>
  <c r="I183" i="20" s="1"/>
  <c r="T182" i="17"/>
  <c r="I182" i="20" s="1"/>
  <c r="AF136" i="20" s="1"/>
  <c r="P183" i="17"/>
  <c r="E183" i="20" s="1"/>
  <c r="P182" i="17"/>
  <c r="E182" i="20" s="1"/>
  <c r="AB136" i="20" s="1"/>
  <c r="U182" i="17"/>
  <c r="J182" i="20" s="1"/>
  <c r="U183" i="17"/>
  <c r="J183" i="20" s="1"/>
  <c r="Q182" i="17"/>
  <c r="F182" i="20" s="1"/>
  <c r="Q183" i="17"/>
  <c r="F183" i="20" s="1"/>
  <c r="AC136" i="20" s="1"/>
  <c r="V174" i="17"/>
  <c r="K174" i="20" s="1"/>
  <c r="AH128" i="20" s="1"/>
  <c r="V174" i="20" s="1"/>
  <c r="R174" i="17"/>
  <c r="G174" i="20" s="1"/>
  <c r="AD128" i="20" s="1"/>
  <c r="R174" i="20" s="1"/>
  <c r="W174" i="17"/>
  <c r="L174" i="20" s="1"/>
  <c r="AI128" i="20" s="1"/>
  <c r="W174" i="20" s="1"/>
  <c r="S174" i="17"/>
  <c r="H174" i="20" s="1"/>
  <c r="AE128" i="20" s="1"/>
  <c r="S174" i="20" s="1"/>
  <c r="V102" i="17"/>
  <c r="K102" i="20" s="1"/>
  <c r="AH39" i="20" s="1"/>
  <c r="V102" i="20" s="1"/>
  <c r="R102" i="17"/>
  <c r="G102" i="20" s="1"/>
  <c r="AD39" i="20" s="1"/>
  <c r="R102" i="20" s="1"/>
  <c r="W102" i="17"/>
  <c r="L102" i="20" s="1"/>
  <c r="AI39" i="20" s="1"/>
  <c r="W102" i="20" s="1"/>
  <c r="S102" i="17"/>
  <c r="H102" i="20" s="1"/>
  <c r="AE39" i="20" s="1"/>
  <c r="S102" i="20" s="1"/>
  <c r="V181" i="17"/>
  <c r="K181" i="20" s="1"/>
  <c r="AH134" i="20" s="1"/>
  <c r="V181" i="20" s="1"/>
  <c r="R181" i="17"/>
  <c r="G181" i="20" s="1"/>
  <c r="AD134" i="20" s="1"/>
  <c r="R181" i="20" s="1"/>
  <c r="W181" i="17"/>
  <c r="L181" i="20" s="1"/>
  <c r="AI134" i="20" s="1"/>
  <c r="W181" i="20" s="1"/>
  <c r="S181" i="17"/>
  <c r="H181" i="20" s="1"/>
  <c r="AE134" i="20" s="1"/>
  <c r="S181" i="20" s="1"/>
  <c r="V103" i="17"/>
  <c r="K103" i="20" s="1"/>
  <c r="AH41" i="20" s="1"/>
  <c r="V103" i="20" s="1"/>
  <c r="R103" i="17"/>
  <c r="G103" i="20" s="1"/>
  <c r="AD41" i="20" s="1"/>
  <c r="R103" i="20" s="1"/>
  <c r="W103" i="17"/>
  <c r="L103" i="20" s="1"/>
  <c r="AI41" i="20" s="1"/>
  <c r="W103" i="20" s="1"/>
  <c r="S103" i="17"/>
  <c r="H103" i="20" s="1"/>
  <c r="AE41" i="20" s="1"/>
  <c r="S103" i="20" s="1"/>
  <c r="V96" i="17"/>
  <c r="K96" i="20" s="1"/>
  <c r="V98" i="17"/>
  <c r="K98" i="20" s="1"/>
  <c r="V97" i="17"/>
  <c r="K97" i="20" s="1"/>
  <c r="X130" i="17"/>
  <c r="M130" i="20" s="1"/>
  <c r="AJ76" i="20" s="1"/>
  <c r="X130" i="20" s="1"/>
  <c r="T130" i="17"/>
  <c r="I130" i="20" s="1"/>
  <c r="AF76" i="20" s="1"/>
  <c r="T130" i="20" s="1"/>
  <c r="P130" i="17"/>
  <c r="E130" i="20" s="1"/>
  <c r="AB76" i="20" s="1"/>
  <c r="P130" i="20" s="1"/>
  <c r="U130" i="17"/>
  <c r="J130" i="20" s="1"/>
  <c r="AG76" i="20" s="1"/>
  <c r="U130" i="20" s="1"/>
  <c r="Q130" i="17"/>
  <c r="F130" i="20" s="1"/>
  <c r="AC76" i="20" s="1"/>
  <c r="Q130" i="20" s="1"/>
  <c r="X118" i="17"/>
  <c r="M118" i="20" s="1"/>
  <c r="AJ56" i="20" s="1"/>
  <c r="X118" i="20" s="1"/>
  <c r="T118" i="17"/>
  <c r="I118" i="20" s="1"/>
  <c r="AF56" i="20" s="1"/>
  <c r="T118" i="20" s="1"/>
  <c r="P118" i="17"/>
  <c r="E118" i="20" s="1"/>
  <c r="AB56" i="20" s="1"/>
  <c r="P118" i="20" s="1"/>
  <c r="U118" i="17"/>
  <c r="J118" i="20" s="1"/>
  <c r="AG56" i="20" s="1"/>
  <c r="U118" i="20" s="1"/>
  <c r="Q118" i="17"/>
  <c r="F118" i="20" s="1"/>
  <c r="AC56" i="20" s="1"/>
  <c r="Q118" i="20" s="1"/>
  <c r="X127" i="17"/>
  <c r="M127" i="20" s="1"/>
  <c r="AJ72" i="20" s="1"/>
  <c r="X127" i="20" s="1"/>
  <c r="T127" i="17"/>
  <c r="I127" i="20" s="1"/>
  <c r="AF72" i="20" s="1"/>
  <c r="T127" i="20" s="1"/>
  <c r="P127" i="17"/>
  <c r="E127" i="20" s="1"/>
  <c r="AB72" i="20" s="1"/>
  <c r="P127" i="20" s="1"/>
  <c r="U127" i="17"/>
  <c r="J127" i="20" s="1"/>
  <c r="AG72" i="20" s="1"/>
  <c r="U127" i="20" s="1"/>
  <c r="Q127" i="17"/>
  <c r="F127" i="20" s="1"/>
  <c r="AC72" i="20" s="1"/>
  <c r="Q127" i="20" s="1"/>
  <c r="X119" i="17"/>
  <c r="M119" i="20" s="1"/>
  <c r="AJ61" i="20" s="1"/>
  <c r="X119" i="20" s="1"/>
  <c r="T119" i="17"/>
  <c r="I119" i="20" s="1"/>
  <c r="AF61" i="20" s="1"/>
  <c r="T119" i="20" s="1"/>
  <c r="P119" i="17"/>
  <c r="E119" i="20" s="1"/>
  <c r="AB61" i="20" s="1"/>
  <c r="P119" i="20" s="1"/>
  <c r="U119" i="17"/>
  <c r="J119" i="20" s="1"/>
  <c r="AG61" i="20" s="1"/>
  <c r="U119" i="20" s="1"/>
  <c r="Q119" i="17"/>
  <c r="F119" i="20" s="1"/>
  <c r="AC61" i="20" s="1"/>
  <c r="Q119" i="20" s="1"/>
  <c r="X128" i="17"/>
  <c r="M128" i="20" s="1"/>
  <c r="AJ73" i="20" s="1"/>
  <c r="X128" i="20" s="1"/>
  <c r="T128" i="17"/>
  <c r="I128" i="20" s="1"/>
  <c r="AF73" i="20" s="1"/>
  <c r="T128" i="20" s="1"/>
  <c r="P128" i="17"/>
  <c r="E128" i="20" s="1"/>
  <c r="AB73" i="20" s="1"/>
  <c r="P128" i="20" s="1"/>
  <c r="U128" i="17"/>
  <c r="J128" i="20" s="1"/>
  <c r="AG73" i="20" s="1"/>
  <c r="U128" i="20" s="1"/>
  <c r="Q128" i="17"/>
  <c r="F128" i="20" s="1"/>
  <c r="AC73" i="20" s="1"/>
  <c r="Q128" i="20" s="1"/>
  <c r="X120" i="17"/>
  <c r="M120" i="20" s="1"/>
  <c r="AJ59" i="20" s="1"/>
  <c r="X120" i="20" s="1"/>
  <c r="T120" i="17"/>
  <c r="I120" i="20" s="1"/>
  <c r="AF59" i="20" s="1"/>
  <c r="T120" i="20" s="1"/>
  <c r="P120" i="17"/>
  <c r="E120" i="20" s="1"/>
  <c r="AB59" i="20" s="1"/>
  <c r="P120" i="20" s="1"/>
  <c r="U120" i="17"/>
  <c r="J120" i="20" s="1"/>
  <c r="AG59" i="20" s="1"/>
  <c r="U120" i="20" s="1"/>
  <c r="Q120" i="17"/>
  <c r="F120" i="20" s="1"/>
  <c r="AC59" i="20" s="1"/>
  <c r="Q120" i="20" s="1"/>
  <c r="S137" i="17"/>
  <c r="H137" i="20" s="1"/>
  <c r="AE84" i="20" s="1"/>
  <c r="S137" i="20" s="1"/>
  <c r="R137" i="17"/>
  <c r="G137" i="20" s="1"/>
  <c r="AD84" i="20" s="1"/>
  <c r="R137" i="20" s="1"/>
  <c r="S135" i="17"/>
  <c r="H135" i="20" s="1"/>
  <c r="AE80" i="20" s="1"/>
  <c r="S135" i="20" s="1"/>
  <c r="R135" i="17"/>
  <c r="G135" i="20" s="1"/>
  <c r="AD80" i="20" s="1"/>
  <c r="R135" i="20" s="1"/>
  <c r="S101" i="17"/>
  <c r="H101" i="20" s="1"/>
  <c r="AE37" i="20" s="1"/>
  <c r="S101" i="20" s="1"/>
  <c r="R101" i="17"/>
  <c r="G101" i="20" s="1"/>
  <c r="AD37" i="20" s="1"/>
  <c r="R101" i="20" s="1"/>
  <c r="X107" i="17"/>
  <c r="M107" i="20" s="1"/>
  <c r="AJ46" i="20" s="1"/>
  <c r="X107" i="20" s="1"/>
  <c r="P107" i="17"/>
  <c r="E107" i="20" s="1"/>
  <c r="AB46" i="20" s="1"/>
  <c r="P107" i="20" s="1"/>
  <c r="Q107" i="17"/>
  <c r="F107" i="20" s="1"/>
  <c r="AC46" i="20" s="1"/>
  <c r="Q107" i="20" s="1"/>
  <c r="R107" i="17"/>
  <c r="G107" i="20" s="1"/>
  <c r="AD46" i="20" s="1"/>
  <c r="R107" i="20" s="1"/>
  <c r="S107" i="17"/>
  <c r="H107" i="20" s="1"/>
  <c r="AE46" i="20" s="1"/>
  <c r="S107" i="20" s="1"/>
  <c r="T136" i="17"/>
  <c r="I136" i="20" s="1"/>
  <c r="AF82" i="20" s="1"/>
  <c r="T136" i="20" s="1"/>
  <c r="U136" i="17"/>
  <c r="J136" i="20" s="1"/>
  <c r="AG82" i="20" s="1"/>
  <c r="U136" i="20" s="1"/>
  <c r="V136" i="17"/>
  <c r="K136" i="20" s="1"/>
  <c r="AH82" i="20" s="1"/>
  <c r="V136" i="20" s="1"/>
  <c r="W136" i="17"/>
  <c r="L136" i="20" s="1"/>
  <c r="AI82" i="20" s="1"/>
  <c r="W136" i="20" s="1"/>
  <c r="T159" i="17"/>
  <c r="I159" i="20" s="1"/>
  <c r="T163" i="17"/>
  <c r="I163" i="20" s="1"/>
  <c r="T158" i="17"/>
  <c r="I158" i="20" s="1"/>
  <c r="U158" i="17"/>
  <c r="J158" i="20" s="1"/>
  <c r="U159" i="17"/>
  <c r="J159" i="20" s="1"/>
  <c r="U163" i="17"/>
  <c r="J163" i="20" s="1"/>
  <c r="V159" i="17"/>
  <c r="K159" i="20" s="1"/>
  <c r="V163" i="17"/>
  <c r="K163" i="20" s="1"/>
  <c r="V158" i="17"/>
  <c r="K158" i="20" s="1"/>
  <c r="W158" i="17"/>
  <c r="L158" i="20" s="1"/>
  <c r="W159" i="17"/>
  <c r="L159" i="20" s="1"/>
  <c r="W163" i="17"/>
  <c r="L163" i="20" s="1"/>
  <c r="T138" i="17"/>
  <c r="I138" i="20" s="1"/>
  <c r="AF89" i="20" s="1"/>
  <c r="T138" i="20" s="1"/>
  <c r="U138" i="17"/>
  <c r="J138" i="20" s="1"/>
  <c r="AG89" i="20" s="1"/>
  <c r="U138" i="20" s="1"/>
  <c r="V138" i="17"/>
  <c r="K138" i="20" s="1"/>
  <c r="AH89" i="20" s="1"/>
  <c r="V138" i="20" s="1"/>
  <c r="W138" i="17"/>
  <c r="L138" i="20" s="1"/>
  <c r="AI89" i="20" s="1"/>
  <c r="W138" i="20" s="1"/>
  <c r="T134" i="17"/>
  <c r="I134" i="20" s="1"/>
  <c r="AF79" i="20" s="1"/>
  <c r="T134" i="20" s="1"/>
  <c r="U134" i="17"/>
  <c r="J134" i="20" s="1"/>
  <c r="AG79" i="20" s="1"/>
  <c r="U134" i="20" s="1"/>
  <c r="V134" i="17"/>
  <c r="K134" i="20" s="1"/>
  <c r="AH79" i="20" s="1"/>
  <c r="V134" i="20" s="1"/>
  <c r="W134" i="17"/>
  <c r="L134" i="20" s="1"/>
  <c r="AI79" i="20" s="1"/>
  <c r="W134" i="20" s="1"/>
  <c r="Q137" i="17"/>
  <c r="F137" i="20" s="1"/>
  <c r="AC84" i="20" s="1"/>
  <c r="Q137" i="20" s="1"/>
  <c r="P137" i="17"/>
  <c r="E137" i="20" s="1"/>
  <c r="AB84" i="20" s="1"/>
  <c r="P137" i="20" s="1"/>
  <c r="X137" i="17"/>
  <c r="M137" i="20" s="1"/>
  <c r="AJ84" i="20" s="1"/>
  <c r="X137" i="20" s="1"/>
  <c r="U135" i="17"/>
  <c r="J135" i="20" s="1"/>
  <c r="AG80" i="20" s="1"/>
  <c r="U135" i="20" s="1"/>
  <c r="T135" i="17"/>
  <c r="I135" i="20" s="1"/>
  <c r="AF80" i="20" s="1"/>
  <c r="T135" i="20" s="1"/>
  <c r="Q101" i="17"/>
  <c r="F101" i="20" s="1"/>
  <c r="AC37" i="20" s="1"/>
  <c r="Q101" i="20" s="1"/>
  <c r="P101" i="17"/>
  <c r="E101" i="20" s="1"/>
  <c r="AB37" i="20" s="1"/>
  <c r="P101" i="20" s="1"/>
  <c r="X101" i="17"/>
  <c r="M101" i="20" s="1"/>
  <c r="AJ37" i="20" s="1"/>
  <c r="X101" i="20" s="1"/>
  <c r="AA37" i="20"/>
  <c r="O101" i="20" s="1"/>
  <c r="O137" i="17"/>
  <c r="D137" i="20" s="1"/>
  <c r="O149" i="17"/>
  <c r="D149" i="20" s="1"/>
  <c r="O151" i="17"/>
  <c r="D151" i="20" s="1"/>
  <c r="O150" i="17"/>
  <c r="D150" i="20" s="1"/>
  <c r="O129" i="17"/>
  <c r="D129" i="20" s="1"/>
  <c r="AA74" i="20" s="1"/>
  <c r="O133" i="17"/>
  <c r="D133" i="20" s="1"/>
  <c r="O125" i="17"/>
  <c r="D125" i="20" s="1"/>
  <c r="AA69" i="20" s="1"/>
  <c r="O132" i="17"/>
  <c r="D132" i="20" s="1"/>
  <c r="O117" i="17"/>
  <c r="D117" i="20" s="1"/>
  <c r="O33" i="17"/>
  <c r="D33" i="20" s="1"/>
  <c r="O35" i="17"/>
  <c r="D35" i="20" s="1"/>
  <c r="O37" i="17"/>
  <c r="D37" i="20" s="1"/>
  <c r="O32" i="17"/>
  <c r="D32" i="20" s="1"/>
  <c r="O34" i="17"/>
  <c r="D34" i="20" s="1"/>
  <c r="O36" i="17"/>
  <c r="D36" i="20" s="1"/>
  <c r="O9" i="17"/>
  <c r="D9" i="20" s="1"/>
  <c r="O11" i="17"/>
  <c r="D11" i="20" s="1"/>
  <c r="O13" i="17"/>
  <c r="D13" i="20" s="1"/>
  <c r="O8" i="17"/>
  <c r="D8" i="20" s="1"/>
  <c r="AA3" i="20" s="1"/>
  <c r="O10" i="17"/>
  <c r="D10" i="20" s="1"/>
  <c r="O12" i="17"/>
  <c r="D12" i="20" s="1"/>
  <c r="O126" i="17"/>
  <c r="D126" i="20" s="1"/>
  <c r="O175" i="17"/>
  <c r="D175" i="20" s="1"/>
  <c r="O161" i="17"/>
  <c r="D161" i="20" s="1"/>
  <c r="O162" i="17"/>
  <c r="D162" i="20" s="1"/>
  <c r="O160" i="17"/>
  <c r="D160" i="20" s="1"/>
  <c r="O139" i="17"/>
  <c r="D139" i="20" s="1"/>
  <c r="O183" i="17"/>
  <c r="D183" i="20" s="1"/>
  <c r="O182" i="17"/>
  <c r="D182" i="20" s="1"/>
  <c r="AA136" i="20" s="1"/>
  <c r="O174" i="17"/>
  <c r="D174" i="20" s="1"/>
  <c r="O102" i="17"/>
  <c r="D102" i="20" s="1"/>
  <c r="O181" i="17"/>
  <c r="D181" i="20" s="1"/>
  <c r="O103" i="17"/>
  <c r="D103" i="20" s="1"/>
  <c r="O130" i="17"/>
  <c r="D130" i="20" s="1"/>
  <c r="O118" i="17"/>
  <c r="D118" i="20" s="1"/>
  <c r="O127" i="17"/>
  <c r="D127" i="20" s="1"/>
  <c r="O119" i="17"/>
  <c r="D119" i="20" s="1"/>
  <c r="O128" i="17"/>
  <c r="D128" i="20" s="1"/>
  <c r="O120" i="17"/>
  <c r="D120" i="20" s="1"/>
  <c r="O107" i="17"/>
  <c r="D107" i="20" s="1"/>
  <c r="O136" i="17"/>
  <c r="D136" i="20" s="1"/>
  <c r="O159" i="17"/>
  <c r="D159" i="20" s="1"/>
  <c r="O163" i="17"/>
  <c r="D163" i="20" s="1"/>
  <c r="O158" i="17"/>
  <c r="D158" i="20" s="1"/>
  <c r="O138" i="17"/>
  <c r="D138" i="20" s="1"/>
  <c r="O134" i="17"/>
  <c r="D134" i="20" s="1"/>
  <c r="O135" i="17"/>
  <c r="D135" i="20" s="1"/>
  <c r="E185" i="18"/>
  <c r="AJ16" i="17"/>
  <c r="AB16" i="17"/>
  <c r="AC16" i="17"/>
  <c r="AJ35" i="17"/>
  <c r="AB35" i="17"/>
  <c r="AC35" i="17"/>
  <c r="AH16" i="17"/>
  <c r="AI16" i="17"/>
  <c r="AA16" i="17"/>
  <c r="AI35" i="17"/>
  <c r="AA35" i="17"/>
  <c r="AD11" i="17"/>
  <c r="AE11" i="17"/>
  <c r="AD5" i="17"/>
  <c r="AE5" i="17"/>
  <c r="AD114" i="17"/>
  <c r="AE114" i="17"/>
  <c r="AD16" i="17"/>
  <c r="AE16" i="17"/>
  <c r="AD35" i="17"/>
  <c r="AE35" i="17"/>
  <c r="AF11" i="17"/>
  <c r="AG11" i="17"/>
  <c r="AF16" i="17"/>
  <c r="AG16" i="17"/>
  <c r="AF35" i="17"/>
  <c r="AG35" i="17"/>
  <c r="E185" i="8"/>
  <c r="AJ9" i="17"/>
  <c r="AF9" i="17"/>
  <c r="AB9" i="17"/>
  <c r="AG9" i="17"/>
  <c r="AC9" i="17"/>
  <c r="AH9" i="17"/>
  <c r="AD9" i="17"/>
  <c r="AI9" i="17"/>
  <c r="AE9" i="17"/>
  <c r="AA9" i="17"/>
  <c r="AJ99" i="17"/>
  <c r="AF99" i="17"/>
  <c r="AB99" i="17"/>
  <c r="AG99" i="17"/>
  <c r="AC99" i="17"/>
  <c r="AJ94" i="17"/>
  <c r="AF94" i="17"/>
  <c r="AB94" i="17"/>
  <c r="AG94" i="17"/>
  <c r="AC94" i="17"/>
  <c r="AJ133" i="17"/>
  <c r="AJ14" i="17"/>
  <c r="AF14" i="17"/>
  <c r="AB14" i="17"/>
  <c r="AG14" i="17"/>
  <c r="AC14" i="17"/>
  <c r="AJ12" i="17"/>
  <c r="AF12" i="17"/>
  <c r="AB12" i="17"/>
  <c r="AG12" i="17"/>
  <c r="AC12" i="17"/>
  <c r="AJ10" i="17"/>
  <c r="AF10" i="17"/>
  <c r="AB10" i="17"/>
  <c r="AG10" i="17"/>
  <c r="AC10" i="17"/>
  <c r="AJ15" i="17"/>
  <c r="AF15" i="17"/>
  <c r="AB15" i="17"/>
  <c r="AG15" i="17"/>
  <c r="AC15" i="17"/>
  <c r="AJ13" i="17"/>
  <c r="AF13" i="17"/>
  <c r="AB13" i="17"/>
  <c r="AG13" i="17"/>
  <c r="AC13" i="17"/>
  <c r="AJ44" i="17"/>
  <c r="AF44" i="17"/>
  <c r="AB44" i="17"/>
  <c r="AG44" i="17"/>
  <c r="AC44" i="17"/>
  <c r="AJ7" i="17"/>
  <c r="AF7" i="17"/>
  <c r="AB7" i="17"/>
  <c r="AG7" i="17"/>
  <c r="AC7" i="17"/>
  <c r="AH99" i="17"/>
  <c r="AD99" i="17"/>
  <c r="AI99" i="17"/>
  <c r="AE99" i="17"/>
  <c r="AA99" i="17"/>
  <c r="AH94" i="17"/>
  <c r="AD94" i="17"/>
  <c r="AI94" i="17"/>
  <c r="AE94" i="17"/>
  <c r="AA94" i="17"/>
  <c r="AH133" i="17"/>
  <c r="AH14" i="17"/>
  <c r="AD14" i="17"/>
  <c r="AI14" i="17"/>
  <c r="AE14" i="17"/>
  <c r="AA14" i="17"/>
  <c r="AH12" i="17"/>
  <c r="AD12" i="17"/>
  <c r="AI12" i="17"/>
  <c r="AE12" i="17"/>
  <c r="AA12" i="17"/>
  <c r="AH10" i="17"/>
  <c r="AD10" i="17"/>
  <c r="AI10" i="17"/>
  <c r="AE10" i="17"/>
  <c r="AA10" i="17"/>
  <c r="AH15" i="17"/>
  <c r="AD15" i="17"/>
  <c r="AI15" i="17"/>
  <c r="AE15" i="17"/>
  <c r="AA15" i="17"/>
  <c r="AH13" i="17"/>
  <c r="AD13" i="17"/>
  <c r="AI13" i="17"/>
  <c r="AE13" i="17"/>
  <c r="AA13" i="17"/>
  <c r="AH44" i="17"/>
  <c r="AD44" i="17"/>
  <c r="AI44" i="17"/>
  <c r="AE44" i="17"/>
  <c r="AA44" i="17"/>
  <c r="AH7" i="17"/>
  <c r="AD7" i="17"/>
  <c r="AI7" i="17"/>
  <c r="AE7" i="17"/>
  <c r="AA7" i="17"/>
  <c r="AF133" i="17"/>
  <c r="AB133" i="17"/>
  <c r="AG133" i="17"/>
  <c r="AC133" i="17"/>
  <c r="AJ125" i="17"/>
  <c r="AF125" i="17"/>
  <c r="AB125" i="17"/>
  <c r="AG125" i="17"/>
  <c r="AC125" i="17"/>
  <c r="AJ68" i="17"/>
  <c r="AF68" i="17"/>
  <c r="AB68" i="17"/>
  <c r="AG68" i="17"/>
  <c r="AC68" i="17"/>
  <c r="AJ48" i="17"/>
  <c r="AF48" i="17"/>
  <c r="AB48" i="17"/>
  <c r="AG48" i="17"/>
  <c r="AC48" i="17"/>
  <c r="AJ29" i="17"/>
  <c r="AF29" i="17"/>
  <c r="AB29" i="17"/>
  <c r="AG29" i="17"/>
  <c r="AC29" i="17"/>
  <c r="AJ26" i="17"/>
  <c r="AF26" i="17"/>
  <c r="AB26" i="17"/>
  <c r="AG26" i="17"/>
  <c r="AC26" i="17"/>
  <c r="AJ23" i="17"/>
  <c r="AF23" i="17"/>
  <c r="AB23" i="17"/>
  <c r="AG23" i="17"/>
  <c r="AC23" i="17"/>
  <c r="AJ20" i="17"/>
  <c r="AF20" i="17"/>
  <c r="AB20" i="17"/>
  <c r="AG20" i="17"/>
  <c r="AC20" i="17"/>
  <c r="AJ17" i="17"/>
  <c r="AF17" i="17"/>
  <c r="AB17" i="17"/>
  <c r="AG17" i="17"/>
  <c r="AC17" i="17"/>
  <c r="AJ65" i="17"/>
  <c r="AF65" i="17"/>
  <c r="AB65" i="17"/>
  <c r="AG65" i="17"/>
  <c r="AC65" i="17"/>
  <c r="AJ132" i="17"/>
  <c r="AF132" i="17"/>
  <c r="AB132" i="17"/>
  <c r="AG132" i="17"/>
  <c r="AC132" i="17"/>
  <c r="AJ119" i="17"/>
  <c r="AF119" i="17"/>
  <c r="AB119" i="17"/>
  <c r="AG119" i="17"/>
  <c r="AC119" i="17"/>
  <c r="AJ54" i="17"/>
  <c r="AF54" i="17"/>
  <c r="AB54" i="17"/>
  <c r="AG54" i="17"/>
  <c r="AC54" i="17"/>
  <c r="AJ121" i="17"/>
  <c r="AF121" i="17"/>
  <c r="AB121" i="17"/>
  <c r="AG121" i="17"/>
  <c r="AC121" i="17"/>
  <c r="AJ104" i="17"/>
  <c r="AF104" i="17"/>
  <c r="AB104" i="17"/>
  <c r="AG104" i="17"/>
  <c r="AC104" i="17"/>
  <c r="AJ95" i="17"/>
  <c r="AF95" i="17"/>
  <c r="AB95" i="17"/>
  <c r="AG95" i="17"/>
  <c r="AC95" i="17"/>
  <c r="AJ50" i="17"/>
  <c r="AF50" i="17"/>
  <c r="AB50" i="17"/>
  <c r="AG50" i="17"/>
  <c r="AC50" i="17"/>
  <c r="AJ34" i="17"/>
  <c r="AF34" i="17"/>
  <c r="AB34" i="17"/>
  <c r="AG34" i="17"/>
  <c r="AC34" i="17"/>
  <c r="AJ100" i="17"/>
  <c r="AF100" i="17"/>
  <c r="AB100" i="17"/>
  <c r="AG100" i="17"/>
  <c r="AC100" i="17"/>
  <c r="AJ31" i="17"/>
  <c r="AF31" i="17"/>
  <c r="AB31" i="17"/>
  <c r="AG31" i="17"/>
  <c r="AC31" i="17"/>
  <c r="AJ24" i="17"/>
  <c r="AF24" i="17"/>
  <c r="AB24" i="17"/>
  <c r="AG24" i="17"/>
  <c r="AC24" i="17"/>
  <c r="AD133" i="17"/>
  <c r="AI133" i="17"/>
  <c r="AE133" i="17"/>
  <c r="AA133" i="17"/>
  <c r="AH125" i="17"/>
  <c r="AD125" i="17"/>
  <c r="AI125" i="17"/>
  <c r="AE125" i="17"/>
  <c r="AA125" i="17"/>
  <c r="AH68" i="17"/>
  <c r="AD68" i="17"/>
  <c r="AI68" i="17"/>
  <c r="AE68" i="17"/>
  <c r="AA68" i="17"/>
  <c r="AH48" i="17"/>
  <c r="AD48" i="17"/>
  <c r="AI48" i="17"/>
  <c r="AE48" i="17"/>
  <c r="AA48" i="17"/>
  <c r="AH29" i="17"/>
  <c r="AD29" i="17"/>
  <c r="AI29" i="17"/>
  <c r="AE29" i="17"/>
  <c r="AA29" i="17"/>
  <c r="AH26" i="17"/>
  <c r="AD26" i="17"/>
  <c r="AI26" i="17"/>
  <c r="AE26" i="17"/>
  <c r="AA26" i="17"/>
  <c r="AH23" i="17"/>
  <c r="AD23" i="17"/>
  <c r="AI23" i="17"/>
  <c r="AE23" i="17"/>
  <c r="AA23" i="17"/>
  <c r="AH20" i="17"/>
  <c r="AD20" i="17"/>
  <c r="AI20" i="17"/>
  <c r="AE20" i="17"/>
  <c r="AA20" i="17"/>
  <c r="AH17" i="17"/>
  <c r="AD17" i="17"/>
  <c r="AI17" i="17"/>
  <c r="AE17" i="17"/>
  <c r="AA17" i="17"/>
  <c r="AH65" i="17"/>
  <c r="AD65" i="17"/>
  <c r="AI65" i="17"/>
  <c r="AE65" i="17"/>
  <c r="AA65" i="17"/>
  <c r="AH132" i="17"/>
  <c r="AD132" i="17"/>
  <c r="AI132" i="17"/>
  <c r="AE132" i="17"/>
  <c r="AA132" i="17"/>
  <c r="AH119" i="17"/>
  <c r="AD119" i="17"/>
  <c r="AI119" i="17"/>
  <c r="AE119" i="17"/>
  <c r="AA119" i="17"/>
  <c r="AH54" i="17"/>
  <c r="AD54" i="17"/>
  <c r="AI54" i="17"/>
  <c r="AE54" i="17"/>
  <c r="AA54" i="17"/>
  <c r="AH121" i="17"/>
  <c r="AD121" i="17"/>
  <c r="AI121" i="17"/>
  <c r="AE121" i="17"/>
  <c r="AA121" i="17"/>
  <c r="AH104" i="17"/>
  <c r="AD104" i="17"/>
  <c r="AI104" i="17"/>
  <c r="AE104" i="17"/>
  <c r="AA104" i="17"/>
  <c r="AH95" i="17"/>
  <c r="AD95" i="17"/>
  <c r="AI95" i="17"/>
  <c r="AE95" i="17"/>
  <c r="AA95" i="17"/>
  <c r="AH50" i="17"/>
  <c r="AD50" i="17"/>
  <c r="AI50" i="17"/>
  <c r="AE50" i="17"/>
  <c r="AA50" i="17"/>
  <c r="AH34" i="17"/>
  <c r="AD34" i="17"/>
  <c r="AI34" i="17"/>
  <c r="AE34" i="17"/>
  <c r="AA34" i="17"/>
  <c r="AH100" i="17"/>
  <c r="AD100" i="17"/>
  <c r="AI100" i="17"/>
  <c r="AE100" i="17"/>
  <c r="AA100" i="17"/>
  <c r="AH31" i="17"/>
  <c r="AD31" i="17"/>
  <c r="AI31" i="17"/>
  <c r="AE31" i="17"/>
  <c r="AA31" i="17"/>
  <c r="AH24" i="17"/>
  <c r="AD24" i="17"/>
  <c r="AI24" i="17"/>
  <c r="AE24" i="17"/>
  <c r="AA24" i="17"/>
  <c r="AH2" i="17"/>
  <c r="AD2" i="17"/>
  <c r="AI2" i="17"/>
  <c r="AE2" i="17"/>
  <c r="AJ2" i="17"/>
  <c r="AF2" i="17"/>
  <c r="AB2" i="17"/>
  <c r="AG2" i="17"/>
  <c r="AC2" i="17"/>
  <c r="AA2" i="17"/>
  <c r="O2" i="17" s="1"/>
  <c r="D2" i="20" s="1"/>
  <c r="I141" i="6"/>
  <c r="I140" i="6"/>
  <c r="I142" i="6"/>
  <c r="J125" i="6"/>
  <c r="J132" i="6"/>
  <c r="I175" i="6"/>
  <c r="I115" i="6"/>
  <c r="I114" i="6"/>
  <c r="I116" i="6"/>
  <c r="I159" i="6"/>
  <c r="I163" i="6"/>
  <c r="I158" i="6"/>
  <c r="I103" i="6"/>
  <c r="I138" i="6"/>
  <c r="J89" i="6"/>
  <c r="J91" i="6"/>
  <c r="J88" i="6"/>
  <c r="J90" i="6"/>
  <c r="I57" i="6"/>
  <c r="I59" i="6"/>
  <c r="I61" i="6"/>
  <c r="I56" i="6"/>
  <c r="I58" i="6"/>
  <c r="I60" i="6"/>
  <c r="I9" i="6"/>
  <c r="I11" i="6"/>
  <c r="I13" i="6"/>
  <c r="I10" i="6"/>
  <c r="I12" i="6"/>
  <c r="I109" i="6"/>
  <c r="I108" i="6"/>
  <c r="I110" i="6"/>
  <c r="I136" i="6"/>
  <c r="I93" i="6"/>
  <c r="I95" i="6"/>
  <c r="I92" i="6"/>
  <c r="I94" i="6"/>
  <c r="I101" i="6"/>
  <c r="I143" i="6"/>
  <c r="I144" i="6"/>
  <c r="I152" i="6"/>
  <c r="I171" i="6"/>
  <c r="I173" i="6"/>
  <c r="I172" i="6"/>
  <c r="I39" i="6"/>
  <c r="I41" i="6"/>
  <c r="I43" i="6"/>
  <c r="I38" i="6"/>
  <c r="I40" i="6"/>
  <c r="I42" i="6"/>
  <c r="I131" i="6"/>
  <c r="I124" i="6"/>
  <c r="I105" i="6"/>
  <c r="I104" i="6"/>
  <c r="I106" i="6"/>
  <c r="I134" i="6"/>
  <c r="K179" i="6"/>
  <c r="K180" i="6"/>
  <c r="I3" i="6"/>
  <c r="I7" i="6"/>
  <c r="I4" i="6"/>
  <c r="I6" i="6"/>
  <c r="I2" i="6"/>
  <c r="K177" i="6"/>
  <c r="K176" i="6"/>
  <c r="K178" i="6"/>
  <c r="J27" i="6"/>
  <c r="J29" i="6"/>
  <c r="J31" i="6"/>
  <c r="J26" i="6"/>
  <c r="J28" i="6"/>
  <c r="J30" i="6"/>
  <c r="J126" i="6"/>
  <c r="J33" i="6"/>
  <c r="J35" i="6"/>
  <c r="J37" i="6"/>
  <c r="J32" i="6"/>
  <c r="J34" i="6"/>
  <c r="J36" i="6"/>
  <c r="I118" i="6"/>
  <c r="I147" i="6"/>
  <c r="I148" i="6"/>
  <c r="J165" i="6"/>
  <c r="J164" i="6"/>
  <c r="J166" i="6"/>
  <c r="K129" i="6"/>
  <c r="K133" i="6"/>
  <c r="J105" i="6"/>
  <c r="J104" i="6"/>
  <c r="J106" i="6"/>
  <c r="I99" i="6"/>
  <c r="I100" i="6"/>
  <c r="J131" i="6"/>
  <c r="J124" i="6"/>
  <c r="I45" i="6"/>
  <c r="I47" i="6"/>
  <c r="I49" i="6"/>
  <c r="I44" i="6"/>
  <c r="I46" i="6"/>
  <c r="I48" i="6"/>
  <c r="I145" i="6"/>
  <c r="I153" i="6"/>
  <c r="I155" i="6"/>
  <c r="I157" i="6"/>
  <c r="I73" i="6"/>
  <c r="I75" i="6"/>
  <c r="I72" i="6"/>
  <c r="I74" i="6"/>
  <c r="I102" i="6"/>
  <c r="I121" i="6"/>
  <c r="I123" i="6"/>
  <c r="I122" i="6"/>
  <c r="K161" i="6"/>
  <c r="K160" i="6"/>
  <c r="K162" i="6"/>
  <c r="J69" i="6"/>
  <c r="J71" i="6"/>
  <c r="J68" i="6"/>
  <c r="J70" i="6"/>
  <c r="J39" i="6"/>
  <c r="J41" i="6"/>
  <c r="J43" i="6"/>
  <c r="J38" i="6"/>
  <c r="J40" i="6"/>
  <c r="J42" i="6"/>
  <c r="J117" i="6"/>
  <c r="J146" i="6"/>
  <c r="J154" i="6"/>
  <c r="J156" i="6"/>
  <c r="J85" i="6"/>
  <c r="J87" i="6"/>
  <c r="J84" i="6"/>
  <c r="J86" i="6"/>
  <c r="J51" i="6"/>
  <c r="J53" i="6"/>
  <c r="J55" i="6"/>
  <c r="J50" i="6"/>
  <c r="J52" i="6"/>
  <c r="J54" i="6"/>
  <c r="K181" i="6"/>
  <c r="J138" i="6"/>
  <c r="J120" i="6"/>
  <c r="K89" i="6"/>
  <c r="K91" i="6"/>
  <c r="K88" i="6"/>
  <c r="K90" i="6"/>
  <c r="J134" i="6"/>
  <c r="I174" i="6"/>
  <c r="K128" i="6"/>
  <c r="I81" i="6"/>
  <c r="I83" i="6"/>
  <c r="I80" i="6"/>
  <c r="I82" i="6"/>
  <c r="K137" i="6"/>
  <c r="I63" i="6"/>
  <c r="I65" i="6"/>
  <c r="I67" i="6"/>
  <c r="I62" i="6"/>
  <c r="I64" i="6"/>
  <c r="I66" i="6"/>
  <c r="I15" i="6"/>
  <c r="I17" i="6"/>
  <c r="I19" i="6"/>
  <c r="I14" i="6"/>
  <c r="I16" i="6"/>
  <c r="I18" i="6"/>
  <c r="I107" i="6"/>
  <c r="I130" i="6"/>
  <c r="I149" i="6"/>
  <c r="I151" i="6"/>
  <c r="I150" i="6"/>
  <c r="I77" i="6"/>
  <c r="I79" i="6"/>
  <c r="I76" i="6"/>
  <c r="I78" i="6"/>
  <c r="I97" i="6"/>
  <c r="I96" i="6"/>
  <c r="I98" i="6"/>
  <c r="I120" i="6"/>
  <c r="I33" i="6"/>
  <c r="I35" i="6"/>
  <c r="I37" i="6"/>
  <c r="I32" i="6"/>
  <c r="I34" i="6"/>
  <c r="I36" i="6"/>
  <c r="I21" i="6"/>
  <c r="I23" i="6"/>
  <c r="I25" i="6"/>
  <c r="I20" i="6"/>
  <c r="I22" i="6"/>
  <c r="I24" i="6"/>
  <c r="I111" i="6"/>
  <c r="I113" i="6"/>
  <c r="I112" i="6"/>
  <c r="I127" i="6"/>
  <c r="I135" i="6"/>
  <c r="I183" i="6"/>
  <c r="I182" i="6"/>
  <c r="I119" i="6"/>
  <c r="I139" i="6"/>
  <c r="I167" i="6"/>
  <c r="I169" i="6"/>
  <c r="I168" i="6"/>
  <c r="I170" i="6"/>
  <c r="I51" i="6"/>
  <c r="I53" i="6"/>
  <c r="I55" i="6"/>
  <c r="I50" i="6"/>
  <c r="I52" i="6"/>
  <c r="I54" i="6"/>
  <c r="I27" i="6"/>
  <c r="I29" i="6"/>
  <c r="I31" i="6"/>
  <c r="I26" i="6"/>
  <c r="I28" i="6"/>
  <c r="I30" i="6"/>
  <c r="I85" i="6"/>
  <c r="I87" i="6"/>
  <c r="I84" i="6"/>
  <c r="I86" i="6"/>
  <c r="I125" i="6"/>
  <c r="I132" i="6"/>
  <c r="I21" i="5"/>
  <c r="J126" i="5"/>
  <c r="I16" i="5"/>
  <c r="I7" i="5"/>
  <c r="I76" i="5"/>
  <c r="I110" i="5"/>
  <c r="I23" i="5"/>
  <c r="I35" i="5"/>
  <c r="I65" i="5"/>
  <c r="I15" i="5"/>
  <c r="I5" i="5"/>
  <c r="I50" i="5"/>
  <c r="I48" i="5"/>
  <c r="I82" i="5"/>
  <c r="I136" i="5"/>
  <c r="I37" i="5"/>
  <c r="I61" i="5"/>
  <c r="I95" i="5"/>
  <c r="I121" i="5"/>
  <c r="I125" i="5"/>
  <c r="I20" i="5"/>
  <c r="I46" i="5"/>
  <c r="I54" i="5"/>
  <c r="I106" i="5"/>
  <c r="I41" i="5"/>
  <c r="I39" i="5"/>
  <c r="I9" i="5"/>
  <c r="I72" i="5"/>
  <c r="I80" i="5"/>
  <c r="I31" i="5"/>
  <c r="I91" i="5"/>
  <c r="I129" i="5"/>
  <c r="I99" i="5"/>
  <c r="J69" i="5"/>
  <c r="I24" i="5"/>
  <c r="I13" i="5"/>
  <c r="I128" i="5"/>
  <c r="J68" i="5"/>
  <c r="J109" i="5"/>
  <c r="I94" i="5"/>
  <c r="J79" i="5"/>
  <c r="I34" i="5"/>
  <c r="I4" i="5"/>
  <c r="I104" i="5"/>
  <c r="J119" i="5"/>
  <c r="J44" i="5"/>
  <c r="J89" i="5"/>
  <c r="J59" i="5"/>
  <c r="J14" i="5"/>
  <c r="I56" i="5"/>
  <c r="J26" i="5"/>
  <c r="J11" i="5"/>
  <c r="J100" i="5"/>
  <c r="J70" i="5"/>
  <c r="J55" i="5"/>
  <c r="J10" i="5"/>
  <c r="J12" i="5"/>
  <c r="J17" i="5"/>
  <c r="I2" i="5"/>
  <c r="J5" i="6" s="1"/>
  <c r="AF74" i="20" l="1"/>
  <c r="AB3" i="20"/>
  <c r="AF3" i="20"/>
  <c r="AJ3" i="20"/>
  <c r="AH3" i="20"/>
  <c r="AC3" i="20"/>
  <c r="AG3" i="20"/>
  <c r="AI3" i="20"/>
  <c r="J8" i="6"/>
  <c r="J3" i="5"/>
  <c r="K8" i="6" s="1"/>
  <c r="AB11" i="20"/>
  <c r="AC11" i="20"/>
  <c r="AI11" i="20"/>
  <c r="AJ106" i="20"/>
  <c r="AJ11" i="20"/>
  <c r="X33" i="20" s="1"/>
  <c r="AE69" i="20"/>
  <c r="AI69" i="20"/>
  <c r="AH69" i="20"/>
  <c r="AI74" i="20"/>
  <c r="AH74" i="20"/>
  <c r="AI106" i="20"/>
  <c r="AH106" i="20"/>
  <c r="AI136" i="20"/>
  <c r="W183" i="20" s="1"/>
  <c r="AD136" i="20"/>
  <c r="AH136" i="20"/>
  <c r="AH110" i="20"/>
  <c r="AF110" i="20"/>
  <c r="AH35" i="20"/>
  <c r="AG136" i="20"/>
  <c r="AI114" i="20"/>
  <c r="AD69" i="20"/>
  <c r="R132" i="20" s="1"/>
  <c r="AE74" i="20"/>
  <c r="AD74" i="20"/>
  <c r="AE106" i="20"/>
  <c r="AD106" i="20"/>
  <c r="AE110" i="20"/>
  <c r="AC110" i="20"/>
  <c r="AJ110" i="20"/>
  <c r="AI110" i="20"/>
  <c r="W158" i="20" s="1"/>
  <c r="AG110" i="20"/>
  <c r="AE136" i="20"/>
  <c r="AC114" i="20"/>
  <c r="AB114" i="20"/>
  <c r="AJ114" i="20"/>
  <c r="AH11" i="20"/>
  <c r="AC69" i="20"/>
  <c r="AG69" i="20"/>
  <c r="U132" i="20" s="1"/>
  <c r="AF69" i="20"/>
  <c r="AC74" i="20"/>
  <c r="AB74" i="20"/>
  <c r="AJ74" i="20"/>
  <c r="AG106" i="20"/>
  <c r="AF106" i="20"/>
  <c r="V158" i="20"/>
  <c r="V163" i="20"/>
  <c r="V159" i="20"/>
  <c r="T158" i="20"/>
  <c r="T163" i="20"/>
  <c r="T159" i="20"/>
  <c r="V96" i="20"/>
  <c r="V98" i="20"/>
  <c r="V97" i="20"/>
  <c r="W161" i="20"/>
  <c r="W160" i="20"/>
  <c r="W162" i="20"/>
  <c r="P33" i="20"/>
  <c r="P37" i="20"/>
  <c r="P34" i="20"/>
  <c r="P35" i="20"/>
  <c r="P32" i="20"/>
  <c r="P36" i="20"/>
  <c r="S159" i="20"/>
  <c r="S158" i="20"/>
  <c r="S163" i="20"/>
  <c r="Q158" i="20"/>
  <c r="Q163" i="20"/>
  <c r="Q159" i="20"/>
  <c r="X158" i="20"/>
  <c r="X163" i="20"/>
  <c r="X159" i="20"/>
  <c r="T160" i="20"/>
  <c r="T162" i="20"/>
  <c r="T161" i="20"/>
  <c r="P125" i="20"/>
  <c r="P132" i="20"/>
  <c r="X125" i="20"/>
  <c r="X132" i="20"/>
  <c r="U159" i="20"/>
  <c r="U158" i="20"/>
  <c r="U163" i="20"/>
  <c r="Q32" i="20"/>
  <c r="Q34" i="20"/>
  <c r="Q36" i="20"/>
  <c r="Q33" i="20"/>
  <c r="Q35" i="20"/>
  <c r="Q37" i="20"/>
  <c r="X34" i="20"/>
  <c r="S125" i="20"/>
  <c r="S132" i="20"/>
  <c r="W125" i="20"/>
  <c r="W132" i="20"/>
  <c r="V125" i="20"/>
  <c r="V132" i="20"/>
  <c r="R159" i="20"/>
  <c r="R158" i="20"/>
  <c r="R163" i="20"/>
  <c r="P159" i="20"/>
  <c r="P158" i="20"/>
  <c r="P163" i="20"/>
  <c r="W32" i="20"/>
  <c r="W34" i="20"/>
  <c r="W36" i="20"/>
  <c r="W33" i="20"/>
  <c r="W35" i="20"/>
  <c r="W37" i="20"/>
  <c r="V32" i="20"/>
  <c r="V34" i="20"/>
  <c r="V36" i="20"/>
  <c r="V33" i="20"/>
  <c r="V35" i="20"/>
  <c r="V37" i="20"/>
  <c r="Q125" i="20"/>
  <c r="Q132" i="20"/>
  <c r="T125" i="20"/>
  <c r="T132" i="20"/>
  <c r="U3" i="17"/>
  <c r="J3" i="20" s="1"/>
  <c r="U5" i="17"/>
  <c r="J5" i="20" s="1"/>
  <c r="U7" i="17"/>
  <c r="J7" i="20" s="1"/>
  <c r="U4" i="17"/>
  <c r="J4" i="20" s="1"/>
  <c r="U6" i="17"/>
  <c r="J6" i="20" s="1"/>
  <c r="U2" i="17"/>
  <c r="J2" i="20" s="1"/>
  <c r="S3" i="17"/>
  <c r="H3" i="20" s="1"/>
  <c r="S5" i="17"/>
  <c r="H5" i="20" s="1"/>
  <c r="S7" i="17"/>
  <c r="H7" i="20" s="1"/>
  <c r="S4" i="17"/>
  <c r="H4" i="20" s="1"/>
  <c r="S6" i="17"/>
  <c r="H6" i="20" s="1"/>
  <c r="S2" i="17"/>
  <c r="H2" i="20" s="1"/>
  <c r="AE2" i="20" s="1"/>
  <c r="V80" i="17"/>
  <c r="K80" i="20" s="1"/>
  <c r="V82" i="17"/>
  <c r="K82" i="20" s="1"/>
  <c r="V81" i="17"/>
  <c r="K81" i="20" s="1"/>
  <c r="V83" i="17"/>
  <c r="K83" i="20" s="1"/>
  <c r="V146" i="17"/>
  <c r="K146" i="20" s="1"/>
  <c r="V154" i="17"/>
  <c r="K154" i="20" s="1"/>
  <c r="V156" i="17"/>
  <c r="K156" i="20" s="1"/>
  <c r="R100" i="17"/>
  <c r="G100" i="20" s="1"/>
  <c r="R99" i="17"/>
  <c r="G99" i="20" s="1"/>
  <c r="W112" i="17"/>
  <c r="L112" i="20" s="1"/>
  <c r="W111" i="17"/>
  <c r="L111" i="20" s="1"/>
  <c r="W113" i="17"/>
  <c r="L113" i="20" s="1"/>
  <c r="S144" i="17"/>
  <c r="H144" i="20" s="1"/>
  <c r="S152" i="17"/>
  <c r="H152" i="20" s="1"/>
  <c r="AE95" i="20" s="1"/>
  <c r="S143" i="17"/>
  <c r="H143" i="20" s="1"/>
  <c r="V147" i="17"/>
  <c r="K147" i="20" s="1"/>
  <c r="V148" i="17"/>
  <c r="K148" i="20" s="1"/>
  <c r="R167" i="17"/>
  <c r="G167" i="20" s="1"/>
  <c r="R169" i="17"/>
  <c r="G169" i="20" s="1"/>
  <c r="R168" i="17"/>
  <c r="G168" i="20" s="1"/>
  <c r="R170" i="17"/>
  <c r="G170" i="20" s="1"/>
  <c r="W114" i="17"/>
  <c r="L114" i="20" s="1"/>
  <c r="W116" i="17"/>
  <c r="L116" i="20" s="1"/>
  <c r="W115" i="17"/>
  <c r="L115" i="20" s="1"/>
  <c r="S164" i="17"/>
  <c r="H164" i="20" s="1"/>
  <c r="S166" i="17"/>
  <c r="H166" i="20" s="1"/>
  <c r="AE119" i="20" s="1"/>
  <c r="S165" i="17"/>
  <c r="H165" i="20" s="1"/>
  <c r="V177" i="17"/>
  <c r="K177" i="20" s="1"/>
  <c r="V176" i="17"/>
  <c r="K176" i="20" s="1"/>
  <c r="V178" i="17"/>
  <c r="K178" i="20" s="1"/>
  <c r="R121" i="17"/>
  <c r="G121" i="20" s="1"/>
  <c r="R123" i="17"/>
  <c r="G123" i="20" s="1"/>
  <c r="AD65" i="20" s="1"/>
  <c r="R122" i="17"/>
  <c r="G122" i="20" s="1"/>
  <c r="W69" i="17"/>
  <c r="L69" i="20" s="1"/>
  <c r="W71" i="17"/>
  <c r="L71" i="20" s="1"/>
  <c r="W68" i="17"/>
  <c r="L68" i="20" s="1"/>
  <c r="W70" i="17"/>
  <c r="L70" i="20" s="1"/>
  <c r="S73" i="17"/>
  <c r="H73" i="20" s="1"/>
  <c r="S75" i="17"/>
  <c r="H75" i="20" s="1"/>
  <c r="S72" i="17"/>
  <c r="H72" i="20" s="1"/>
  <c r="AE20" i="20" s="1"/>
  <c r="S74" i="17"/>
  <c r="H74" i="20" s="1"/>
  <c r="V76" i="17"/>
  <c r="K76" i="20" s="1"/>
  <c r="V78" i="17"/>
  <c r="K78" i="20" s="1"/>
  <c r="V77" i="17"/>
  <c r="K77" i="20" s="1"/>
  <c r="V79" i="17"/>
  <c r="K79" i="20" s="1"/>
  <c r="R84" i="17"/>
  <c r="G84" i="20" s="1"/>
  <c r="R86" i="17"/>
  <c r="G86" i="20" s="1"/>
  <c r="R85" i="17"/>
  <c r="G85" i="20" s="1"/>
  <c r="R87" i="17"/>
  <c r="G87" i="20" s="1"/>
  <c r="W89" i="17"/>
  <c r="L89" i="20" s="1"/>
  <c r="W91" i="17"/>
  <c r="L91" i="20" s="1"/>
  <c r="W88" i="17"/>
  <c r="L88" i="20" s="1"/>
  <c r="W90" i="17"/>
  <c r="L90" i="20" s="1"/>
  <c r="S108" i="17"/>
  <c r="H108" i="20" s="1"/>
  <c r="S110" i="17"/>
  <c r="H110" i="20" s="1"/>
  <c r="S109" i="17"/>
  <c r="H109" i="20" s="1"/>
  <c r="V131" i="17"/>
  <c r="K131" i="20" s="1"/>
  <c r="V124" i="17"/>
  <c r="K124" i="20" s="1"/>
  <c r="AH68" i="20" s="1"/>
  <c r="R171" i="17"/>
  <c r="G171" i="20" s="1"/>
  <c r="R173" i="17"/>
  <c r="G173" i="20" s="1"/>
  <c r="AD125" i="20" s="1"/>
  <c r="R172" i="17"/>
  <c r="G172" i="20" s="1"/>
  <c r="W180" i="17"/>
  <c r="L180" i="20" s="1"/>
  <c r="W179" i="17"/>
  <c r="L179" i="20" s="1"/>
  <c r="Q3" i="17"/>
  <c r="F3" i="20" s="1"/>
  <c r="Q5" i="17"/>
  <c r="F5" i="20" s="1"/>
  <c r="Q7" i="17"/>
  <c r="F7" i="20" s="1"/>
  <c r="Q4" i="17"/>
  <c r="F4" i="20" s="1"/>
  <c r="Q6" i="17"/>
  <c r="F6" i="20" s="1"/>
  <c r="Q2" i="17"/>
  <c r="F2" i="20" s="1"/>
  <c r="P4" i="17"/>
  <c r="E4" i="20" s="1"/>
  <c r="P6" i="17"/>
  <c r="E6" i="20" s="1"/>
  <c r="P3" i="17"/>
  <c r="E3" i="20" s="1"/>
  <c r="P5" i="17"/>
  <c r="E5" i="20" s="1"/>
  <c r="P7" i="17"/>
  <c r="E7" i="20" s="1"/>
  <c r="P2" i="17"/>
  <c r="E2" i="20" s="1"/>
  <c r="X4" i="17"/>
  <c r="M4" i="20" s="1"/>
  <c r="X6" i="17"/>
  <c r="M6" i="20" s="1"/>
  <c r="X3" i="17"/>
  <c r="M3" i="20" s="1"/>
  <c r="X5" i="17"/>
  <c r="M5" i="20" s="1"/>
  <c r="X7" i="17"/>
  <c r="M7" i="20" s="1"/>
  <c r="X2" i="17"/>
  <c r="M2" i="20" s="1"/>
  <c r="W3" i="17"/>
  <c r="L3" i="20" s="1"/>
  <c r="W5" i="17"/>
  <c r="L5" i="20" s="1"/>
  <c r="W7" i="17"/>
  <c r="L7" i="20" s="1"/>
  <c r="W4" i="17"/>
  <c r="L4" i="20" s="1"/>
  <c r="W6" i="17"/>
  <c r="L6" i="20" s="1"/>
  <c r="W2" i="17"/>
  <c r="L2" i="20" s="1"/>
  <c r="V4" i="17"/>
  <c r="K4" i="20" s="1"/>
  <c r="V6" i="17"/>
  <c r="K6" i="20" s="1"/>
  <c r="V3" i="17"/>
  <c r="K3" i="20" s="1"/>
  <c r="V5" i="17"/>
  <c r="K5" i="20" s="1"/>
  <c r="V7" i="17"/>
  <c r="K7" i="20" s="1"/>
  <c r="V2" i="17"/>
  <c r="K2" i="20" s="1"/>
  <c r="S81" i="17"/>
  <c r="H81" i="20" s="1"/>
  <c r="S83" i="17"/>
  <c r="H83" i="20" s="1"/>
  <c r="S80" i="17"/>
  <c r="H80" i="20" s="1"/>
  <c r="S82" i="17"/>
  <c r="H82" i="20" s="1"/>
  <c r="R80" i="17"/>
  <c r="G80" i="20" s="1"/>
  <c r="R82" i="17"/>
  <c r="G82" i="20" s="1"/>
  <c r="R81" i="17"/>
  <c r="G81" i="20" s="1"/>
  <c r="R83" i="17"/>
  <c r="G83" i="20" s="1"/>
  <c r="W93" i="17"/>
  <c r="L93" i="20" s="1"/>
  <c r="W95" i="17"/>
  <c r="L95" i="20" s="1"/>
  <c r="W92" i="17"/>
  <c r="L92" i="20" s="1"/>
  <c r="W94" i="17"/>
  <c r="L94" i="20" s="1"/>
  <c r="V92" i="17"/>
  <c r="K92" i="20" s="1"/>
  <c r="V94" i="17"/>
  <c r="K94" i="20" s="1"/>
  <c r="V93" i="17"/>
  <c r="K93" i="20" s="1"/>
  <c r="V95" i="17"/>
  <c r="K95" i="20" s="1"/>
  <c r="S146" i="17"/>
  <c r="H146" i="20" s="1"/>
  <c r="S154" i="17"/>
  <c r="H154" i="20" s="1"/>
  <c r="S156" i="17"/>
  <c r="H156" i="20" s="1"/>
  <c r="R146" i="17"/>
  <c r="G146" i="20" s="1"/>
  <c r="R154" i="17"/>
  <c r="G154" i="20" s="1"/>
  <c r="R156" i="17"/>
  <c r="G156" i="20" s="1"/>
  <c r="W99" i="17"/>
  <c r="L99" i="20" s="1"/>
  <c r="W100" i="17"/>
  <c r="L100" i="20" s="1"/>
  <c r="V100" i="17"/>
  <c r="K100" i="20" s="1"/>
  <c r="V99" i="17"/>
  <c r="K99" i="20" s="1"/>
  <c r="S112" i="17"/>
  <c r="H112" i="20" s="1"/>
  <c r="S111" i="17"/>
  <c r="H111" i="20" s="1"/>
  <c r="S113" i="17"/>
  <c r="H113" i="20" s="1"/>
  <c r="R111" i="17"/>
  <c r="G111" i="20" s="1"/>
  <c r="R113" i="17"/>
  <c r="G113" i="20" s="1"/>
  <c r="R112" i="17"/>
  <c r="G112" i="20" s="1"/>
  <c r="W144" i="17"/>
  <c r="L144" i="20" s="1"/>
  <c r="W152" i="17"/>
  <c r="L152" i="20" s="1"/>
  <c r="W143" i="17"/>
  <c r="L143" i="20" s="1"/>
  <c r="V143" i="17"/>
  <c r="K143" i="20" s="1"/>
  <c r="V144" i="17"/>
  <c r="K144" i="20" s="1"/>
  <c r="V152" i="17"/>
  <c r="K152" i="20" s="1"/>
  <c r="S148" i="17"/>
  <c r="H148" i="20" s="1"/>
  <c r="S147" i="17"/>
  <c r="H147" i="20" s="1"/>
  <c r="R147" i="17"/>
  <c r="G147" i="20" s="1"/>
  <c r="R148" i="17"/>
  <c r="G148" i="20" s="1"/>
  <c r="W168" i="17"/>
  <c r="L168" i="20" s="1"/>
  <c r="W170" i="17"/>
  <c r="L170" i="20" s="1"/>
  <c r="W167" i="17"/>
  <c r="L167" i="20" s="1"/>
  <c r="W169" i="17"/>
  <c r="L169" i="20" s="1"/>
  <c r="V167" i="17"/>
  <c r="K167" i="20" s="1"/>
  <c r="V169" i="17"/>
  <c r="K169" i="20" s="1"/>
  <c r="V168" i="17"/>
  <c r="K168" i="20" s="1"/>
  <c r="V170" i="17"/>
  <c r="K170" i="20" s="1"/>
  <c r="S114" i="17"/>
  <c r="H114" i="20" s="1"/>
  <c r="S116" i="17"/>
  <c r="H116" i="20" s="1"/>
  <c r="S115" i="17"/>
  <c r="H115" i="20" s="1"/>
  <c r="R115" i="17"/>
  <c r="G115" i="20" s="1"/>
  <c r="R114" i="17"/>
  <c r="G114" i="20" s="1"/>
  <c r="R116" i="17"/>
  <c r="G116" i="20" s="1"/>
  <c r="W164" i="17"/>
  <c r="L164" i="20" s="1"/>
  <c r="W166" i="17"/>
  <c r="L166" i="20" s="1"/>
  <c r="W165" i="17"/>
  <c r="L165" i="20" s="1"/>
  <c r="V165" i="17"/>
  <c r="K165" i="20" s="1"/>
  <c r="V164" i="17"/>
  <c r="K164" i="20" s="1"/>
  <c r="V166" i="17"/>
  <c r="K166" i="20" s="1"/>
  <c r="S176" i="17"/>
  <c r="H176" i="20" s="1"/>
  <c r="S178" i="17"/>
  <c r="H178" i="20" s="1"/>
  <c r="S177" i="17"/>
  <c r="H177" i="20" s="1"/>
  <c r="R177" i="17"/>
  <c r="G177" i="20" s="1"/>
  <c r="R176" i="17"/>
  <c r="G176" i="20" s="1"/>
  <c r="R178" i="17"/>
  <c r="G178" i="20" s="1"/>
  <c r="W122" i="17"/>
  <c r="L122" i="20" s="1"/>
  <c r="W121" i="17"/>
  <c r="L121" i="20" s="1"/>
  <c r="W123" i="17"/>
  <c r="L123" i="20" s="1"/>
  <c r="V121" i="17"/>
  <c r="K121" i="20" s="1"/>
  <c r="V123" i="17"/>
  <c r="K123" i="20" s="1"/>
  <c r="V122" i="17"/>
  <c r="K122" i="20" s="1"/>
  <c r="S69" i="17"/>
  <c r="H69" i="20" s="1"/>
  <c r="S71" i="17"/>
  <c r="H71" i="20" s="1"/>
  <c r="S68" i="17"/>
  <c r="H68" i="20" s="1"/>
  <c r="S70" i="17"/>
  <c r="H70" i="20" s="1"/>
  <c r="R68" i="17"/>
  <c r="G68" i="20" s="1"/>
  <c r="R70" i="17"/>
  <c r="G70" i="20" s="1"/>
  <c r="R69" i="17"/>
  <c r="G69" i="20" s="1"/>
  <c r="R71" i="17"/>
  <c r="G71" i="20" s="1"/>
  <c r="W73" i="17"/>
  <c r="L73" i="20" s="1"/>
  <c r="W75" i="17"/>
  <c r="L75" i="20" s="1"/>
  <c r="W72" i="17"/>
  <c r="L72" i="20" s="1"/>
  <c r="W74" i="17"/>
  <c r="L74" i="20" s="1"/>
  <c r="V72" i="17"/>
  <c r="K72" i="20" s="1"/>
  <c r="V74" i="17"/>
  <c r="K74" i="20" s="1"/>
  <c r="V73" i="17"/>
  <c r="K73" i="20" s="1"/>
  <c r="V75" i="17"/>
  <c r="K75" i="20" s="1"/>
  <c r="S77" i="17"/>
  <c r="H77" i="20" s="1"/>
  <c r="S79" i="17"/>
  <c r="H79" i="20" s="1"/>
  <c r="S76" i="17"/>
  <c r="H76" i="20" s="1"/>
  <c r="S78" i="17"/>
  <c r="H78" i="20" s="1"/>
  <c r="R76" i="17"/>
  <c r="G76" i="20" s="1"/>
  <c r="R78" i="17"/>
  <c r="G78" i="20" s="1"/>
  <c r="R77" i="17"/>
  <c r="G77" i="20" s="1"/>
  <c r="R79" i="17"/>
  <c r="G79" i="20" s="1"/>
  <c r="W85" i="17"/>
  <c r="L85" i="20" s="1"/>
  <c r="W87" i="17"/>
  <c r="L87" i="20" s="1"/>
  <c r="W84" i="17"/>
  <c r="L84" i="20" s="1"/>
  <c r="W86" i="17"/>
  <c r="L86" i="20" s="1"/>
  <c r="V84" i="17"/>
  <c r="K84" i="20" s="1"/>
  <c r="V86" i="17"/>
  <c r="K86" i="20" s="1"/>
  <c r="V85" i="17"/>
  <c r="K85" i="20" s="1"/>
  <c r="V87" i="17"/>
  <c r="K87" i="20" s="1"/>
  <c r="S89" i="17"/>
  <c r="H89" i="20" s="1"/>
  <c r="S91" i="17"/>
  <c r="H91" i="20" s="1"/>
  <c r="S88" i="17"/>
  <c r="H88" i="20" s="1"/>
  <c r="S90" i="17"/>
  <c r="H90" i="20" s="1"/>
  <c r="R88" i="17"/>
  <c r="G88" i="20" s="1"/>
  <c r="R90" i="17"/>
  <c r="G90" i="20" s="1"/>
  <c r="R89" i="17"/>
  <c r="G89" i="20" s="1"/>
  <c r="R91" i="17"/>
  <c r="G91" i="20" s="1"/>
  <c r="W108" i="17"/>
  <c r="L108" i="20" s="1"/>
  <c r="W110" i="17"/>
  <c r="L110" i="20" s="1"/>
  <c r="W109" i="17"/>
  <c r="L109" i="20" s="1"/>
  <c r="V109" i="17"/>
  <c r="K109" i="20" s="1"/>
  <c r="V108" i="17"/>
  <c r="K108" i="20" s="1"/>
  <c r="V110" i="17"/>
  <c r="K110" i="20" s="1"/>
  <c r="S124" i="17"/>
  <c r="H124" i="20" s="1"/>
  <c r="S131" i="17"/>
  <c r="H131" i="20" s="1"/>
  <c r="R131" i="17"/>
  <c r="G131" i="20" s="1"/>
  <c r="R124" i="17"/>
  <c r="G124" i="20" s="1"/>
  <c r="W172" i="17"/>
  <c r="L172" i="20" s="1"/>
  <c r="W171" i="17"/>
  <c r="L171" i="20" s="1"/>
  <c r="W173" i="17"/>
  <c r="L173" i="20" s="1"/>
  <c r="V171" i="17"/>
  <c r="K171" i="20" s="1"/>
  <c r="V173" i="17"/>
  <c r="K173" i="20" s="1"/>
  <c r="V172" i="17"/>
  <c r="K172" i="20" s="1"/>
  <c r="S180" i="17"/>
  <c r="H180" i="20" s="1"/>
  <c r="S179" i="17"/>
  <c r="H179" i="20" s="1"/>
  <c r="R179" i="17"/>
  <c r="G179" i="20" s="1"/>
  <c r="R180" i="17"/>
  <c r="G180" i="20" s="1"/>
  <c r="U81" i="17"/>
  <c r="J81" i="20" s="1"/>
  <c r="U83" i="17"/>
  <c r="J83" i="20" s="1"/>
  <c r="U80" i="17"/>
  <c r="J80" i="20" s="1"/>
  <c r="U82" i="17"/>
  <c r="J82" i="20" s="1"/>
  <c r="T80" i="17"/>
  <c r="I80" i="20" s="1"/>
  <c r="T82" i="17"/>
  <c r="I82" i="20" s="1"/>
  <c r="T81" i="17"/>
  <c r="I81" i="20" s="1"/>
  <c r="T83" i="17"/>
  <c r="I83" i="20" s="1"/>
  <c r="Q93" i="17"/>
  <c r="F93" i="20" s="1"/>
  <c r="Q95" i="17"/>
  <c r="F95" i="20" s="1"/>
  <c r="Q92" i="17"/>
  <c r="F92" i="20" s="1"/>
  <c r="Q94" i="17"/>
  <c r="F94" i="20" s="1"/>
  <c r="P92" i="17"/>
  <c r="E92" i="20" s="1"/>
  <c r="P94" i="17"/>
  <c r="E94" i="20" s="1"/>
  <c r="P93" i="17"/>
  <c r="E93" i="20" s="1"/>
  <c r="P95" i="17"/>
  <c r="E95" i="20" s="1"/>
  <c r="X92" i="17"/>
  <c r="M92" i="20" s="1"/>
  <c r="X94" i="17"/>
  <c r="M94" i="20" s="1"/>
  <c r="X93" i="17"/>
  <c r="M93" i="20" s="1"/>
  <c r="X95" i="17"/>
  <c r="M95" i="20" s="1"/>
  <c r="U146" i="17"/>
  <c r="J146" i="20" s="1"/>
  <c r="U154" i="17"/>
  <c r="J154" i="20" s="1"/>
  <c r="U156" i="17"/>
  <c r="J156" i="20" s="1"/>
  <c r="T146" i="17"/>
  <c r="I146" i="20" s="1"/>
  <c r="T154" i="17"/>
  <c r="I154" i="20" s="1"/>
  <c r="T156" i="17"/>
  <c r="I156" i="20" s="1"/>
  <c r="Q99" i="17"/>
  <c r="F99" i="20" s="1"/>
  <c r="Q100" i="17"/>
  <c r="F100" i="20" s="1"/>
  <c r="P100" i="17"/>
  <c r="E100" i="20" s="1"/>
  <c r="P99" i="17"/>
  <c r="E99" i="20" s="1"/>
  <c r="X100" i="17"/>
  <c r="M100" i="20" s="1"/>
  <c r="X99" i="17"/>
  <c r="M99" i="20" s="1"/>
  <c r="U112" i="17"/>
  <c r="J112" i="20" s="1"/>
  <c r="U111" i="17"/>
  <c r="J111" i="20" s="1"/>
  <c r="U113" i="17"/>
  <c r="J113" i="20" s="1"/>
  <c r="T111" i="17"/>
  <c r="I111" i="20" s="1"/>
  <c r="T113" i="17"/>
  <c r="I113" i="20" s="1"/>
  <c r="T112" i="17"/>
  <c r="I112" i="20" s="1"/>
  <c r="Q144" i="17"/>
  <c r="F144" i="20" s="1"/>
  <c r="Q152" i="17"/>
  <c r="F152" i="20" s="1"/>
  <c r="Q143" i="17"/>
  <c r="F143" i="20" s="1"/>
  <c r="P143" i="17"/>
  <c r="E143" i="20" s="1"/>
  <c r="P144" i="17"/>
  <c r="E144" i="20" s="1"/>
  <c r="P152" i="17"/>
  <c r="E152" i="20" s="1"/>
  <c r="X143" i="17"/>
  <c r="M143" i="20" s="1"/>
  <c r="X144" i="17"/>
  <c r="M144" i="20" s="1"/>
  <c r="X152" i="17"/>
  <c r="M152" i="20" s="1"/>
  <c r="U148" i="17"/>
  <c r="J148" i="20" s="1"/>
  <c r="U147" i="17"/>
  <c r="J147" i="20" s="1"/>
  <c r="T147" i="17"/>
  <c r="I147" i="20" s="1"/>
  <c r="T148" i="17"/>
  <c r="I148" i="20" s="1"/>
  <c r="Q168" i="17"/>
  <c r="F168" i="20" s="1"/>
  <c r="Q170" i="17"/>
  <c r="F170" i="20" s="1"/>
  <c r="Q167" i="17"/>
  <c r="F167" i="20" s="1"/>
  <c r="Q169" i="17"/>
  <c r="F169" i="20" s="1"/>
  <c r="P167" i="17"/>
  <c r="E167" i="20" s="1"/>
  <c r="P169" i="17"/>
  <c r="E169" i="20" s="1"/>
  <c r="P168" i="17"/>
  <c r="E168" i="20" s="1"/>
  <c r="P170" i="17"/>
  <c r="E170" i="20" s="1"/>
  <c r="X167" i="17"/>
  <c r="M167" i="20" s="1"/>
  <c r="X169" i="17"/>
  <c r="M169" i="20" s="1"/>
  <c r="X168" i="17"/>
  <c r="M168" i="20" s="1"/>
  <c r="X170" i="17"/>
  <c r="M170" i="20" s="1"/>
  <c r="U114" i="17"/>
  <c r="J114" i="20" s="1"/>
  <c r="U116" i="17"/>
  <c r="J116" i="20" s="1"/>
  <c r="U115" i="17"/>
  <c r="J115" i="20" s="1"/>
  <c r="T115" i="17"/>
  <c r="I115" i="20" s="1"/>
  <c r="T114" i="17"/>
  <c r="I114" i="20" s="1"/>
  <c r="T116" i="17"/>
  <c r="I116" i="20" s="1"/>
  <c r="Q164" i="17"/>
  <c r="F164" i="20" s="1"/>
  <c r="Q166" i="17"/>
  <c r="F166" i="20" s="1"/>
  <c r="Q165" i="17"/>
  <c r="F165" i="20" s="1"/>
  <c r="P165" i="17"/>
  <c r="E165" i="20" s="1"/>
  <c r="P164" i="17"/>
  <c r="E164" i="20" s="1"/>
  <c r="P166" i="17"/>
  <c r="E166" i="20" s="1"/>
  <c r="X165" i="17"/>
  <c r="M165" i="20" s="1"/>
  <c r="X164" i="17"/>
  <c r="M164" i="20" s="1"/>
  <c r="X166" i="17"/>
  <c r="M166" i="20" s="1"/>
  <c r="U176" i="17"/>
  <c r="J176" i="20" s="1"/>
  <c r="U178" i="17"/>
  <c r="J178" i="20" s="1"/>
  <c r="U177" i="17"/>
  <c r="J177" i="20" s="1"/>
  <c r="T177" i="17"/>
  <c r="I177" i="20" s="1"/>
  <c r="T176" i="17"/>
  <c r="I176" i="20" s="1"/>
  <c r="T178" i="17"/>
  <c r="I178" i="20" s="1"/>
  <c r="Q122" i="17"/>
  <c r="F122" i="20" s="1"/>
  <c r="Q121" i="17"/>
  <c r="F121" i="20" s="1"/>
  <c r="Q123" i="17"/>
  <c r="F123" i="20" s="1"/>
  <c r="P121" i="17"/>
  <c r="E121" i="20" s="1"/>
  <c r="P123" i="17"/>
  <c r="E123" i="20" s="1"/>
  <c r="P122" i="17"/>
  <c r="E122" i="20" s="1"/>
  <c r="X121" i="17"/>
  <c r="M121" i="20" s="1"/>
  <c r="X123" i="17"/>
  <c r="M123" i="20" s="1"/>
  <c r="X122" i="17"/>
  <c r="M122" i="20" s="1"/>
  <c r="U69" i="17"/>
  <c r="J69" i="20" s="1"/>
  <c r="U71" i="17"/>
  <c r="J71" i="20" s="1"/>
  <c r="U68" i="17"/>
  <c r="J68" i="20" s="1"/>
  <c r="U70" i="17"/>
  <c r="J70" i="20" s="1"/>
  <c r="T68" i="17"/>
  <c r="I68" i="20" s="1"/>
  <c r="T70" i="17"/>
  <c r="I70" i="20" s="1"/>
  <c r="T69" i="17"/>
  <c r="I69" i="20" s="1"/>
  <c r="T71" i="17"/>
  <c r="I71" i="20" s="1"/>
  <c r="Q73" i="17"/>
  <c r="F73" i="20" s="1"/>
  <c r="Q75" i="17"/>
  <c r="F75" i="20" s="1"/>
  <c r="Q72" i="17"/>
  <c r="F72" i="20" s="1"/>
  <c r="Q74" i="17"/>
  <c r="F74" i="20" s="1"/>
  <c r="P72" i="17"/>
  <c r="E72" i="20" s="1"/>
  <c r="P74" i="17"/>
  <c r="E74" i="20" s="1"/>
  <c r="P73" i="17"/>
  <c r="E73" i="20" s="1"/>
  <c r="P75" i="17"/>
  <c r="E75" i="20" s="1"/>
  <c r="X72" i="17"/>
  <c r="M72" i="20" s="1"/>
  <c r="X74" i="17"/>
  <c r="M74" i="20" s="1"/>
  <c r="X73" i="17"/>
  <c r="M73" i="20" s="1"/>
  <c r="X75" i="17"/>
  <c r="M75" i="20" s="1"/>
  <c r="U77" i="17"/>
  <c r="J77" i="20" s="1"/>
  <c r="U79" i="17"/>
  <c r="J79" i="20" s="1"/>
  <c r="U76" i="17"/>
  <c r="J76" i="20" s="1"/>
  <c r="U78" i="17"/>
  <c r="J78" i="20" s="1"/>
  <c r="T76" i="17"/>
  <c r="I76" i="20" s="1"/>
  <c r="T78" i="17"/>
  <c r="I78" i="20" s="1"/>
  <c r="T77" i="17"/>
  <c r="I77" i="20" s="1"/>
  <c r="T79" i="17"/>
  <c r="I79" i="20" s="1"/>
  <c r="Q85" i="17"/>
  <c r="F85" i="20" s="1"/>
  <c r="Q87" i="17"/>
  <c r="F87" i="20" s="1"/>
  <c r="Q84" i="17"/>
  <c r="F84" i="20" s="1"/>
  <c r="Q86" i="17"/>
  <c r="F86" i="20" s="1"/>
  <c r="P84" i="17"/>
  <c r="E84" i="20" s="1"/>
  <c r="P86" i="17"/>
  <c r="E86" i="20" s="1"/>
  <c r="P85" i="17"/>
  <c r="E85" i="20" s="1"/>
  <c r="P87" i="17"/>
  <c r="E87" i="20" s="1"/>
  <c r="X84" i="17"/>
  <c r="M84" i="20" s="1"/>
  <c r="X86" i="17"/>
  <c r="M86" i="20" s="1"/>
  <c r="X85" i="17"/>
  <c r="M85" i="20" s="1"/>
  <c r="X87" i="17"/>
  <c r="M87" i="20" s="1"/>
  <c r="U89" i="17"/>
  <c r="J89" i="20" s="1"/>
  <c r="U91" i="17"/>
  <c r="J91" i="20" s="1"/>
  <c r="U88" i="17"/>
  <c r="J88" i="20" s="1"/>
  <c r="U90" i="17"/>
  <c r="J90" i="20" s="1"/>
  <c r="T88" i="17"/>
  <c r="I88" i="20" s="1"/>
  <c r="T90" i="17"/>
  <c r="I90" i="20" s="1"/>
  <c r="T89" i="17"/>
  <c r="I89" i="20" s="1"/>
  <c r="T91" i="17"/>
  <c r="I91" i="20" s="1"/>
  <c r="Q108" i="17"/>
  <c r="F108" i="20" s="1"/>
  <c r="Q110" i="17"/>
  <c r="F110" i="20" s="1"/>
  <c r="Q109" i="17"/>
  <c r="F109" i="20" s="1"/>
  <c r="P109" i="17"/>
  <c r="E109" i="20" s="1"/>
  <c r="P108" i="17"/>
  <c r="E108" i="20" s="1"/>
  <c r="P110" i="17"/>
  <c r="E110" i="20" s="1"/>
  <c r="X109" i="17"/>
  <c r="M109" i="20" s="1"/>
  <c r="X108" i="17"/>
  <c r="M108" i="20" s="1"/>
  <c r="X110" i="17"/>
  <c r="M110" i="20" s="1"/>
  <c r="U124" i="17"/>
  <c r="J124" i="20" s="1"/>
  <c r="U131" i="17"/>
  <c r="J131" i="20" s="1"/>
  <c r="T131" i="17"/>
  <c r="I131" i="20" s="1"/>
  <c r="T124" i="17"/>
  <c r="I124" i="20" s="1"/>
  <c r="Q172" i="17"/>
  <c r="F172" i="20" s="1"/>
  <c r="Q171" i="17"/>
  <c r="F171" i="20" s="1"/>
  <c r="Q173" i="17"/>
  <c r="F173" i="20" s="1"/>
  <c r="P171" i="17"/>
  <c r="E171" i="20" s="1"/>
  <c r="P173" i="17"/>
  <c r="E173" i="20" s="1"/>
  <c r="P172" i="17"/>
  <c r="E172" i="20" s="1"/>
  <c r="X171" i="17"/>
  <c r="M171" i="20" s="1"/>
  <c r="X173" i="17"/>
  <c r="M173" i="20" s="1"/>
  <c r="X172" i="17"/>
  <c r="M172" i="20" s="1"/>
  <c r="U180" i="17"/>
  <c r="J180" i="20" s="1"/>
  <c r="U179" i="17"/>
  <c r="J179" i="20" s="1"/>
  <c r="T179" i="17"/>
  <c r="I179" i="20" s="1"/>
  <c r="T180" i="17"/>
  <c r="I180" i="20" s="1"/>
  <c r="S15" i="17"/>
  <c r="H15" i="20" s="1"/>
  <c r="S17" i="17"/>
  <c r="H17" i="20" s="1"/>
  <c r="S19" i="17"/>
  <c r="H19" i="20" s="1"/>
  <c r="S14" i="17"/>
  <c r="H14" i="20" s="1"/>
  <c r="S16" i="17"/>
  <c r="H16" i="20" s="1"/>
  <c r="AE6" i="20" s="1"/>
  <c r="S18" i="17"/>
  <c r="H18" i="20" s="1"/>
  <c r="R14" i="17"/>
  <c r="G14" i="20" s="1"/>
  <c r="R16" i="17"/>
  <c r="G16" i="20" s="1"/>
  <c r="AD6" i="20" s="1"/>
  <c r="R18" i="17"/>
  <c r="G18" i="20" s="1"/>
  <c r="R15" i="17"/>
  <c r="G15" i="20" s="1"/>
  <c r="R17" i="17"/>
  <c r="G17" i="20" s="1"/>
  <c r="R19" i="17"/>
  <c r="G19" i="20" s="1"/>
  <c r="W104" i="17"/>
  <c r="L104" i="20" s="1"/>
  <c r="W106" i="17"/>
  <c r="L106" i="20" s="1"/>
  <c r="W105" i="17"/>
  <c r="L105" i="20" s="1"/>
  <c r="V105" i="17"/>
  <c r="K105" i="20" s="1"/>
  <c r="V104" i="17"/>
  <c r="K104" i="20" s="1"/>
  <c r="V106" i="17"/>
  <c r="K106" i="20" s="1"/>
  <c r="S45" i="17"/>
  <c r="H45" i="20" s="1"/>
  <c r="S47" i="17"/>
  <c r="H47" i="20" s="1"/>
  <c r="S49" i="17"/>
  <c r="H49" i="20" s="1"/>
  <c r="S44" i="17"/>
  <c r="H44" i="20" s="1"/>
  <c r="S46" i="17"/>
  <c r="H46" i="20" s="1"/>
  <c r="S48" i="17"/>
  <c r="H48" i="20" s="1"/>
  <c r="R44" i="17"/>
  <c r="G44" i="20" s="1"/>
  <c r="R46" i="17"/>
  <c r="G46" i="20" s="1"/>
  <c r="R48" i="17"/>
  <c r="G48" i="20" s="1"/>
  <c r="R45" i="17"/>
  <c r="G45" i="20" s="1"/>
  <c r="R47" i="17"/>
  <c r="G47" i="20" s="1"/>
  <c r="R49" i="17"/>
  <c r="G49" i="20" s="1"/>
  <c r="W57" i="17"/>
  <c r="L57" i="20" s="1"/>
  <c r="W59" i="17"/>
  <c r="L59" i="20" s="1"/>
  <c r="W61" i="17"/>
  <c r="L61" i="20" s="1"/>
  <c r="W56" i="17"/>
  <c r="L56" i="20" s="1"/>
  <c r="W58" i="17"/>
  <c r="L58" i="20" s="1"/>
  <c r="W60" i="17"/>
  <c r="L60" i="20" s="1"/>
  <c r="V56" i="17"/>
  <c r="K56" i="20" s="1"/>
  <c r="V58" i="17"/>
  <c r="K58" i="20" s="1"/>
  <c r="V60" i="17"/>
  <c r="K60" i="20" s="1"/>
  <c r="V57" i="17"/>
  <c r="K57" i="20" s="1"/>
  <c r="V59" i="17"/>
  <c r="K59" i="20" s="1"/>
  <c r="V61" i="17"/>
  <c r="K61" i="20" s="1"/>
  <c r="S27" i="17"/>
  <c r="H27" i="20" s="1"/>
  <c r="S29" i="17"/>
  <c r="H29" i="20" s="1"/>
  <c r="S31" i="17"/>
  <c r="H31" i="20" s="1"/>
  <c r="S26" i="17"/>
  <c r="H26" i="20" s="1"/>
  <c r="S28" i="17"/>
  <c r="H28" i="20" s="1"/>
  <c r="S30" i="17"/>
  <c r="H30" i="20" s="1"/>
  <c r="R26" i="17"/>
  <c r="G26" i="20" s="1"/>
  <c r="R28" i="17"/>
  <c r="G28" i="20" s="1"/>
  <c r="R30" i="17"/>
  <c r="G30" i="20" s="1"/>
  <c r="R27" i="17"/>
  <c r="G27" i="20" s="1"/>
  <c r="R29" i="17"/>
  <c r="G29" i="20" s="1"/>
  <c r="R31" i="17"/>
  <c r="G31" i="20" s="1"/>
  <c r="W39" i="17"/>
  <c r="L39" i="20" s="1"/>
  <c r="W41" i="17"/>
  <c r="L41" i="20" s="1"/>
  <c r="W43" i="17"/>
  <c r="L43" i="20" s="1"/>
  <c r="W38" i="17"/>
  <c r="L38" i="20" s="1"/>
  <c r="W40" i="17"/>
  <c r="L40" i="20" s="1"/>
  <c r="W42" i="17"/>
  <c r="L42" i="20" s="1"/>
  <c r="V38" i="17"/>
  <c r="K38" i="20" s="1"/>
  <c r="V40" i="17"/>
  <c r="K40" i="20" s="1"/>
  <c r="V42" i="17"/>
  <c r="K42" i="20" s="1"/>
  <c r="V39" i="17"/>
  <c r="K39" i="20" s="1"/>
  <c r="V41" i="17"/>
  <c r="K41" i="20" s="1"/>
  <c r="V43" i="17"/>
  <c r="K43" i="20" s="1"/>
  <c r="S51" i="17"/>
  <c r="H51" i="20" s="1"/>
  <c r="S53" i="17"/>
  <c r="H53" i="20" s="1"/>
  <c r="S55" i="17"/>
  <c r="H55" i="20" s="1"/>
  <c r="S50" i="17"/>
  <c r="H50" i="20" s="1"/>
  <c r="S52" i="17"/>
  <c r="H52" i="20" s="1"/>
  <c r="S54" i="17"/>
  <c r="H54" i="20" s="1"/>
  <c r="R50" i="17"/>
  <c r="G50" i="20" s="1"/>
  <c r="R52" i="17"/>
  <c r="G52" i="20" s="1"/>
  <c r="R54" i="17"/>
  <c r="G54" i="20" s="1"/>
  <c r="R51" i="17"/>
  <c r="G51" i="20" s="1"/>
  <c r="R53" i="17"/>
  <c r="G53" i="20" s="1"/>
  <c r="R55" i="17"/>
  <c r="G55" i="20" s="1"/>
  <c r="V179" i="17"/>
  <c r="K179" i="20" s="1"/>
  <c r="V180" i="17"/>
  <c r="K180" i="20" s="1"/>
  <c r="S140" i="17"/>
  <c r="H140" i="20" s="1"/>
  <c r="S142" i="17"/>
  <c r="H142" i="20" s="1"/>
  <c r="S141" i="17"/>
  <c r="H141" i="20" s="1"/>
  <c r="R141" i="17"/>
  <c r="G141" i="20" s="1"/>
  <c r="R140" i="17"/>
  <c r="G140" i="20" s="1"/>
  <c r="R142" i="17"/>
  <c r="G142" i="20" s="1"/>
  <c r="W145" i="17"/>
  <c r="L145" i="20" s="1"/>
  <c r="W153" i="17"/>
  <c r="L153" i="20" s="1"/>
  <c r="W155" i="17"/>
  <c r="L155" i="20" s="1"/>
  <c r="W157" i="17"/>
  <c r="L157" i="20" s="1"/>
  <c r="V145" i="17"/>
  <c r="K145" i="20" s="1"/>
  <c r="V153" i="17"/>
  <c r="K153" i="20" s="1"/>
  <c r="V155" i="17"/>
  <c r="K155" i="20" s="1"/>
  <c r="V157" i="17"/>
  <c r="K157" i="20" s="1"/>
  <c r="U15" i="17"/>
  <c r="J15" i="20" s="1"/>
  <c r="U17" i="17"/>
  <c r="J17" i="20" s="1"/>
  <c r="U19" i="17"/>
  <c r="J19" i="20" s="1"/>
  <c r="U14" i="17"/>
  <c r="J14" i="20" s="1"/>
  <c r="U16" i="17"/>
  <c r="J16" i="20" s="1"/>
  <c r="AG6" i="20" s="1"/>
  <c r="U18" i="17"/>
  <c r="J18" i="20" s="1"/>
  <c r="T14" i="17"/>
  <c r="I14" i="20" s="1"/>
  <c r="T16" i="17"/>
  <c r="I16" i="20" s="1"/>
  <c r="AF6" i="20" s="1"/>
  <c r="T18" i="17"/>
  <c r="I18" i="20" s="1"/>
  <c r="T15" i="17"/>
  <c r="I15" i="20" s="1"/>
  <c r="T17" i="17"/>
  <c r="I17" i="20" s="1"/>
  <c r="T19" i="17"/>
  <c r="I19" i="20" s="1"/>
  <c r="Q104" i="17"/>
  <c r="F104" i="20" s="1"/>
  <c r="Q106" i="17"/>
  <c r="F106" i="20" s="1"/>
  <c r="AC44" i="20" s="1"/>
  <c r="Q105" i="17"/>
  <c r="F105" i="20" s="1"/>
  <c r="P105" i="17"/>
  <c r="E105" i="20" s="1"/>
  <c r="P104" i="17"/>
  <c r="E104" i="20" s="1"/>
  <c r="P106" i="17"/>
  <c r="E106" i="20" s="1"/>
  <c r="X105" i="17"/>
  <c r="M105" i="20" s="1"/>
  <c r="X104" i="17"/>
  <c r="M104" i="20" s="1"/>
  <c r="AJ44" i="20" s="1"/>
  <c r="X106" i="17"/>
  <c r="M106" i="20" s="1"/>
  <c r="U45" i="17"/>
  <c r="J45" i="20" s="1"/>
  <c r="U47" i="17"/>
  <c r="J47" i="20" s="1"/>
  <c r="U49" i="17"/>
  <c r="J49" i="20" s="1"/>
  <c r="U44" i="17"/>
  <c r="J44" i="20" s="1"/>
  <c r="U46" i="17"/>
  <c r="J46" i="20" s="1"/>
  <c r="U48" i="17"/>
  <c r="J48" i="20" s="1"/>
  <c r="T44" i="17"/>
  <c r="I44" i="20" s="1"/>
  <c r="T46" i="17"/>
  <c r="I46" i="20" s="1"/>
  <c r="T48" i="17"/>
  <c r="I48" i="20" s="1"/>
  <c r="T45" i="17"/>
  <c r="I45" i="20" s="1"/>
  <c r="T47" i="17"/>
  <c r="I47" i="20" s="1"/>
  <c r="T49" i="17"/>
  <c r="I49" i="20" s="1"/>
  <c r="Q57" i="17"/>
  <c r="F57" i="20" s="1"/>
  <c r="Q59" i="17"/>
  <c r="F59" i="20" s="1"/>
  <c r="Q61" i="17"/>
  <c r="F61" i="20" s="1"/>
  <c r="Q56" i="17"/>
  <c r="F56" i="20" s="1"/>
  <c r="Q58" i="17"/>
  <c r="F58" i="20" s="1"/>
  <c r="Q60" i="17"/>
  <c r="F60" i="20" s="1"/>
  <c r="P56" i="17"/>
  <c r="E56" i="20" s="1"/>
  <c r="P58" i="17"/>
  <c r="E58" i="20" s="1"/>
  <c r="P60" i="17"/>
  <c r="E60" i="20" s="1"/>
  <c r="P57" i="17"/>
  <c r="E57" i="20" s="1"/>
  <c r="P59" i="17"/>
  <c r="E59" i="20" s="1"/>
  <c r="P61" i="17"/>
  <c r="E61" i="20" s="1"/>
  <c r="X56" i="17"/>
  <c r="M56" i="20" s="1"/>
  <c r="X58" i="17"/>
  <c r="M58" i="20" s="1"/>
  <c r="X60" i="17"/>
  <c r="M60" i="20" s="1"/>
  <c r="X57" i="17"/>
  <c r="M57" i="20" s="1"/>
  <c r="X59" i="17"/>
  <c r="M59" i="20" s="1"/>
  <c r="X61" i="17"/>
  <c r="M61" i="20" s="1"/>
  <c r="U27" i="17"/>
  <c r="J27" i="20" s="1"/>
  <c r="U29" i="17"/>
  <c r="J29" i="20" s="1"/>
  <c r="U31" i="17"/>
  <c r="J31" i="20" s="1"/>
  <c r="U26" i="17"/>
  <c r="J26" i="20" s="1"/>
  <c r="U28" i="17"/>
  <c r="J28" i="20" s="1"/>
  <c r="U30" i="17"/>
  <c r="J30" i="20" s="1"/>
  <c r="T26" i="17"/>
  <c r="I26" i="20" s="1"/>
  <c r="T28" i="17"/>
  <c r="I28" i="20" s="1"/>
  <c r="T30" i="17"/>
  <c r="I30" i="20" s="1"/>
  <c r="T27" i="17"/>
  <c r="I27" i="20" s="1"/>
  <c r="T29" i="17"/>
  <c r="I29" i="20" s="1"/>
  <c r="T31" i="17"/>
  <c r="I31" i="20" s="1"/>
  <c r="Q39" i="17"/>
  <c r="F39" i="20" s="1"/>
  <c r="Q41" i="17"/>
  <c r="F41" i="20" s="1"/>
  <c r="Q43" i="17"/>
  <c r="F43" i="20" s="1"/>
  <c r="Q38" i="17"/>
  <c r="F38" i="20" s="1"/>
  <c r="Q40" i="17"/>
  <c r="F40" i="20" s="1"/>
  <c r="Q42" i="17"/>
  <c r="F42" i="20" s="1"/>
  <c r="P38" i="17"/>
  <c r="E38" i="20" s="1"/>
  <c r="P40" i="17"/>
  <c r="E40" i="20" s="1"/>
  <c r="P42" i="17"/>
  <c r="E42" i="20" s="1"/>
  <c r="P39" i="17"/>
  <c r="E39" i="20" s="1"/>
  <c r="P41" i="17"/>
  <c r="E41" i="20" s="1"/>
  <c r="P43" i="17"/>
  <c r="E43" i="20" s="1"/>
  <c r="X38" i="17"/>
  <c r="M38" i="20" s="1"/>
  <c r="X40" i="17"/>
  <c r="M40" i="20" s="1"/>
  <c r="X42" i="17"/>
  <c r="M42" i="20" s="1"/>
  <c r="X39" i="17"/>
  <c r="M39" i="20" s="1"/>
  <c r="X41" i="17"/>
  <c r="M41" i="20" s="1"/>
  <c r="X43" i="17"/>
  <c r="M43" i="20" s="1"/>
  <c r="U51" i="17"/>
  <c r="J51" i="20" s="1"/>
  <c r="U53" i="17"/>
  <c r="J53" i="20" s="1"/>
  <c r="U55" i="17"/>
  <c r="J55" i="20" s="1"/>
  <c r="U50" i="17"/>
  <c r="J50" i="20" s="1"/>
  <c r="U52" i="17"/>
  <c r="J52" i="20" s="1"/>
  <c r="U54" i="17"/>
  <c r="J54" i="20" s="1"/>
  <c r="T50" i="17"/>
  <c r="I50" i="20" s="1"/>
  <c r="T52" i="17"/>
  <c r="I52" i="20" s="1"/>
  <c r="T54" i="17"/>
  <c r="I54" i="20" s="1"/>
  <c r="T51" i="17"/>
  <c r="I51" i="20" s="1"/>
  <c r="T53" i="17"/>
  <c r="I53" i="20" s="1"/>
  <c r="T55" i="17"/>
  <c r="I55" i="20" s="1"/>
  <c r="X179" i="17"/>
  <c r="M179" i="20" s="1"/>
  <c r="X180" i="17"/>
  <c r="M180" i="20" s="1"/>
  <c r="U140" i="17"/>
  <c r="J140" i="20" s="1"/>
  <c r="U142" i="17"/>
  <c r="J142" i="20" s="1"/>
  <c r="U141" i="17"/>
  <c r="J141" i="20" s="1"/>
  <c r="T141" i="17"/>
  <c r="I141" i="20" s="1"/>
  <c r="T140" i="17"/>
  <c r="I140" i="20" s="1"/>
  <c r="AF94" i="20" s="1"/>
  <c r="T142" i="17"/>
  <c r="I142" i="20" s="1"/>
  <c r="Q145" i="17"/>
  <c r="F145" i="20" s="1"/>
  <c r="Q153" i="17"/>
  <c r="F153" i="20" s="1"/>
  <c r="Q155" i="17"/>
  <c r="F155" i="20" s="1"/>
  <c r="Q157" i="17"/>
  <c r="F157" i="20" s="1"/>
  <c r="P145" i="17"/>
  <c r="E145" i="20" s="1"/>
  <c r="P153" i="17"/>
  <c r="E153" i="20" s="1"/>
  <c r="P155" i="17"/>
  <c r="E155" i="20" s="1"/>
  <c r="P157" i="17"/>
  <c r="E157" i="20" s="1"/>
  <c r="X145" i="17"/>
  <c r="M145" i="20" s="1"/>
  <c r="X153" i="17"/>
  <c r="M153" i="20" s="1"/>
  <c r="X155" i="17"/>
  <c r="M155" i="20" s="1"/>
  <c r="X157" i="17"/>
  <c r="M157" i="20" s="1"/>
  <c r="S21" i="17"/>
  <c r="H21" i="20" s="1"/>
  <c r="S23" i="17"/>
  <c r="H23" i="20" s="1"/>
  <c r="S25" i="17"/>
  <c r="H25" i="20" s="1"/>
  <c r="S20" i="17"/>
  <c r="H20" i="20" s="1"/>
  <c r="S22" i="17"/>
  <c r="H22" i="20" s="1"/>
  <c r="S24" i="17"/>
  <c r="H24" i="20" s="1"/>
  <c r="R20" i="17"/>
  <c r="G20" i="20" s="1"/>
  <c r="AD8" i="20" s="1"/>
  <c r="R22" i="17"/>
  <c r="G22" i="20" s="1"/>
  <c r="R24" i="17"/>
  <c r="G24" i="20" s="1"/>
  <c r="R21" i="17"/>
  <c r="G21" i="20" s="1"/>
  <c r="R23" i="17"/>
  <c r="G23" i="20" s="1"/>
  <c r="R25" i="17"/>
  <c r="G25" i="20" s="1"/>
  <c r="Q21" i="17"/>
  <c r="F21" i="20" s="1"/>
  <c r="Q23" i="17"/>
  <c r="F23" i="20" s="1"/>
  <c r="Q25" i="17"/>
  <c r="F25" i="20" s="1"/>
  <c r="Q20" i="17"/>
  <c r="F20" i="20" s="1"/>
  <c r="Q22" i="17"/>
  <c r="F22" i="20" s="1"/>
  <c r="Q24" i="17"/>
  <c r="F24" i="20" s="1"/>
  <c r="P20" i="17"/>
  <c r="E20" i="20" s="1"/>
  <c r="AB8" i="20" s="1"/>
  <c r="P22" i="17"/>
  <c r="E22" i="20" s="1"/>
  <c r="P24" i="17"/>
  <c r="E24" i="20" s="1"/>
  <c r="P21" i="17"/>
  <c r="E21" i="20" s="1"/>
  <c r="P23" i="17"/>
  <c r="E23" i="20" s="1"/>
  <c r="P25" i="17"/>
  <c r="E25" i="20" s="1"/>
  <c r="X20" i="17"/>
  <c r="M20" i="20" s="1"/>
  <c r="AJ8" i="20" s="1"/>
  <c r="X22" i="17"/>
  <c r="M22" i="20" s="1"/>
  <c r="X24" i="17"/>
  <c r="M24" i="20" s="1"/>
  <c r="X21" i="17"/>
  <c r="M21" i="20" s="1"/>
  <c r="X23" i="17"/>
  <c r="M23" i="20" s="1"/>
  <c r="X25" i="17"/>
  <c r="M25" i="20" s="1"/>
  <c r="U97" i="17"/>
  <c r="J97" i="20" s="1"/>
  <c r="U96" i="17"/>
  <c r="J96" i="20" s="1"/>
  <c r="U98" i="17"/>
  <c r="J98" i="20" s="1"/>
  <c r="U63" i="17"/>
  <c r="J63" i="20" s="1"/>
  <c r="U65" i="17"/>
  <c r="J65" i="20" s="1"/>
  <c r="U67" i="17"/>
  <c r="J67" i="20" s="1"/>
  <c r="U62" i="17"/>
  <c r="J62" i="20" s="1"/>
  <c r="U64" i="17"/>
  <c r="J64" i="20" s="1"/>
  <c r="U66" i="17"/>
  <c r="J66" i="20" s="1"/>
  <c r="U33" i="17"/>
  <c r="J33" i="20" s="1"/>
  <c r="U35" i="17"/>
  <c r="J35" i="20" s="1"/>
  <c r="U37" i="17"/>
  <c r="J37" i="20" s="1"/>
  <c r="U32" i="17"/>
  <c r="J32" i="20" s="1"/>
  <c r="U34" i="17"/>
  <c r="J34" i="20" s="1"/>
  <c r="U36" i="17"/>
  <c r="J36" i="20" s="1"/>
  <c r="S97" i="17"/>
  <c r="H97" i="20" s="1"/>
  <c r="S96" i="17"/>
  <c r="H96" i="20" s="1"/>
  <c r="AE35" i="20" s="1"/>
  <c r="S98" i="17"/>
  <c r="H98" i="20" s="1"/>
  <c r="S63" i="17"/>
  <c r="H63" i="20" s="1"/>
  <c r="S65" i="17"/>
  <c r="H65" i="20" s="1"/>
  <c r="S67" i="17"/>
  <c r="H67" i="20" s="1"/>
  <c r="S62" i="17"/>
  <c r="H62" i="20" s="1"/>
  <c r="S64" i="17"/>
  <c r="H64" i="20" s="1"/>
  <c r="S66" i="17"/>
  <c r="H66" i="20" s="1"/>
  <c r="S160" i="17"/>
  <c r="H160" i="20" s="1"/>
  <c r="S162" i="17"/>
  <c r="H162" i="20" s="1"/>
  <c r="S161" i="17"/>
  <c r="H161" i="20" s="1"/>
  <c r="S9" i="17"/>
  <c r="H9" i="20" s="1"/>
  <c r="S11" i="17"/>
  <c r="H11" i="20" s="1"/>
  <c r="S13" i="17"/>
  <c r="H13" i="20" s="1"/>
  <c r="S8" i="17"/>
  <c r="H8" i="20" s="1"/>
  <c r="S10" i="17"/>
  <c r="H10" i="20" s="1"/>
  <c r="S12" i="17"/>
  <c r="H12" i="20" s="1"/>
  <c r="S33" i="17"/>
  <c r="H33" i="20" s="1"/>
  <c r="S35" i="17"/>
  <c r="H35" i="20" s="1"/>
  <c r="S37" i="17"/>
  <c r="H37" i="20" s="1"/>
  <c r="S32" i="17"/>
  <c r="H32" i="20" s="1"/>
  <c r="S34" i="17"/>
  <c r="H34" i="20" s="1"/>
  <c r="S36" i="17"/>
  <c r="H36" i="20" s="1"/>
  <c r="V62" i="17"/>
  <c r="K62" i="20" s="1"/>
  <c r="V64" i="17"/>
  <c r="K64" i="20" s="1"/>
  <c r="V66" i="17"/>
  <c r="K66" i="20" s="1"/>
  <c r="V63" i="17"/>
  <c r="K63" i="20" s="1"/>
  <c r="V65" i="17"/>
  <c r="K65" i="20" s="1"/>
  <c r="V67" i="17"/>
  <c r="K67" i="20" s="1"/>
  <c r="P96" i="17"/>
  <c r="E96" i="20" s="1"/>
  <c r="P98" i="17"/>
  <c r="E98" i="20" s="1"/>
  <c r="P97" i="17"/>
  <c r="E97" i="20" s="1"/>
  <c r="Q63" i="17"/>
  <c r="F63" i="20" s="1"/>
  <c r="Q65" i="17"/>
  <c r="F65" i="20" s="1"/>
  <c r="Q67" i="17"/>
  <c r="F67" i="20" s="1"/>
  <c r="Q62" i="17"/>
  <c r="F62" i="20" s="1"/>
  <c r="Q64" i="17"/>
  <c r="F64" i="20" s="1"/>
  <c r="Q66" i="17"/>
  <c r="F66" i="20" s="1"/>
  <c r="X62" i="17"/>
  <c r="M62" i="20" s="1"/>
  <c r="X64" i="17"/>
  <c r="M64" i="20" s="1"/>
  <c r="X66" i="17"/>
  <c r="M66" i="20" s="1"/>
  <c r="X63" i="17"/>
  <c r="M63" i="20" s="1"/>
  <c r="X65" i="17"/>
  <c r="M65" i="20" s="1"/>
  <c r="X67" i="17"/>
  <c r="M67" i="20" s="1"/>
  <c r="T4" i="17"/>
  <c r="I4" i="20" s="1"/>
  <c r="T6" i="17"/>
  <c r="I6" i="20" s="1"/>
  <c r="T3" i="17"/>
  <c r="I3" i="20" s="1"/>
  <c r="T5" i="17"/>
  <c r="I5" i="20" s="1"/>
  <c r="T7" i="17"/>
  <c r="I7" i="20" s="1"/>
  <c r="T2" i="17"/>
  <c r="I2" i="20" s="1"/>
  <c r="R4" i="17"/>
  <c r="G4" i="20" s="1"/>
  <c r="R6" i="17"/>
  <c r="G6" i="20" s="1"/>
  <c r="R3" i="17"/>
  <c r="G3" i="20" s="1"/>
  <c r="R5" i="17"/>
  <c r="G5" i="20" s="1"/>
  <c r="R7" i="17"/>
  <c r="G7" i="20" s="1"/>
  <c r="R2" i="17"/>
  <c r="G2" i="20" s="1"/>
  <c r="W81" i="17"/>
  <c r="L81" i="20" s="1"/>
  <c r="W83" i="17"/>
  <c r="L83" i="20" s="1"/>
  <c r="W80" i="17"/>
  <c r="L80" i="20" s="1"/>
  <c r="AI24" i="20" s="1"/>
  <c r="W82" i="17"/>
  <c r="L82" i="20" s="1"/>
  <c r="S93" i="17"/>
  <c r="H93" i="20" s="1"/>
  <c r="S95" i="17"/>
  <c r="H95" i="20" s="1"/>
  <c r="S92" i="17"/>
  <c r="H92" i="20" s="1"/>
  <c r="S94" i="17"/>
  <c r="H94" i="20" s="1"/>
  <c r="R92" i="17"/>
  <c r="G92" i="20" s="1"/>
  <c r="R94" i="17"/>
  <c r="G94" i="20" s="1"/>
  <c r="R93" i="17"/>
  <c r="G93" i="20" s="1"/>
  <c r="R95" i="17"/>
  <c r="G95" i="20" s="1"/>
  <c r="W146" i="17"/>
  <c r="L146" i="20" s="1"/>
  <c r="W154" i="17"/>
  <c r="L154" i="20" s="1"/>
  <c r="W156" i="17"/>
  <c r="L156" i="20" s="1"/>
  <c r="S99" i="17"/>
  <c r="H99" i="20" s="1"/>
  <c r="S100" i="17"/>
  <c r="H100" i="20" s="1"/>
  <c r="AE34" i="20" s="1"/>
  <c r="V111" i="17"/>
  <c r="K111" i="20" s="1"/>
  <c r="V113" i="17"/>
  <c r="K113" i="20" s="1"/>
  <c r="V112" i="17"/>
  <c r="K112" i="20" s="1"/>
  <c r="R143" i="17"/>
  <c r="G143" i="20" s="1"/>
  <c r="R144" i="17"/>
  <c r="G144" i="20" s="1"/>
  <c r="R152" i="17"/>
  <c r="G152" i="20" s="1"/>
  <c r="W148" i="17"/>
  <c r="L148" i="20" s="1"/>
  <c r="W147" i="17"/>
  <c r="L147" i="20" s="1"/>
  <c r="AI104" i="20" s="1"/>
  <c r="S168" i="17"/>
  <c r="H168" i="20" s="1"/>
  <c r="S170" i="17"/>
  <c r="H170" i="20" s="1"/>
  <c r="S167" i="17"/>
  <c r="H167" i="20" s="1"/>
  <c r="S169" i="17"/>
  <c r="H169" i="20" s="1"/>
  <c r="V115" i="17"/>
  <c r="K115" i="20" s="1"/>
  <c r="V114" i="17"/>
  <c r="K114" i="20" s="1"/>
  <c r="AH54" i="20" s="1"/>
  <c r="V116" i="17"/>
  <c r="K116" i="20" s="1"/>
  <c r="R165" i="17"/>
  <c r="G165" i="20" s="1"/>
  <c r="R164" i="17"/>
  <c r="G164" i="20" s="1"/>
  <c r="R166" i="17"/>
  <c r="G166" i="20" s="1"/>
  <c r="W176" i="17"/>
  <c r="L176" i="20" s="1"/>
  <c r="W178" i="17"/>
  <c r="L178" i="20" s="1"/>
  <c r="W177" i="17"/>
  <c r="L177" i="20" s="1"/>
  <c r="S122" i="17"/>
  <c r="H122" i="20" s="1"/>
  <c r="S121" i="17"/>
  <c r="H121" i="20" s="1"/>
  <c r="S123" i="17"/>
  <c r="H123" i="20" s="1"/>
  <c r="V68" i="17"/>
  <c r="K68" i="20" s="1"/>
  <c r="V70" i="17"/>
  <c r="K70" i="20" s="1"/>
  <c r="V69" i="17"/>
  <c r="K69" i="20" s="1"/>
  <c r="V71" i="17"/>
  <c r="K71" i="20" s="1"/>
  <c r="R72" i="17"/>
  <c r="G72" i="20" s="1"/>
  <c r="R74" i="17"/>
  <c r="G74" i="20" s="1"/>
  <c r="R73" i="17"/>
  <c r="G73" i="20" s="1"/>
  <c r="R75" i="17"/>
  <c r="G75" i="20" s="1"/>
  <c r="W77" i="17"/>
  <c r="L77" i="20" s="1"/>
  <c r="W79" i="17"/>
  <c r="L79" i="20" s="1"/>
  <c r="W76" i="17"/>
  <c r="L76" i="20" s="1"/>
  <c r="W78" i="17"/>
  <c r="L78" i="20" s="1"/>
  <c r="S85" i="17"/>
  <c r="H85" i="20" s="1"/>
  <c r="S87" i="17"/>
  <c r="H87" i="20" s="1"/>
  <c r="S84" i="17"/>
  <c r="H84" i="20" s="1"/>
  <c r="S86" i="17"/>
  <c r="H86" i="20" s="1"/>
  <c r="AE26" i="20" s="1"/>
  <c r="V88" i="17"/>
  <c r="K88" i="20" s="1"/>
  <c r="V90" i="17"/>
  <c r="K90" i="20" s="1"/>
  <c r="V89" i="17"/>
  <c r="K89" i="20" s="1"/>
  <c r="V91" i="17"/>
  <c r="K91" i="20" s="1"/>
  <c r="R109" i="17"/>
  <c r="G109" i="20" s="1"/>
  <c r="R108" i="17"/>
  <c r="G108" i="20" s="1"/>
  <c r="AD48" i="20" s="1"/>
  <c r="R110" i="17"/>
  <c r="G110" i="20" s="1"/>
  <c r="W124" i="17"/>
  <c r="L124" i="20" s="1"/>
  <c r="W131" i="17"/>
  <c r="L131" i="20" s="1"/>
  <c r="S172" i="17"/>
  <c r="H172" i="20" s="1"/>
  <c r="S171" i="17"/>
  <c r="H171" i="20" s="1"/>
  <c r="S173" i="17"/>
  <c r="H173" i="20" s="1"/>
  <c r="Q81" i="17"/>
  <c r="F81" i="20" s="1"/>
  <c r="Q83" i="17"/>
  <c r="F83" i="20" s="1"/>
  <c r="Q80" i="17"/>
  <c r="F80" i="20" s="1"/>
  <c r="Q82" i="17"/>
  <c r="F82" i="20" s="1"/>
  <c r="P80" i="17"/>
  <c r="E80" i="20" s="1"/>
  <c r="P82" i="17"/>
  <c r="E82" i="20" s="1"/>
  <c r="P81" i="17"/>
  <c r="E81" i="20" s="1"/>
  <c r="P83" i="17"/>
  <c r="E83" i="20" s="1"/>
  <c r="X80" i="17"/>
  <c r="M80" i="20" s="1"/>
  <c r="X82" i="17"/>
  <c r="M82" i="20" s="1"/>
  <c r="X81" i="17"/>
  <c r="M81" i="20" s="1"/>
  <c r="X83" i="17"/>
  <c r="M83" i="20" s="1"/>
  <c r="U93" i="17"/>
  <c r="J93" i="20" s="1"/>
  <c r="U95" i="17"/>
  <c r="J95" i="20" s="1"/>
  <c r="U92" i="17"/>
  <c r="J92" i="20" s="1"/>
  <c r="U94" i="17"/>
  <c r="J94" i="20" s="1"/>
  <c r="T92" i="17"/>
  <c r="I92" i="20" s="1"/>
  <c r="T94" i="17"/>
  <c r="I94" i="20" s="1"/>
  <c r="T93" i="17"/>
  <c r="I93" i="20" s="1"/>
  <c r="T95" i="17"/>
  <c r="I95" i="20" s="1"/>
  <c r="Q146" i="17"/>
  <c r="F146" i="20" s="1"/>
  <c r="Q154" i="17"/>
  <c r="F154" i="20" s="1"/>
  <c r="AC100" i="20" s="1"/>
  <c r="Q156" i="17"/>
  <c r="F156" i="20" s="1"/>
  <c r="P146" i="17"/>
  <c r="E146" i="20" s="1"/>
  <c r="P154" i="17"/>
  <c r="E154" i="20" s="1"/>
  <c r="P156" i="17"/>
  <c r="E156" i="20" s="1"/>
  <c r="X146" i="17"/>
  <c r="M146" i="20" s="1"/>
  <c r="X154" i="17"/>
  <c r="M154" i="20" s="1"/>
  <c r="AJ100" i="20" s="1"/>
  <c r="X156" i="17"/>
  <c r="M156" i="20" s="1"/>
  <c r="U99" i="17"/>
  <c r="J99" i="20" s="1"/>
  <c r="U100" i="17"/>
  <c r="J100" i="20" s="1"/>
  <c r="T100" i="17"/>
  <c r="I100" i="20" s="1"/>
  <c r="T99" i="17"/>
  <c r="I99" i="20" s="1"/>
  <c r="Q112" i="17"/>
  <c r="F112" i="20" s="1"/>
  <c r="Q111" i="17"/>
  <c r="F111" i="20" s="1"/>
  <c r="Q113" i="17"/>
  <c r="F113" i="20" s="1"/>
  <c r="P111" i="17"/>
  <c r="E111" i="20" s="1"/>
  <c r="P113" i="17"/>
  <c r="E113" i="20" s="1"/>
  <c r="AB50" i="20" s="1"/>
  <c r="P112" i="17"/>
  <c r="E112" i="20" s="1"/>
  <c r="X111" i="17"/>
  <c r="M111" i="20" s="1"/>
  <c r="X113" i="17"/>
  <c r="M113" i="20" s="1"/>
  <c r="X112" i="17"/>
  <c r="M112" i="20" s="1"/>
  <c r="U144" i="17"/>
  <c r="J144" i="20" s="1"/>
  <c r="U152" i="17"/>
  <c r="J152" i="20" s="1"/>
  <c r="AG95" i="20" s="1"/>
  <c r="U143" i="17"/>
  <c r="J143" i="20" s="1"/>
  <c r="T143" i="17"/>
  <c r="I143" i="20" s="1"/>
  <c r="T144" i="17"/>
  <c r="I144" i="20" s="1"/>
  <c r="T152" i="17"/>
  <c r="I152" i="20" s="1"/>
  <c r="Q148" i="17"/>
  <c r="F148" i="20" s="1"/>
  <c r="Q147" i="17"/>
  <c r="F147" i="20" s="1"/>
  <c r="AC104" i="20" s="1"/>
  <c r="P147" i="17"/>
  <c r="E147" i="20" s="1"/>
  <c r="P148" i="17"/>
  <c r="E148" i="20" s="1"/>
  <c r="X147" i="17"/>
  <c r="M147" i="20" s="1"/>
  <c r="X148" i="17"/>
  <c r="M148" i="20" s="1"/>
  <c r="AJ104" i="20" s="1"/>
  <c r="U168" i="17"/>
  <c r="J168" i="20" s="1"/>
  <c r="U170" i="17"/>
  <c r="J170" i="20" s="1"/>
  <c r="U167" i="17"/>
  <c r="J167" i="20" s="1"/>
  <c r="U169" i="17"/>
  <c r="J169" i="20" s="1"/>
  <c r="T167" i="17"/>
  <c r="I167" i="20" s="1"/>
  <c r="T169" i="17"/>
  <c r="I169" i="20" s="1"/>
  <c r="T168" i="17"/>
  <c r="I168" i="20" s="1"/>
  <c r="T170" i="17"/>
  <c r="I170" i="20" s="1"/>
  <c r="Q114" i="17"/>
  <c r="F114" i="20" s="1"/>
  <c r="Q116" i="17"/>
  <c r="F116" i="20" s="1"/>
  <c r="Q115" i="17"/>
  <c r="F115" i="20" s="1"/>
  <c r="P115" i="17"/>
  <c r="E115" i="20" s="1"/>
  <c r="P114" i="17"/>
  <c r="E114" i="20" s="1"/>
  <c r="P116" i="17"/>
  <c r="E116" i="20" s="1"/>
  <c r="X115" i="17"/>
  <c r="M115" i="20" s="1"/>
  <c r="X114" i="17"/>
  <c r="M114" i="20" s="1"/>
  <c r="AJ54" i="20" s="1"/>
  <c r="X116" i="17"/>
  <c r="M116" i="20" s="1"/>
  <c r="U164" i="17"/>
  <c r="J164" i="20" s="1"/>
  <c r="U166" i="17"/>
  <c r="J166" i="20" s="1"/>
  <c r="U165" i="17"/>
  <c r="J165" i="20" s="1"/>
  <c r="T165" i="17"/>
  <c r="I165" i="20" s="1"/>
  <c r="T164" i="17"/>
  <c r="I164" i="20" s="1"/>
  <c r="AF119" i="20" s="1"/>
  <c r="T166" i="17"/>
  <c r="I166" i="20" s="1"/>
  <c r="Q176" i="17"/>
  <c r="F176" i="20" s="1"/>
  <c r="Q178" i="17"/>
  <c r="F178" i="20" s="1"/>
  <c r="Q177" i="17"/>
  <c r="F177" i="20" s="1"/>
  <c r="P177" i="17"/>
  <c r="E177" i="20" s="1"/>
  <c r="P176" i="17"/>
  <c r="E176" i="20" s="1"/>
  <c r="AB132" i="20" s="1"/>
  <c r="P178" i="17"/>
  <c r="E178" i="20" s="1"/>
  <c r="X177" i="17"/>
  <c r="M177" i="20" s="1"/>
  <c r="X176" i="17"/>
  <c r="M176" i="20" s="1"/>
  <c r="X178" i="17"/>
  <c r="M178" i="20" s="1"/>
  <c r="U122" i="17"/>
  <c r="J122" i="20" s="1"/>
  <c r="U121" i="17"/>
  <c r="J121" i="20" s="1"/>
  <c r="AG65" i="20" s="1"/>
  <c r="U123" i="17"/>
  <c r="J123" i="20" s="1"/>
  <c r="T121" i="17"/>
  <c r="I121" i="20" s="1"/>
  <c r="T123" i="17"/>
  <c r="I123" i="20" s="1"/>
  <c r="T122" i="17"/>
  <c r="I122" i="20" s="1"/>
  <c r="Q69" i="17"/>
  <c r="F69" i="20" s="1"/>
  <c r="Q71" i="17"/>
  <c r="F71" i="20" s="1"/>
  <c r="Q68" i="17"/>
  <c r="F68" i="20" s="1"/>
  <c r="Q70" i="17"/>
  <c r="F70" i="20" s="1"/>
  <c r="P68" i="17"/>
  <c r="E68" i="20" s="1"/>
  <c r="P70" i="17"/>
  <c r="E70" i="20" s="1"/>
  <c r="P69" i="17"/>
  <c r="E69" i="20" s="1"/>
  <c r="P71" i="17"/>
  <c r="E71" i="20" s="1"/>
  <c r="X68" i="17"/>
  <c r="M68" i="20" s="1"/>
  <c r="X70" i="17"/>
  <c r="M70" i="20" s="1"/>
  <c r="X69" i="17"/>
  <c r="M69" i="20" s="1"/>
  <c r="X71" i="17"/>
  <c r="M71" i="20" s="1"/>
  <c r="U73" i="17"/>
  <c r="J73" i="20" s="1"/>
  <c r="U75" i="17"/>
  <c r="J75" i="20" s="1"/>
  <c r="U72" i="17"/>
  <c r="J72" i="20" s="1"/>
  <c r="U74" i="17"/>
  <c r="J74" i="20" s="1"/>
  <c r="AG20" i="20" s="1"/>
  <c r="T72" i="17"/>
  <c r="I72" i="20" s="1"/>
  <c r="T74" i="17"/>
  <c r="I74" i="20" s="1"/>
  <c r="T73" i="17"/>
  <c r="I73" i="20" s="1"/>
  <c r="T75" i="17"/>
  <c r="I75" i="20" s="1"/>
  <c r="Q77" i="17"/>
  <c r="F77" i="20" s="1"/>
  <c r="Q79" i="17"/>
  <c r="F79" i="20" s="1"/>
  <c r="Q76" i="17"/>
  <c r="F76" i="20" s="1"/>
  <c r="Q78" i="17"/>
  <c r="F78" i="20" s="1"/>
  <c r="AC23" i="20" s="1"/>
  <c r="P76" i="17"/>
  <c r="E76" i="20" s="1"/>
  <c r="P78" i="17"/>
  <c r="E78" i="20" s="1"/>
  <c r="P77" i="17"/>
  <c r="E77" i="20" s="1"/>
  <c r="P79" i="17"/>
  <c r="E79" i="20" s="1"/>
  <c r="X76" i="17"/>
  <c r="M76" i="20" s="1"/>
  <c r="X78" i="17"/>
  <c r="M78" i="20" s="1"/>
  <c r="X77" i="17"/>
  <c r="M77" i="20" s="1"/>
  <c r="X79" i="17"/>
  <c r="M79" i="20" s="1"/>
  <c r="U85" i="17"/>
  <c r="J85" i="20" s="1"/>
  <c r="U87" i="17"/>
  <c r="J87" i="20" s="1"/>
  <c r="U84" i="17"/>
  <c r="J84" i="20" s="1"/>
  <c r="U86" i="17"/>
  <c r="J86" i="20" s="1"/>
  <c r="T84" i="17"/>
  <c r="I84" i="20" s="1"/>
  <c r="T86" i="17"/>
  <c r="I86" i="20" s="1"/>
  <c r="T85" i="17"/>
  <c r="I85" i="20" s="1"/>
  <c r="T87" i="17"/>
  <c r="I87" i="20" s="1"/>
  <c r="Q89" i="17"/>
  <c r="F89" i="20" s="1"/>
  <c r="Q91" i="17"/>
  <c r="F91" i="20" s="1"/>
  <c r="Q88" i="17"/>
  <c r="F88" i="20" s="1"/>
  <c r="Q90" i="17"/>
  <c r="F90" i="20" s="1"/>
  <c r="P88" i="17"/>
  <c r="E88" i="20" s="1"/>
  <c r="P90" i="17"/>
  <c r="E90" i="20" s="1"/>
  <c r="P89" i="17"/>
  <c r="E89" i="20" s="1"/>
  <c r="P91" i="17"/>
  <c r="E91" i="20" s="1"/>
  <c r="X88" i="17"/>
  <c r="M88" i="20" s="1"/>
  <c r="X90" i="17"/>
  <c r="M90" i="20" s="1"/>
  <c r="X89" i="17"/>
  <c r="M89" i="20" s="1"/>
  <c r="X91" i="17"/>
  <c r="M91" i="20" s="1"/>
  <c r="U108" i="17"/>
  <c r="J108" i="20" s="1"/>
  <c r="U110" i="17"/>
  <c r="J110" i="20" s="1"/>
  <c r="AG48" i="20" s="1"/>
  <c r="U109" i="17"/>
  <c r="J109" i="20" s="1"/>
  <c r="T109" i="17"/>
  <c r="I109" i="20" s="1"/>
  <c r="T108" i="17"/>
  <c r="I108" i="20" s="1"/>
  <c r="T110" i="17"/>
  <c r="I110" i="20" s="1"/>
  <c r="Q124" i="17"/>
  <c r="F124" i="20" s="1"/>
  <c r="Q131" i="17"/>
  <c r="F131" i="20" s="1"/>
  <c r="AC68" i="20" s="1"/>
  <c r="P131" i="17"/>
  <c r="E131" i="20" s="1"/>
  <c r="P124" i="17"/>
  <c r="E124" i="20" s="1"/>
  <c r="AB68" i="20" s="1"/>
  <c r="X131" i="17"/>
  <c r="M131" i="20" s="1"/>
  <c r="X124" i="17"/>
  <c r="M124" i="20" s="1"/>
  <c r="AJ68" i="20" s="1"/>
  <c r="U172" i="17"/>
  <c r="J172" i="20" s="1"/>
  <c r="U171" i="17"/>
  <c r="J171" i="20" s="1"/>
  <c r="AG125" i="20" s="1"/>
  <c r="U173" i="17"/>
  <c r="J173" i="20" s="1"/>
  <c r="T171" i="17"/>
  <c r="I171" i="20" s="1"/>
  <c r="T173" i="17"/>
  <c r="I173" i="20" s="1"/>
  <c r="T172" i="17"/>
  <c r="I172" i="20" s="1"/>
  <c r="Q180" i="17"/>
  <c r="F180" i="20" s="1"/>
  <c r="Q179" i="17"/>
  <c r="F179" i="20" s="1"/>
  <c r="AC133" i="20" s="1"/>
  <c r="P179" i="17"/>
  <c r="E179" i="20" s="1"/>
  <c r="P180" i="17"/>
  <c r="E180" i="20" s="1"/>
  <c r="AB133" i="20" s="1"/>
  <c r="W15" i="17"/>
  <c r="L15" i="20" s="1"/>
  <c r="W17" i="17"/>
  <c r="L17" i="20" s="1"/>
  <c r="W19" i="17"/>
  <c r="L19" i="20" s="1"/>
  <c r="W14" i="17"/>
  <c r="L14" i="20" s="1"/>
  <c r="W16" i="17"/>
  <c r="L16" i="20" s="1"/>
  <c r="AI6" i="20" s="1"/>
  <c r="W18" i="17"/>
  <c r="L18" i="20" s="1"/>
  <c r="V14" i="17"/>
  <c r="K14" i="20" s="1"/>
  <c r="V16" i="17"/>
  <c r="K16" i="20" s="1"/>
  <c r="AH6" i="20" s="1"/>
  <c r="V18" i="17"/>
  <c r="K18" i="20" s="1"/>
  <c r="V15" i="17"/>
  <c r="K15" i="20" s="1"/>
  <c r="V17" i="17"/>
  <c r="K17" i="20" s="1"/>
  <c r="V19" i="17"/>
  <c r="K19" i="20" s="1"/>
  <c r="S104" i="17"/>
  <c r="H104" i="20" s="1"/>
  <c r="S106" i="17"/>
  <c r="H106" i="20" s="1"/>
  <c r="S105" i="17"/>
  <c r="H105" i="20" s="1"/>
  <c r="R105" i="17"/>
  <c r="G105" i="20" s="1"/>
  <c r="R104" i="17"/>
  <c r="G104" i="20" s="1"/>
  <c r="R106" i="17"/>
  <c r="G106" i="20" s="1"/>
  <c r="W45" i="17"/>
  <c r="L45" i="20" s="1"/>
  <c r="W47" i="17"/>
  <c r="L47" i="20" s="1"/>
  <c r="W49" i="17"/>
  <c r="L49" i="20" s="1"/>
  <c r="W44" i="17"/>
  <c r="L44" i="20" s="1"/>
  <c r="W46" i="17"/>
  <c r="L46" i="20" s="1"/>
  <c r="W48" i="17"/>
  <c r="L48" i="20" s="1"/>
  <c r="V44" i="17"/>
  <c r="K44" i="20" s="1"/>
  <c r="V46" i="17"/>
  <c r="K46" i="20" s="1"/>
  <c r="V48" i="17"/>
  <c r="K48" i="20" s="1"/>
  <c r="V45" i="17"/>
  <c r="K45" i="20" s="1"/>
  <c r="V47" i="17"/>
  <c r="K47" i="20" s="1"/>
  <c r="V49" i="17"/>
  <c r="K49" i="20" s="1"/>
  <c r="S57" i="17"/>
  <c r="H57" i="20" s="1"/>
  <c r="S59" i="17"/>
  <c r="H59" i="20" s="1"/>
  <c r="S61" i="17"/>
  <c r="H61" i="20" s="1"/>
  <c r="S56" i="17"/>
  <c r="H56" i="20" s="1"/>
  <c r="S58" i="17"/>
  <c r="H58" i="20" s="1"/>
  <c r="S60" i="17"/>
  <c r="H60" i="20" s="1"/>
  <c r="R56" i="17"/>
  <c r="G56" i="20" s="1"/>
  <c r="R58" i="17"/>
  <c r="G58" i="20" s="1"/>
  <c r="R60" i="17"/>
  <c r="G60" i="20" s="1"/>
  <c r="R57" i="17"/>
  <c r="G57" i="20" s="1"/>
  <c r="R59" i="17"/>
  <c r="G59" i="20" s="1"/>
  <c r="R61" i="17"/>
  <c r="G61" i="20" s="1"/>
  <c r="W27" i="17"/>
  <c r="L27" i="20" s="1"/>
  <c r="W29" i="17"/>
  <c r="L29" i="20" s="1"/>
  <c r="W31" i="17"/>
  <c r="L31" i="20" s="1"/>
  <c r="W26" i="17"/>
  <c r="L26" i="20" s="1"/>
  <c r="W28" i="17"/>
  <c r="L28" i="20" s="1"/>
  <c r="W30" i="17"/>
  <c r="L30" i="20" s="1"/>
  <c r="V26" i="17"/>
  <c r="K26" i="20" s="1"/>
  <c r="V28" i="17"/>
  <c r="K28" i="20" s="1"/>
  <c r="V30" i="17"/>
  <c r="K30" i="20" s="1"/>
  <c r="V27" i="17"/>
  <c r="K27" i="20" s="1"/>
  <c r="V29" i="17"/>
  <c r="K29" i="20" s="1"/>
  <c r="V31" i="17"/>
  <c r="K31" i="20" s="1"/>
  <c r="S39" i="17"/>
  <c r="H39" i="20" s="1"/>
  <c r="S41" i="17"/>
  <c r="H41" i="20" s="1"/>
  <c r="S43" i="17"/>
  <c r="H43" i="20" s="1"/>
  <c r="S38" i="17"/>
  <c r="H38" i="20" s="1"/>
  <c r="S40" i="17"/>
  <c r="H40" i="20" s="1"/>
  <c r="S42" i="17"/>
  <c r="H42" i="20" s="1"/>
  <c r="R38" i="17"/>
  <c r="G38" i="20" s="1"/>
  <c r="R40" i="17"/>
  <c r="G40" i="20" s="1"/>
  <c r="R42" i="17"/>
  <c r="G42" i="20" s="1"/>
  <c r="R39" i="17"/>
  <c r="G39" i="20" s="1"/>
  <c r="R41" i="17"/>
  <c r="G41" i="20" s="1"/>
  <c r="R43" i="17"/>
  <c r="G43" i="20" s="1"/>
  <c r="W51" i="17"/>
  <c r="L51" i="20" s="1"/>
  <c r="W53" i="17"/>
  <c r="L53" i="20" s="1"/>
  <c r="W55" i="17"/>
  <c r="L55" i="20" s="1"/>
  <c r="W50" i="17"/>
  <c r="L50" i="20" s="1"/>
  <c r="W52" i="17"/>
  <c r="L52" i="20" s="1"/>
  <c r="W54" i="17"/>
  <c r="L54" i="20" s="1"/>
  <c r="V50" i="17"/>
  <c r="K50" i="20" s="1"/>
  <c r="V52" i="17"/>
  <c r="K52" i="20" s="1"/>
  <c r="V54" i="17"/>
  <c r="K54" i="20" s="1"/>
  <c r="V51" i="17"/>
  <c r="K51" i="20" s="1"/>
  <c r="V53" i="17"/>
  <c r="K53" i="20" s="1"/>
  <c r="V55" i="17"/>
  <c r="K55" i="20" s="1"/>
  <c r="W140" i="17"/>
  <c r="L140" i="20" s="1"/>
  <c r="W142" i="17"/>
  <c r="L142" i="20" s="1"/>
  <c r="W141" i="17"/>
  <c r="L141" i="20" s="1"/>
  <c r="V141" i="17"/>
  <c r="K141" i="20" s="1"/>
  <c r="V140" i="17"/>
  <c r="K140" i="20" s="1"/>
  <c r="V142" i="17"/>
  <c r="K142" i="20" s="1"/>
  <c r="S145" i="17"/>
  <c r="H145" i="20" s="1"/>
  <c r="S153" i="17"/>
  <c r="H153" i="20" s="1"/>
  <c r="S155" i="17"/>
  <c r="H155" i="20" s="1"/>
  <c r="S157" i="17"/>
  <c r="H157" i="20" s="1"/>
  <c r="R145" i="17"/>
  <c r="G145" i="20" s="1"/>
  <c r="R153" i="17"/>
  <c r="G153" i="20" s="1"/>
  <c r="R155" i="17"/>
  <c r="G155" i="20" s="1"/>
  <c r="R157" i="17"/>
  <c r="G157" i="20" s="1"/>
  <c r="Q15" i="17"/>
  <c r="F15" i="20" s="1"/>
  <c r="Q17" i="17"/>
  <c r="F17" i="20" s="1"/>
  <c r="Q19" i="17"/>
  <c r="F19" i="20" s="1"/>
  <c r="Q14" i="17"/>
  <c r="F14" i="20" s="1"/>
  <c r="Q16" i="17"/>
  <c r="F16" i="20" s="1"/>
  <c r="AC6" i="20" s="1"/>
  <c r="Q18" i="17"/>
  <c r="F18" i="20" s="1"/>
  <c r="P14" i="17"/>
  <c r="E14" i="20" s="1"/>
  <c r="P16" i="17"/>
  <c r="E16" i="20" s="1"/>
  <c r="AB6" i="20" s="1"/>
  <c r="P18" i="17"/>
  <c r="E18" i="20" s="1"/>
  <c r="P15" i="17"/>
  <c r="E15" i="20" s="1"/>
  <c r="P17" i="17"/>
  <c r="E17" i="20" s="1"/>
  <c r="P19" i="17"/>
  <c r="E19" i="20" s="1"/>
  <c r="X14" i="17"/>
  <c r="M14" i="20" s="1"/>
  <c r="X16" i="17"/>
  <c r="M16" i="20" s="1"/>
  <c r="AJ6" i="20" s="1"/>
  <c r="X18" i="17"/>
  <c r="M18" i="20" s="1"/>
  <c r="X15" i="17"/>
  <c r="M15" i="20" s="1"/>
  <c r="X17" i="17"/>
  <c r="M17" i="20" s="1"/>
  <c r="X19" i="17"/>
  <c r="M19" i="20" s="1"/>
  <c r="U104" i="17"/>
  <c r="J104" i="20" s="1"/>
  <c r="U106" i="17"/>
  <c r="J106" i="20" s="1"/>
  <c r="U105" i="17"/>
  <c r="J105" i="20" s="1"/>
  <c r="T105" i="17"/>
  <c r="I105" i="20" s="1"/>
  <c r="T104" i="17"/>
  <c r="I104" i="20" s="1"/>
  <c r="T106" i="17"/>
  <c r="I106" i="20" s="1"/>
  <c r="Q45" i="17"/>
  <c r="F45" i="20" s="1"/>
  <c r="Q47" i="17"/>
  <c r="F47" i="20" s="1"/>
  <c r="Q49" i="17"/>
  <c r="F49" i="20" s="1"/>
  <c r="Q44" i="17"/>
  <c r="F44" i="20" s="1"/>
  <c r="Q46" i="17"/>
  <c r="F46" i="20" s="1"/>
  <c r="Q48" i="17"/>
  <c r="F48" i="20" s="1"/>
  <c r="P44" i="17"/>
  <c r="E44" i="20" s="1"/>
  <c r="P46" i="17"/>
  <c r="E46" i="20" s="1"/>
  <c r="P48" i="17"/>
  <c r="E48" i="20" s="1"/>
  <c r="P45" i="17"/>
  <c r="E45" i="20" s="1"/>
  <c r="P47" i="17"/>
  <c r="E47" i="20" s="1"/>
  <c r="P49" i="17"/>
  <c r="E49" i="20" s="1"/>
  <c r="X44" i="17"/>
  <c r="M44" i="20" s="1"/>
  <c r="X46" i="17"/>
  <c r="M46" i="20" s="1"/>
  <c r="X48" i="17"/>
  <c r="M48" i="20" s="1"/>
  <c r="X45" i="17"/>
  <c r="M45" i="20" s="1"/>
  <c r="X47" i="17"/>
  <c r="M47" i="20" s="1"/>
  <c r="X49" i="17"/>
  <c r="M49" i="20" s="1"/>
  <c r="U57" i="17"/>
  <c r="J57" i="20" s="1"/>
  <c r="U59" i="17"/>
  <c r="J59" i="20" s="1"/>
  <c r="U61" i="17"/>
  <c r="J61" i="20" s="1"/>
  <c r="U56" i="17"/>
  <c r="J56" i="20" s="1"/>
  <c r="U58" i="17"/>
  <c r="J58" i="20" s="1"/>
  <c r="U60" i="17"/>
  <c r="J60" i="20" s="1"/>
  <c r="T56" i="17"/>
  <c r="I56" i="20" s="1"/>
  <c r="T58" i="17"/>
  <c r="I58" i="20" s="1"/>
  <c r="T60" i="17"/>
  <c r="I60" i="20" s="1"/>
  <c r="T57" i="17"/>
  <c r="I57" i="20" s="1"/>
  <c r="T59" i="17"/>
  <c r="I59" i="20" s="1"/>
  <c r="T61" i="17"/>
  <c r="I61" i="20" s="1"/>
  <c r="Q27" i="17"/>
  <c r="F27" i="20" s="1"/>
  <c r="Q29" i="17"/>
  <c r="F29" i="20" s="1"/>
  <c r="Q31" i="17"/>
  <c r="F31" i="20" s="1"/>
  <c r="Q26" i="17"/>
  <c r="F26" i="20" s="1"/>
  <c r="Q28" i="17"/>
  <c r="F28" i="20" s="1"/>
  <c r="Q30" i="17"/>
  <c r="F30" i="20" s="1"/>
  <c r="P26" i="17"/>
  <c r="E26" i="20" s="1"/>
  <c r="P28" i="17"/>
  <c r="E28" i="20" s="1"/>
  <c r="P30" i="17"/>
  <c r="E30" i="20" s="1"/>
  <c r="P27" i="17"/>
  <c r="E27" i="20" s="1"/>
  <c r="P29" i="17"/>
  <c r="E29" i="20" s="1"/>
  <c r="P31" i="17"/>
  <c r="E31" i="20" s="1"/>
  <c r="X26" i="17"/>
  <c r="M26" i="20" s="1"/>
  <c r="X28" i="17"/>
  <c r="M28" i="20" s="1"/>
  <c r="X30" i="17"/>
  <c r="M30" i="20" s="1"/>
  <c r="X27" i="17"/>
  <c r="M27" i="20" s="1"/>
  <c r="X29" i="17"/>
  <c r="M29" i="20" s="1"/>
  <c r="X31" i="17"/>
  <c r="M31" i="20" s="1"/>
  <c r="U39" i="17"/>
  <c r="J39" i="20" s="1"/>
  <c r="U41" i="17"/>
  <c r="J41" i="20" s="1"/>
  <c r="U43" i="17"/>
  <c r="J43" i="20" s="1"/>
  <c r="U38" i="17"/>
  <c r="J38" i="20" s="1"/>
  <c r="U40" i="17"/>
  <c r="J40" i="20" s="1"/>
  <c r="U42" i="17"/>
  <c r="J42" i="20" s="1"/>
  <c r="T38" i="17"/>
  <c r="I38" i="20" s="1"/>
  <c r="T40" i="17"/>
  <c r="I40" i="20" s="1"/>
  <c r="T42" i="17"/>
  <c r="I42" i="20" s="1"/>
  <c r="T39" i="17"/>
  <c r="I39" i="20" s="1"/>
  <c r="T41" i="17"/>
  <c r="I41" i="20" s="1"/>
  <c r="T43" i="17"/>
  <c r="I43" i="20" s="1"/>
  <c r="Q51" i="17"/>
  <c r="F51" i="20" s="1"/>
  <c r="Q53" i="17"/>
  <c r="F53" i="20" s="1"/>
  <c r="Q55" i="17"/>
  <c r="F55" i="20" s="1"/>
  <c r="Q50" i="17"/>
  <c r="F50" i="20" s="1"/>
  <c r="Q52" i="17"/>
  <c r="F52" i="20" s="1"/>
  <c r="Q54" i="17"/>
  <c r="F54" i="20" s="1"/>
  <c r="P50" i="17"/>
  <c r="E50" i="20" s="1"/>
  <c r="P52" i="17"/>
  <c r="E52" i="20" s="1"/>
  <c r="P54" i="17"/>
  <c r="E54" i="20" s="1"/>
  <c r="P51" i="17"/>
  <c r="E51" i="20" s="1"/>
  <c r="P53" i="17"/>
  <c r="E53" i="20" s="1"/>
  <c r="P55" i="17"/>
  <c r="E55" i="20" s="1"/>
  <c r="X50" i="17"/>
  <c r="M50" i="20" s="1"/>
  <c r="X52" i="17"/>
  <c r="M52" i="20" s="1"/>
  <c r="X54" i="17"/>
  <c r="M54" i="20" s="1"/>
  <c r="X51" i="17"/>
  <c r="M51" i="20" s="1"/>
  <c r="X53" i="17"/>
  <c r="M53" i="20" s="1"/>
  <c r="X55" i="17"/>
  <c r="M55" i="20" s="1"/>
  <c r="Q140" i="17"/>
  <c r="F140" i="20" s="1"/>
  <c r="Q142" i="17"/>
  <c r="F142" i="20" s="1"/>
  <c r="Q141" i="17"/>
  <c r="F141" i="20" s="1"/>
  <c r="P141" i="17"/>
  <c r="E141" i="20" s="1"/>
  <c r="P140" i="17"/>
  <c r="E140" i="20" s="1"/>
  <c r="P142" i="17"/>
  <c r="E142" i="20" s="1"/>
  <c r="X141" i="17"/>
  <c r="M141" i="20" s="1"/>
  <c r="X140" i="17"/>
  <c r="M140" i="20" s="1"/>
  <c r="X142" i="17"/>
  <c r="M142" i="20" s="1"/>
  <c r="U145" i="17"/>
  <c r="J145" i="20" s="1"/>
  <c r="U153" i="17"/>
  <c r="J153" i="20" s="1"/>
  <c r="U155" i="17"/>
  <c r="J155" i="20" s="1"/>
  <c r="U157" i="17"/>
  <c r="J157" i="20" s="1"/>
  <c r="T145" i="17"/>
  <c r="I145" i="20" s="1"/>
  <c r="T153" i="17"/>
  <c r="I153" i="20" s="1"/>
  <c r="T155" i="17"/>
  <c r="I155" i="20" s="1"/>
  <c r="T157" i="17"/>
  <c r="I157" i="20" s="1"/>
  <c r="W21" i="17"/>
  <c r="L21" i="20" s="1"/>
  <c r="W23" i="17"/>
  <c r="L23" i="20" s="1"/>
  <c r="W25" i="17"/>
  <c r="L25" i="20" s="1"/>
  <c r="W20" i="17"/>
  <c r="L20" i="20" s="1"/>
  <c r="W22" i="17"/>
  <c r="L22" i="20" s="1"/>
  <c r="W24" i="17"/>
  <c r="L24" i="20" s="1"/>
  <c r="V20" i="17"/>
  <c r="K20" i="20" s="1"/>
  <c r="AH8" i="20" s="1"/>
  <c r="V22" i="17"/>
  <c r="K22" i="20" s="1"/>
  <c r="V24" i="17"/>
  <c r="K24" i="20" s="1"/>
  <c r="V21" i="17"/>
  <c r="K21" i="20" s="1"/>
  <c r="V23" i="17"/>
  <c r="K23" i="20" s="1"/>
  <c r="V25" i="17"/>
  <c r="K25" i="20" s="1"/>
  <c r="U21" i="17"/>
  <c r="J21" i="20" s="1"/>
  <c r="U23" i="17"/>
  <c r="J23" i="20" s="1"/>
  <c r="U25" i="17"/>
  <c r="J25" i="20" s="1"/>
  <c r="U20" i="17"/>
  <c r="J20" i="20" s="1"/>
  <c r="U22" i="17"/>
  <c r="J22" i="20" s="1"/>
  <c r="U24" i="17"/>
  <c r="J24" i="20" s="1"/>
  <c r="T20" i="17"/>
  <c r="I20" i="20" s="1"/>
  <c r="AF8" i="20" s="1"/>
  <c r="T22" i="17"/>
  <c r="I22" i="20" s="1"/>
  <c r="T24" i="17"/>
  <c r="I24" i="20" s="1"/>
  <c r="T21" i="17"/>
  <c r="I21" i="20" s="1"/>
  <c r="T23" i="17"/>
  <c r="I23" i="20" s="1"/>
  <c r="T25" i="17"/>
  <c r="I25" i="20" s="1"/>
  <c r="T96" i="17"/>
  <c r="I96" i="20" s="1"/>
  <c r="T98" i="17"/>
  <c r="I98" i="20" s="1"/>
  <c r="T97" i="17"/>
  <c r="I97" i="20" s="1"/>
  <c r="T62" i="17"/>
  <c r="I62" i="20" s="1"/>
  <c r="T64" i="17"/>
  <c r="I64" i="20" s="1"/>
  <c r="T66" i="17"/>
  <c r="I66" i="20" s="1"/>
  <c r="T63" i="17"/>
  <c r="I63" i="20" s="1"/>
  <c r="T65" i="17"/>
  <c r="I65" i="20" s="1"/>
  <c r="T67" i="17"/>
  <c r="I67" i="20" s="1"/>
  <c r="T32" i="17"/>
  <c r="I32" i="20" s="1"/>
  <c r="T34" i="17"/>
  <c r="I34" i="20" s="1"/>
  <c r="T36" i="17"/>
  <c r="I36" i="20" s="1"/>
  <c r="T33" i="17"/>
  <c r="I33" i="20" s="1"/>
  <c r="T35" i="17"/>
  <c r="I35" i="20" s="1"/>
  <c r="T37" i="17"/>
  <c r="I37" i="20" s="1"/>
  <c r="R96" i="17"/>
  <c r="G96" i="20" s="1"/>
  <c r="R98" i="17"/>
  <c r="G98" i="20" s="1"/>
  <c r="R97" i="17"/>
  <c r="G97" i="20" s="1"/>
  <c r="R62" i="17"/>
  <c r="G62" i="20" s="1"/>
  <c r="R64" i="17"/>
  <c r="G64" i="20" s="1"/>
  <c r="R66" i="17"/>
  <c r="G66" i="20" s="1"/>
  <c r="R63" i="17"/>
  <c r="G63" i="20" s="1"/>
  <c r="R65" i="17"/>
  <c r="G65" i="20" s="1"/>
  <c r="R67" i="17"/>
  <c r="G67" i="20" s="1"/>
  <c r="R161" i="17"/>
  <c r="G161" i="20" s="1"/>
  <c r="R160" i="17"/>
  <c r="G160" i="20" s="1"/>
  <c r="R162" i="17"/>
  <c r="G162" i="20" s="1"/>
  <c r="R8" i="17"/>
  <c r="G8" i="20" s="1"/>
  <c r="R10" i="17"/>
  <c r="G10" i="20" s="1"/>
  <c r="R12" i="17"/>
  <c r="G12" i="20" s="1"/>
  <c r="R9" i="17"/>
  <c r="G9" i="20" s="1"/>
  <c r="R11" i="17"/>
  <c r="G11" i="20" s="1"/>
  <c r="R13" i="17"/>
  <c r="G13" i="20" s="1"/>
  <c r="R32" i="17"/>
  <c r="G32" i="20" s="1"/>
  <c r="R34" i="17"/>
  <c r="G34" i="20" s="1"/>
  <c r="R36" i="17"/>
  <c r="G36" i="20" s="1"/>
  <c r="R33" i="17"/>
  <c r="G33" i="20" s="1"/>
  <c r="R35" i="17"/>
  <c r="G35" i="20" s="1"/>
  <c r="R37" i="17"/>
  <c r="G37" i="20" s="1"/>
  <c r="W97" i="17"/>
  <c r="L97" i="20" s="1"/>
  <c r="W96" i="17"/>
  <c r="L96" i="20" s="1"/>
  <c r="W98" i="17"/>
  <c r="L98" i="20" s="1"/>
  <c r="W63" i="17"/>
  <c r="L63" i="20" s="1"/>
  <c r="W65" i="17"/>
  <c r="L65" i="20" s="1"/>
  <c r="W67" i="17"/>
  <c r="L67" i="20" s="1"/>
  <c r="W62" i="17"/>
  <c r="L62" i="20" s="1"/>
  <c r="W64" i="17"/>
  <c r="L64" i="20" s="1"/>
  <c r="W66" i="17"/>
  <c r="L66" i="20" s="1"/>
  <c r="Q97" i="17"/>
  <c r="F97" i="20" s="1"/>
  <c r="Q96" i="17"/>
  <c r="F96" i="20" s="1"/>
  <c r="Q98" i="17"/>
  <c r="F98" i="20" s="1"/>
  <c r="X96" i="17"/>
  <c r="M96" i="20" s="1"/>
  <c r="X98" i="17"/>
  <c r="M98" i="20" s="1"/>
  <c r="X97" i="17"/>
  <c r="M97" i="20" s="1"/>
  <c r="P62" i="17"/>
  <c r="E62" i="20" s="1"/>
  <c r="P64" i="17"/>
  <c r="E64" i="20" s="1"/>
  <c r="P66" i="17"/>
  <c r="E66" i="20" s="1"/>
  <c r="P63" i="17"/>
  <c r="E63" i="20" s="1"/>
  <c r="P65" i="17"/>
  <c r="E65" i="20" s="1"/>
  <c r="P67" i="17"/>
  <c r="E67" i="20" s="1"/>
  <c r="X129" i="20"/>
  <c r="X133" i="20"/>
  <c r="S149" i="20"/>
  <c r="S150" i="20"/>
  <c r="S151" i="20"/>
  <c r="T129" i="20"/>
  <c r="T133" i="20"/>
  <c r="U129" i="20"/>
  <c r="U133" i="20"/>
  <c r="W149" i="20"/>
  <c r="W150" i="20"/>
  <c r="W151" i="20"/>
  <c r="V149" i="20"/>
  <c r="V150" i="20"/>
  <c r="V151" i="20"/>
  <c r="S182" i="20"/>
  <c r="S183" i="20"/>
  <c r="R182" i="20"/>
  <c r="R183" i="20"/>
  <c r="R129" i="20"/>
  <c r="R133" i="20"/>
  <c r="S129" i="20"/>
  <c r="S133" i="20"/>
  <c r="Q149" i="20"/>
  <c r="Q150" i="20"/>
  <c r="Q151" i="20"/>
  <c r="T149" i="20"/>
  <c r="T150" i="20"/>
  <c r="T151" i="20"/>
  <c r="Q182" i="20"/>
  <c r="Q183" i="20"/>
  <c r="T182" i="20"/>
  <c r="T183" i="20"/>
  <c r="Q160" i="20"/>
  <c r="Q161" i="20"/>
  <c r="Q162" i="20"/>
  <c r="Q129" i="20"/>
  <c r="Q133" i="20"/>
  <c r="R149" i="20"/>
  <c r="R150" i="20"/>
  <c r="R151" i="20"/>
  <c r="V182" i="20"/>
  <c r="V183" i="20"/>
  <c r="V129" i="20"/>
  <c r="V133" i="20"/>
  <c r="W129" i="20"/>
  <c r="W133" i="20"/>
  <c r="U149" i="20"/>
  <c r="U150" i="20"/>
  <c r="U151" i="20"/>
  <c r="X149" i="20"/>
  <c r="X150" i="20"/>
  <c r="X151" i="20"/>
  <c r="U182" i="20"/>
  <c r="U183" i="20"/>
  <c r="X182" i="20"/>
  <c r="X183" i="20"/>
  <c r="X160" i="20"/>
  <c r="X161" i="20"/>
  <c r="X162" i="20"/>
  <c r="U160" i="20"/>
  <c r="U161" i="20"/>
  <c r="U162" i="20"/>
  <c r="V160" i="20"/>
  <c r="V161" i="20"/>
  <c r="V162" i="20"/>
  <c r="P161" i="20"/>
  <c r="P160" i="20"/>
  <c r="P162" i="20"/>
  <c r="P129" i="20"/>
  <c r="P133" i="20"/>
  <c r="P149" i="20"/>
  <c r="P151" i="20"/>
  <c r="P150" i="20"/>
  <c r="P182" i="20"/>
  <c r="P183" i="20"/>
  <c r="O182" i="20"/>
  <c r="O183" i="20"/>
  <c r="O125" i="20"/>
  <c r="O132" i="20"/>
  <c r="O129" i="20"/>
  <c r="O133" i="20"/>
  <c r="AA91" i="20"/>
  <c r="O139" i="20" s="1"/>
  <c r="AA129" i="20"/>
  <c r="O175" i="20" s="1"/>
  <c r="AA55" i="20"/>
  <c r="O117" i="20" s="1"/>
  <c r="AA84" i="20"/>
  <c r="O137" i="20" s="1"/>
  <c r="AA110" i="20"/>
  <c r="AA114" i="20"/>
  <c r="AA5" i="20"/>
  <c r="AA11" i="20"/>
  <c r="AA106" i="20"/>
  <c r="AA79" i="20"/>
  <c r="O134" i="20" s="1"/>
  <c r="AA46" i="20"/>
  <c r="O107" i="20" s="1"/>
  <c r="AA73" i="20"/>
  <c r="O128" i="20" s="1"/>
  <c r="AA72" i="20"/>
  <c r="O127" i="20" s="1"/>
  <c r="AA76" i="20"/>
  <c r="O130" i="20" s="1"/>
  <c r="AA134" i="20"/>
  <c r="O181" i="20" s="1"/>
  <c r="AA128" i="20"/>
  <c r="O174" i="20" s="1"/>
  <c r="AA80" i="20"/>
  <c r="O135" i="20" s="1"/>
  <c r="AA89" i="20"/>
  <c r="O138" i="20" s="1"/>
  <c r="AA82" i="20"/>
  <c r="O136" i="20" s="1"/>
  <c r="AA59" i="20"/>
  <c r="O120" i="20" s="1"/>
  <c r="AA61" i="20"/>
  <c r="O119" i="20" s="1"/>
  <c r="AA56" i="20"/>
  <c r="O118" i="20" s="1"/>
  <c r="AA41" i="20"/>
  <c r="O103" i="20" s="1"/>
  <c r="AA39" i="20"/>
  <c r="O102" i="20" s="1"/>
  <c r="AA70" i="20"/>
  <c r="O126" i="20" s="1"/>
  <c r="O81" i="17"/>
  <c r="D81" i="20" s="1"/>
  <c r="O83" i="17"/>
  <c r="D83" i="20" s="1"/>
  <c r="O80" i="17"/>
  <c r="D80" i="20" s="1"/>
  <c r="O82" i="17"/>
  <c r="D82" i="20" s="1"/>
  <c r="O147" i="17"/>
  <c r="D147" i="20" s="1"/>
  <c r="O148" i="17"/>
  <c r="D148" i="20" s="1"/>
  <c r="O93" i="17"/>
  <c r="D93" i="20" s="1"/>
  <c r="O95" i="17"/>
  <c r="D95" i="20" s="1"/>
  <c r="O92" i="17"/>
  <c r="D92" i="20" s="1"/>
  <c r="O94" i="17"/>
  <c r="D94" i="20" s="1"/>
  <c r="O99" i="17"/>
  <c r="D99" i="20" s="1"/>
  <c r="O100" i="17"/>
  <c r="D100" i="20" s="1"/>
  <c r="O143" i="17"/>
  <c r="D143" i="20" s="1"/>
  <c r="O144" i="17"/>
  <c r="D144" i="20" s="1"/>
  <c r="O152" i="17"/>
  <c r="D152" i="20" s="1"/>
  <c r="O167" i="17"/>
  <c r="D167" i="20" s="1"/>
  <c r="O169" i="17"/>
  <c r="D169" i="20" s="1"/>
  <c r="O170" i="17"/>
  <c r="D170" i="20" s="1"/>
  <c r="O168" i="17"/>
  <c r="D168" i="20" s="1"/>
  <c r="O165" i="17"/>
  <c r="D165" i="20" s="1"/>
  <c r="O166" i="17"/>
  <c r="D166" i="20" s="1"/>
  <c r="O164" i="17"/>
  <c r="D164" i="20" s="1"/>
  <c r="O121" i="17"/>
  <c r="D121" i="20" s="1"/>
  <c r="O123" i="17"/>
  <c r="D123" i="20" s="1"/>
  <c r="O122" i="17"/>
  <c r="D122" i="20" s="1"/>
  <c r="O73" i="17"/>
  <c r="D73" i="20" s="1"/>
  <c r="O75" i="17"/>
  <c r="D75" i="20" s="1"/>
  <c r="O72" i="17"/>
  <c r="D72" i="20" s="1"/>
  <c r="O74" i="17"/>
  <c r="D74" i="20" s="1"/>
  <c r="O85" i="17"/>
  <c r="D85" i="20" s="1"/>
  <c r="O87" i="17"/>
  <c r="D87" i="20" s="1"/>
  <c r="O84" i="17"/>
  <c r="D84" i="20" s="1"/>
  <c r="O86" i="17"/>
  <c r="D86" i="20" s="1"/>
  <c r="O109" i="17"/>
  <c r="D109" i="20" s="1"/>
  <c r="O108" i="17"/>
  <c r="D108" i="20" s="1"/>
  <c r="O110" i="17"/>
  <c r="D110" i="20" s="1"/>
  <c r="O171" i="17"/>
  <c r="D171" i="20" s="1"/>
  <c r="O173" i="17"/>
  <c r="D173" i="20" s="1"/>
  <c r="O172" i="17"/>
  <c r="D172" i="20" s="1"/>
  <c r="O105" i="17"/>
  <c r="D105" i="20" s="1"/>
  <c r="O104" i="17"/>
  <c r="D104" i="20" s="1"/>
  <c r="O106" i="17"/>
  <c r="D106" i="20" s="1"/>
  <c r="O57" i="17"/>
  <c r="D57" i="20" s="1"/>
  <c r="O59" i="17"/>
  <c r="D59" i="20" s="1"/>
  <c r="O61" i="17"/>
  <c r="D61" i="20" s="1"/>
  <c r="O56" i="17"/>
  <c r="D56" i="20" s="1"/>
  <c r="O58" i="17"/>
  <c r="D58" i="20" s="1"/>
  <c r="O60" i="17"/>
  <c r="D60" i="20" s="1"/>
  <c r="O39" i="17"/>
  <c r="D39" i="20" s="1"/>
  <c r="O41" i="17"/>
  <c r="D41" i="20" s="1"/>
  <c r="O43" i="17"/>
  <c r="D43" i="20" s="1"/>
  <c r="O38" i="17"/>
  <c r="D38" i="20" s="1"/>
  <c r="O40" i="17"/>
  <c r="D40" i="20" s="1"/>
  <c r="O42" i="17"/>
  <c r="D42" i="20" s="1"/>
  <c r="O145" i="17"/>
  <c r="D145" i="20" s="1"/>
  <c r="O153" i="17"/>
  <c r="D153" i="20" s="1"/>
  <c r="O155" i="17"/>
  <c r="D155" i="20" s="1"/>
  <c r="O157" i="17"/>
  <c r="D157" i="20" s="1"/>
  <c r="O97" i="17"/>
  <c r="D97" i="20" s="1"/>
  <c r="O96" i="17"/>
  <c r="D96" i="20" s="1"/>
  <c r="O98" i="17"/>
  <c r="D98" i="20" s="1"/>
  <c r="O63" i="17"/>
  <c r="D63" i="20" s="1"/>
  <c r="O65" i="17"/>
  <c r="D65" i="20" s="1"/>
  <c r="O67" i="17"/>
  <c r="D67" i="20" s="1"/>
  <c r="O62" i="17"/>
  <c r="D62" i="20" s="1"/>
  <c r="O64" i="17"/>
  <c r="D64" i="20" s="1"/>
  <c r="O66" i="17"/>
  <c r="D66" i="20" s="1"/>
  <c r="O3" i="17"/>
  <c r="D3" i="20" s="1"/>
  <c r="O5" i="17"/>
  <c r="D5" i="20" s="1"/>
  <c r="O7" i="17"/>
  <c r="D7" i="20" s="1"/>
  <c r="O4" i="17"/>
  <c r="D4" i="20" s="1"/>
  <c r="O6" i="17"/>
  <c r="D6" i="20" s="1"/>
  <c r="O146" i="17"/>
  <c r="D146" i="20" s="1"/>
  <c r="O154" i="17"/>
  <c r="D154" i="20" s="1"/>
  <c r="O156" i="17"/>
  <c r="D156" i="20" s="1"/>
  <c r="O111" i="17"/>
  <c r="D111" i="20" s="1"/>
  <c r="O113" i="17"/>
  <c r="D113" i="20" s="1"/>
  <c r="O112" i="17"/>
  <c r="D112" i="20" s="1"/>
  <c r="O115" i="17"/>
  <c r="D115" i="20" s="1"/>
  <c r="O114" i="17"/>
  <c r="D114" i="20" s="1"/>
  <c r="O116" i="17"/>
  <c r="D116" i="20" s="1"/>
  <c r="O177" i="17"/>
  <c r="D177" i="20" s="1"/>
  <c r="O176" i="17"/>
  <c r="D176" i="20" s="1"/>
  <c r="O178" i="17"/>
  <c r="D178" i="20" s="1"/>
  <c r="O69" i="17"/>
  <c r="D69" i="20" s="1"/>
  <c r="O71" i="17"/>
  <c r="D71" i="20" s="1"/>
  <c r="O68" i="17"/>
  <c r="D68" i="20" s="1"/>
  <c r="O70" i="17"/>
  <c r="D70" i="20" s="1"/>
  <c r="O77" i="17"/>
  <c r="D77" i="20" s="1"/>
  <c r="O79" i="17"/>
  <c r="D79" i="20" s="1"/>
  <c r="O76" i="17"/>
  <c r="D76" i="20" s="1"/>
  <c r="O78" i="17"/>
  <c r="D78" i="20" s="1"/>
  <c r="O89" i="17"/>
  <c r="D89" i="20" s="1"/>
  <c r="O91" i="17"/>
  <c r="D91" i="20" s="1"/>
  <c r="O88" i="17"/>
  <c r="D88" i="20" s="1"/>
  <c r="O90" i="17"/>
  <c r="D90" i="20" s="1"/>
  <c r="O131" i="17"/>
  <c r="D131" i="20" s="1"/>
  <c r="O124" i="17"/>
  <c r="D124" i="20" s="1"/>
  <c r="O179" i="17"/>
  <c r="D179" i="20" s="1"/>
  <c r="O180" i="17"/>
  <c r="D180" i="20" s="1"/>
  <c r="O15" i="17"/>
  <c r="D15" i="20" s="1"/>
  <c r="O17" i="17"/>
  <c r="D17" i="20" s="1"/>
  <c r="O19" i="17"/>
  <c r="D19" i="20" s="1"/>
  <c r="O14" i="17"/>
  <c r="D14" i="20" s="1"/>
  <c r="O16" i="17"/>
  <c r="D16" i="20" s="1"/>
  <c r="AA6" i="20" s="1"/>
  <c r="O18" i="17"/>
  <c r="D18" i="20" s="1"/>
  <c r="O45" i="17"/>
  <c r="D45" i="20" s="1"/>
  <c r="O47" i="17"/>
  <c r="D47" i="20" s="1"/>
  <c r="O49" i="17"/>
  <c r="D49" i="20" s="1"/>
  <c r="O44" i="17"/>
  <c r="D44" i="20" s="1"/>
  <c r="O46" i="17"/>
  <c r="D46" i="20" s="1"/>
  <c r="O48" i="17"/>
  <c r="D48" i="20" s="1"/>
  <c r="O27" i="17"/>
  <c r="D27" i="20" s="1"/>
  <c r="O29" i="17"/>
  <c r="D29" i="20" s="1"/>
  <c r="O31" i="17"/>
  <c r="D31" i="20" s="1"/>
  <c r="O26" i="17"/>
  <c r="D26" i="20" s="1"/>
  <c r="O28" i="17"/>
  <c r="D28" i="20" s="1"/>
  <c r="O30" i="17"/>
  <c r="D30" i="20" s="1"/>
  <c r="O51" i="17"/>
  <c r="D51" i="20" s="1"/>
  <c r="O53" i="17"/>
  <c r="D53" i="20" s="1"/>
  <c r="O55" i="17"/>
  <c r="D55" i="20" s="1"/>
  <c r="O50" i="17"/>
  <c r="D50" i="20" s="1"/>
  <c r="O52" i="17"/>
  <c r="D52" i="20" s="1"/>
  <c r="O54" i="17"/>
  <c r="D54" i="20" s="1"/>
  <c r="O141" i="17"/>
  <c r="D141" i="20" s="1"/>
  <c r="O142" i="17"/>
  <c r="D142" i="20" s="1"/>
  <c r="O140" i="17"/>
  <c r="D140" i="20" s="1"/>
  <c r="O21" i="17"/>
  <c r="D21" i="20" s="1"/>
  <c r="O23" i="17"/>
  <c r="D23" i="20" s="1"/>
  <c r="O25" i="17"/>
  <c r="D25" i="20" s="1"/>
  <c r="O20" i="17"/>
  <c r="D20" i="20" s="1"/>
  <c r="O22" i="17"/>
  <c r="D22" i="20" s="1"/>
  <c r="O24" i="17"/>
  <c r="D24" i="20" s="1"/>
  <c r="AA137" i="17"/>
  <c r="H185" i="8" s="1"/>
  <c r="H2" i="8" s="1"/>
  <c r="AI137" i="17"/>
  <c r="P185" i="8" s="1"/>
  <c r="P2" i="8" s="1"/>
  <c r="AH137" i="17"/>
  <c r="O185" i="8" s="1"/>
  <c r="O2" i="8" s="1"/>
  <c r="AC137" i="17"/>
  <c r="J185" i="8" s="1"/>
  <c r="J2" i="8" s="1"/>
  <c r="AB137" i="17"/>
  <c r="I185" i="8" s="1"/>
  <c r="I2" i="8" s="1"/>
  <c r="AJ137" i="17"/>
  <c r="Q185" i="8" s="1"/>
  <c r="Q2" i="8" s="1"/>
  <c r="AE137" i="17"/>
  <c r="L185" i="8" s="1"/>
  <c r="L2" i="8" s="1"/>
  <c r="AD137" i="17"/>
  <c r="K185" i="8" s="1"/>
  <c r="K2" i="8" s="1"/>
  <c r="AG137" i="17"/>
  <c r="N185" i="8" s="1"/>
  <c r="N2" i="8" s="1"/>
  <c r="AF137" i="17"/>
  <c r="M185" i="8" s="1"/>
  <c r="M2" i="8" s="1"/>
  <c r="K69" i="6"/>
  <c r="K71" i="6"/>
  <c r="K68" i="6"/>
  <c r="K70" i="6"/>
  <c r="K39" i="6"/>
  <c r="K41" i="6"/>
  <c r="K43" i="6"/>
  <c r="K38" i="6"/>
  <c r="K40" i="6"/>
  <c r="K42" i="6"/>
  <c r="K27" i="6"/>
  <c r="K29" i="6"/>
  <c r="K31" i="6"/>
  <c r="K26" i="6"/>
  <c r="K28" i="6"/>
  <c r="K30" i="6"/>
  <c r="K117" i="6"/>
  <c r="K126" i="6"/>
  <c r="K146" i="6"/>
  <c r="K154" i="6"/>
  <c r="K156" i="6"/>
  <c r="K33" i="6"/>
  <c r="K35" i="6"/>
  <c r="K37" i="6"/>
  <c r="K32" i="6"/>
  <c r="K34" i="6"/>
  <c r="K36" i="6"/>
  <c r="J118" i="6"/>
  <c r="K120" i="6"/>
  <c r="J174" i="6"/>
  <c r="J139" i="6"/>
  <c r="J135" i="6"/>
  <c r="J115" i="6"/>
  <c r="J114" i="6"/>
  <c r="J116" i="6"/>
  <c r="J73" i="6"/>
  <c r="J75" i="6"/>
  <c r="J72" i="6"/>
  <c r="J74" i="6"/>
  <c r="J3" i="6"/>
  <c r="J7" i="6"/>
  <c r="J4" i="6"/>
  <c r="J6" i="6"/>
  <c r="J2" i="6"/>
  <c r="K85" i="6"/>
  <c r="K87" i="6"/>
  <c r="K84" i="6"/>
  <c r="K86" i="6"/>
  <c r="K51" i="6"/>
  <c r="K53" i="6"/>
  <c r="K55" i="6"/>
  <c r="K50" i="6"/>
  <c r="K52" i="6"/>
  <c r="K54" i="6"/>
  <c r="K138" i="6"/>
  <c r="K105" i="6"/>
  <c r="K104" i="6"/>
  <c r="K106" i="6"/>
  <c r="K165" i="6"/>
  <c r="K164" i="6"/>
  <c r="K166" i="6"/>
  <c r="J147" i="6"/>
  <c r="J148" i="6"/>
  <c r="J99" i="6"/>
  <c r="J100" i="6"/>
  <c r="J141" i="6"/>
  <c r="J140" i="6"/>
  <c r="J142" i="6"/>
  <c r="K131" i="6"/>
  <c r="K124" i="6"/>
  <c r="K125" i="6"/>
  <c r="K132" i="6"/>
  <c r="J175" i="6"/>
  <c r="J93" i="6"/>
  <c r="J95" i="6"/>
  <c r="J92" i="6"/>
  <c r="J94" i="6"/>
  <c r="J127" i="6"/>
  <c r="J102" i="6"/>
  <c r="J149" i="6"/>
  <c r="J151" i="6"/>
  <c r="J150" i="6"/>
  <c r="J107" i="6"/>
  <c r="J171" i="6"/>
  <c r="J173" i="6"/>
  <c r="J172" i="6"/>
  <c r="J143" i="6"/>
  <c r="J144" i="6"/>
  <c r="J152" i="6"/>
  <c r="J119" i="6"/>
  <c r="J101" i="6"/>
  <c r="J183" i="6"/>
  <c r="J182" i="6"/>
  <c r="J109" i="6"/>
  <c r="J108" i="6"/>
  <c r="J110" i="6"/>
  <c r="J9" i="6"/>
  <c r="J11" i="6"/>
  <c r="J13" i="6"/>
  <c r="J10" i="6"/>
  <c r="J12" i="6"/>
  <c r="J121" i="6"/>
  <c r="J123" i="6"/>
  <c r="J122" i="6"/>
  <c r="J77" i="6"/>
  <c r="J79" i="6"/>
  <c r="J76" i="6"/>
  <c r="J78" i="6"/>
  <c r="J130" i="6"/>
  <c r="K134" i="6"/>
  <c r="J45" i="6"/>
  <c r="J47" i="6"/>
  <c r="J49" i="6"/>
  <c r="J44" i="6"/>
  <c r="J46" i="6"/>
  <c r="J48" i="6"/>
  <c r="J81" i="6"/>
  <c r="J83" i="6"/>
  <c r="J80" i="6"/>
  <c r="J82" i="6"/>
  <c r="J145" i="6"/>
  <c r="J153" i="6"/>
  <c r="J155" i="6"/>
  <c r="J157" i="6"/>
  <c r="J21" i="6"/>
  <c r="J23" i="6"/>
  <c r="J25" i="6"/>
  <c r="J20" i="6"/>
  <c r="J22" i="6"/>
  <c r="J24" i="6"/>
  <c r="J103" i="6"/>
  <c r="J167" i="6"/>
  <c r="J169" i="6"/>
  <c r="J168" i="6"/>
  <c r="J170" i="6"/>
  <c r="J136" i="6"/>
  <c r="J112" i="6"/>
  <c r="J113" i="6"/>
  <c r="J111" i="6"/>
  <c r="J57" i="6"/>
  <c r="J59" i="6"/>
  <c r="J61" i="6"/>
  <c r="J56" i="6"/>
  <c r="J58" i="6"/>
  <c r="J60" i="6"/>
  <c r="J97" i="6"/>
  <c r="J96" i="6"/>
  <c r="J98" i="6"/>
  <c r="J159" i="6"/>
  <c r="J163" i="6"/>
  <c r="J158" i="6"/>
  <c r="J15" i="6"/>
  <c r="J17" i="6"/>
  <c r="J19" i="6"/>
  <c r="J14" i="6"/>
  <c r="J16" i="6"/>
  <c r="J18" i="6"/>
  <c r="J63" i="6"/>
  <c r="J65" i="6"/>
  <c r="J67" i="6"/>
  <c r="J62" i="6"/>
  <c r="J64" i="6"/>
  <c r="J66" i="6"/>
  <c r="J21" i="5"/>
  <c r="J61" i="5"/>
  <c r="J136" i="5"/>
  <c r="J82" i="5"/>
  <c r="J48" i="5"/>
  <c r="J50" i="5"/>
  <c r="J15" i="5"/>
  <c r="J35" i="5"/>
  <c r="J110" i="5"/>
  <c r="J76" i="5"/>
  <c r="J91" i="5"/>
  <c r="J80" i="5"/>
  <c r="J9" i="5"/>
  <c r="J41" i="5"/>
  <c r="J106" i="5"/>
  <c r="J46" i="5"/>
  <c r="J20" i="5"/>
  <c r="J31" i="5"/>
  <c r="J72" i="5"/>
  <c r="J39" i="5"/>
  <c r="J54" i="5"/>
  <c r="J125" i="5"/>
  <c r="J121" i="5"/>
  <c r="J95" i="5"/>
  <c r="J37" i="5"/>
  <c r="J5" i="5"/>
  <c r="J65" i="5"/>
  <c r="J23" i="5"/>
  <c r="J7" i="5"/>
  <c r="J16" i="5"/>
  <c r="J129" i="5"/>
  <c r="J99" i="5"/>
  <c r="J24" i="5"/>
  <c r="J13" i="5"/>
  <c r="J128" i="5"/>
  <c r="J94" i="5"/>
  <c r="J34" i="5"/>
  <c r="J4" i="5"/>
  <c r="J104" i="5"/>
  <c r="J56" i="5"/>
  <c r="J2" i="5"/>
  <c r="K5" i="6" s="1"/>
  <c r="W182" i="20" l="1"/>
  <c r="X36" i="20"/>
  <c r="R125" i="20"/>
  <c r="U125" i="20"/>
  <c r="X32" i="20"/>
  <c r="W159" i="20"/>
  <c r="AE3" i="20"/>
  <c r="X37" i="20"/>
  <c r="W163" i="20"/>
  <c r="X35" i="20"/>
  <c r="AG31" i="20"/>
  <c r="AE121" i="20"/>
  <c r="AG2" i="20"/>
  <c r="AA8" i="20"/>
  <c r="AG8" i="20"/>
  <c r="AI8" i="20"/>
  <c r="AC8" i="20"/>
  <c r="AE8" i="20"/>
  <c r="AD3" i="20"/>
  <c r="AI5" i="20"/>
  <c r="AG5" i="20"/>
  <c r="AJ5" i="20"/>
  <c r="AH5" i="20"/>
  <c r="AF5" i="20"/>
  <c r="AC5" i="20"/>
  <c r="AB5" i="20"/>
  <c r="AC7" i="20"/>
  <c r="AI7" i="20"/>
  <c r="AE11" i="20"/>
  <c r="AG11" i="20"/>
  <c r="AG7" i="20"/>
  <c r="AE7" i="20"/>
  <c r="AJ7" i="20"/>
  <c r="AB7" i="20"/>
  <c r="AH7" i="20"/>
  <c r="AF7" i="20"/>
  <c r="AD7" i="20"/>
  <c r="R14" i="20" s="1"/>
  <c r="AE94" i="20"/>
  <c r="AC125" i="20"/>
  <c r="AF68" i="20"/>
  <c r="AB48" i="20"/>
  <c r="AG29" i="20"/>
  <c r="AC20" i="20"/>
  <c r="AG17" i="20"/>
  <c r="AC65" i="20"/>
  <c r="AB119" i="20"/>
  <c r="AF54" i="20"/>
  <c r="AF104" i="20"/>
  <c r="AJ95" i="20"/>
  <c r="AC95" i="20"/>
  <c r="AG50" i="20"/>
  <c r="AJ34" i="20"/>
  <c r="AB34" i="20"/>
  <c r="AC31" i="20"/>
  <c r="AG24" i="20"/>
  <c r="AE133" i="20"/>
  <c r="AI125" i="20"/>
  <c r="AD68" i="20"/>
  <c r="AE68" i="20"/>
  <c r="AI48" i="20"/>
  <c r="AE29" i="20"/>
  <c r="AI26" i="20"/>
  <c r="AA133" i="20"/>
  <c r="AE23" i="20"/>
  <c r="AI20" i="20"/>
  <c r="AE17" i="20"/>
  <c r="AI65" i="20"/>
  <c r="AE132" i="20"/>
  <c r="AI119" i="20"/>
  <c r="AE54" i="20"/>
  <c r="AI121" i="20"/>
  <c r="AI35" i="20"/>
  <c r="AD11" i="20"/>
  <c r="AF11" i="20"/>
  <c r="AJ94" i="20"/>
  <c r="AG44" i="20"/>
  <c r="AH94" i="20"/>
  <c r="AD44" i="20"/>
  <c r="AE104" i="20"/>
  <c r="AI95" i="20"/>
  <c r="AE50" i="20"/>
  <c r="AH34" i="20"/>
  <c r="AI34" i="20"/>
  <c r="AE100" i="20"/>
  <c r="AI31" i="20"/>
  <c r="AE24" i="20"/>
  <c r="AH2" i="20"/>
  <c r="V15" i="20"/>
  <c r="V17" i="20"/>
  <c r="V19" i="20"/>
  <c r="V14" i="20"/>
  <c r="V16" i="20"/>
  <c r="V18" i="20"/>
  <c r="AD5" i="20"/>
  <c r="AF16" i="20"/>
  <c r="AF35" i="20"/>
  <c r="AG99" i="20"/>
  <c r="AJ14" i="20"/>
  <c r="AC14" i="20"/>
  <c r="AG12" i="20"/>
  <c r="AB10" i="20"/>
  <c r="AC10" i="20"/>
  <c r="AF15" i="20"/>
  <c r="AG15" i="20"/>
  <c r="AJ13" i="20"/>
  <c r="AC13" i="20"/>
  <c r="AE99" i="20"/>
  <c r="AI94" i="20"/>
  <c r="AE44" i="20"/>
  <c r="AF125" i="20"/>
  <c r="AB29" i="20"/>
  <c r="AF26" i="20"/>
  <c r="AJ23" i="20"/>
  <c r="AB17" i="20"/>
  <c r="AF65" i="20"/>
  <c r="AC132" i="20"/>
  <c r="AG119" i="20"/>
  <c r="AF121" i="20"/>
  <c r="AB24" i="20"/>
  <c r="AD20" i="20"/>
  <c r="AD95" i="20"/>
  <c r="AD31" i="20"/>
  <c r="AA2" i="20"/>
  <c r="AB16" i="20"/>
  <c r="AJ35" i="20"/>
  <c r="AC35" i="20"/>
  <c r="AI16" i="20"/>
  <c r="AD114" i="20"/>
  <c r="R161" i="20" s="1"/>
  <c r="AD16" i="20"/>
  <c r="AD35" i="20"/>
  <c r="AF9" i="20"/>
  <c r="AG9" i="20"/>
  <c r="AH9" i="20"/>
  <c r="AI9" i="20"/>
  <c r="AF99" i="20"/>
  <c r="AB94" i="20"/>
  <c r="P141" i="20" s="1"/>
  <c r="AC94" i="20"/>
  <c r="AB14" i="20"/>
  <c r="AF12" i="20"/>
  <c r="AJ10" i="20"/>
  <c r="AB13" i="20"/>
  <c r="AF44" i="20"/>
  <c r="AD99" i="20"/>
  <c r="AH14" i="20"/>
  <c r="V55" i="20" s="1"/>
  <c r="AI14" i="20"/>
  <c r="AD12" i="20"/>
  <c r="AE12" i="20"/>
  <c r="AH10" i="20"/>
  <c r="AI10" i="20"/>
  <c r="AD15" i="20"/>
  <c r="AE15" i="20"/>
  <c r="AH13" i="20"/>
  <c r="V49" i="20" s="1"/>
  <c r="AI13" i="20"/>
  <c r="AF48" i="20"/>
  <c r="AJ29" i="20"/>
  <c r="AC29" i="20"/>
  <c r="AG26" i="20"/>
  <c r="AB23" i="20"/>
  <c r="AF20" i="20"/>
  <c r="AJ17" i="20"/>
  <c r="X68" i="20" s="1"/>
  <c r="AC17" i="20"/>
  <c r="AJ132" i="20"/>
  <c r="AB54" i="20"/>
  <c r="AC54" i="20"/>
  <c r="AG121" i="20"/>
  <c r="AB104" i="20"/>
  <c r="AF95" i="20"/>
  <c r="AJ50" i="20"/>
  <c r="X111" i="20" s="1"/>
  <c r="AC50" i="20"/>
  <c r="AF34" i="20"/>
  <c r="AG34" i="20"/>
  <c r="AB100" i="20"/>
  <c r="AF31" i="20"/>
  <c r="AJ24" i="20"/>
  <c r="AC24" i="20"/>
  <c r="AH16" i="20"/>
  <c r="AE5" i="20"/>
  <c r="AG16" i="20"/>
  <c r="AB9" i="20"/>
  <c r="AD9" i="20"/>
  <c r="AJ99" i="20"/>
  <c r="AC99" i="20"/>
  <c r="AG94" i="20"/>
  <c r="AF14" i="20"/>
  <c r="AF137" i="20" s="1"/>
  <c r="AJ12" i="20"/>
  <c r="AB15" i="20"/>
  <c r="AF13" i="20"/>
  <c r="AI99" i="20"/>
  <c r="AD14" i="20"/>
  <c r="AE14" i="20"/>
  <c r="AH12" i="20"/>
  <c r="AI12" i="20"/>
  <c r="W40" i="20" s="1"/>
  <c r="AD10" i="20"/>
  <c r="AE10" i="20"/>
  <c r="AH15" i="20"/>
  <c r="AI15" i="20"/>
  <c r="AD13" i="20"/>
  <c r="AE13" i="20"/>
  <c r="AB125" i="20"/>
  <c r="AC48" i="20"/>
  <c r="Q109" i="20" s="1"/>
  <c r="AB26" i="20"/>
  <c r="AF23" i="20"/>
  <c r="AJ20" i="20"/>
  <c r="AB65" i="20"/>
  <c r="AC119" i="20"/>
  <c r="AG54" i="20"/>
  <c r="AB121" i="20"/>
  <c r="AF100" i="20"/>
  <c r="T146" i="20" s="1"/>
  <c r="AJ31" i="20"/>
  <c r="AI2" i="20"/>
  <c r="AJ2" i="20"/>
  <c r="AB2" i="20"/>
  <c r="AC2" i="20"/>
  <c r="AI133" i="20"/>
  <c r="AI29" i="20"/>
  <c r="AH23" i="20"/>
  <c r="V76" i="20" s="1"/>
  <c r="AI17" i="20"/>
  <c r="AH132" i="20"/>
  <c r="AI54" i="20"/>
  <c r="AH104" i="20"/>
  <c r="AI50" i="20"/>
  <c r="AD34" i="20"/>
  <c r="AH100" i="20"/>
  <c r="AE125" i="20"/>
  <c r="S171" i="20" s="1"/>
  <c r="AI68" i="20"/>
  <c r="AH29" i="20"/>
  <c r="AI23" i="20"/>
  <c r="AH17" i="20"/>
  <c r="AE65" i="20"/>
  <c r="AI132" i="20"/>
  <c r="AD119" i="20"/>
  <c r="AH50" i="20"/>
  <c r="V112" i="20" s="1"/>
  <c r="AI100" i="20"/>
  <c r="AE31" i="20"/>
  <c r="AD2" i="20"/>
  <c r="AF2" i="20"/>
  <c r="AJ16" i="20"/>
  <c r="AC16" i="20"/>
  <c r="AB35" i="20"/>
  <c r="P97" i="20" s="1"/>
  <c r="AE114" i="20"/>
  <c r="S161" i="20" s="1"/>
  <c r="AE16" i="20"/>
  <c r="AG35" i="20"/>
  <c r="AJ9" i="20"/>
  <c r="AC9" i="20"/>
  <c r="AE9" i="20"/>
  <c r="AB99" i="20"/>
  <c r="AJ133" i="20"/>
  <c r="AG14" i="20"/>
  <c r="U50" i="20" s="1"/>
  <c r="AB12" i="20"/>
  <c r="AC12" i="20"/>
  <c r="AF10" i="20"/>
  <c r="AG10" i="20"/>
  <c r="AJ15" i="20"/>
  <c r="AC15" i="20"/>
  <c r="AG13" i="20"/>
  <c r="U47" i="20" s="1"/>
  <c r="AB44" i="20"/>
  <c r="P104" i="20" s="1"/>
  <c r="AH99" i="20"/>
  <c r="AD94" i="20"/>
  <c r="AH133" i="20"/>
  <c r="AH44" i="20"/>
  <c r="AI44" i="20"/>
  <c r="AF133" i="20"/>
  <c r="AG133" i="20"/>
  <c r="U179" i="20" s="1"/>
  <c r="AJ125" i="20"/>
  <c r="X172" i="20" s="1"/>
  <c r="AG68" i="20"/>
  <c r="AJ48" i="20"/>
  <c r="AF29" i="20"/>
  <c r="AJ26" i="20"/>
  <c r="AC26" i="20"/>
  <c r="AG23" i="20"/>
  <c r="AB20" i="20"/>
  <c r="P72" i="20" s="1"/>
  <c r="AF17" i="20"/>
  <c r="T70" i="20" s="1"/>
  <c r="AJ65" i="20"/>
  <c r="AF132" i="20"/>
  <c r="AG132" i="20"/>
  <c r="AJ119" i="20"/>
  <c r="AJ121" i="20"/>
  <c r="AC121" i="20"/>
  <c r="AG104" i="20"/>
  <c r="U147" i="20" s="1"/>
  <c r="AB95" i="20"/>
  <c r="P143" i="20" s="1"/>
  <c r="AF50" i="20"/>
  <c r="AC34" i="20"/>
  <c r="AG100" i="20"/>
  <c r="AB31" i="20"/>
  <c r="AF24" i="20"/>
  <c r="AD133" i="20"/>
  <c r="AH125" i="20"/>
  <c r="V172" i="20" s="1"/>
  <c r="AH48" i="20"/>
  <c r="V108" i="20" s="1"/>
  <c r="AD29" i="20"/>
  <c r="AH26" i="20"/>
  <c r="V84" i="20" s="1"/>
  <c r="AD23" i="20"/>
  <c r="AH20" i="20"/>
  <c r="V73" i="20" s="1"/>
  <c r="AD17" i="20"/>
  <c r="AH65" i="20"/>
  <c r="V122" i="20" s="1"/>
  <c r="AD132" i="20"/>
  <c r="R177" i="20" s="1"/>
  <c r="AH119" i="20"/>
  <c r="V165" i="20" s="1"/>
  <c r="AD54" i="20"/>
  <c r="AH121" i="20"/>
  <c r="V167" i="20" s="1"/>
  <c r="AD104" i="20"/>
  <c r="AH95" i="20"/>
  <c r="V144" i="20" s="1"/>
  <c r="AD50" i="20"/>
  <c r="AD100" i="20"/>
  <c r="R154" i="20" s="1"/>
  <c r="AH31" i="20"/>
  <c r="V95" i="20" s="1"/>
  <c r="AD24" i="20"/>
  <c r="R82" i="20" s="1"/>
  <c r="AE48" i="20"/>
  <c r="AD26" i="20"/>
  <c r="R86" i="20" s="1"/>
  <c r="AD121" i="20"/>
  <c r="AH24" i="20"/>
  <c r="V80" i="20" s="1"/>
  <c r="W97" i="20"/>
  <c r="W96" i="20"/>
  <c r="W98" i="20"/>
  <c r="R8" i="20"/>
  <c r="R10" i="20"/>
  <c r="R12" i="20"/>
  <c r="R9" i="20"/>
  <c r="R11" i="20"/>
  <c r="R13" i="20"/>
  <c r="T63" i="20"/>
  <c r="T65" i="20"/>
  <c r="T67" i="20"/>
  <c r="T62" i="20"/>
  <c r="T64" i="20"/>
  <c r="T66" i="20"/>
  <c r="U145" i="20"/>
  <c r="U155" i="20"/>
  <c r="U153" i="20"/>
  <c r="U157" i="20"/>
  <c r="X50" i="20"/>
  <c r="X52" i="20"/>
  <c r="X54" i="20"/>
  <c r="X51" i="20"/>
  <c r="X53" i="20"/>
  <c r="X55" i="20"/>
  <c r="U38" i="20"/>
  <c r="U40" i="20"/>
  <c r="U42" i="20"/>
  <c r="U39" i="20"/>
  <c r="U41" i="20"/>
  <c r="U43" i="20"/>
  <c r="P65" i="20"/>
  <c r="P62" i="20"/>
  <c r="P66" i="20"/>
  <c r="P63" i="20"/>
  <c r="P67" i="20"/>
  <c r="P64" i="20"/>
  <c r="X97" i="20"/>
  <c r="X96" i="20"/>
  <c r="X98" i="20"/>
  <c r="Q96" i="20"/>
  <c r="Q98" i="20"/>
  <c r="Q97" i="20"/>
  <c r="W63" i="20"/>
  <c r="W65" i="20"/>
  <c r="W67" i="20"/>
  <c r="W62" i="20"/>
  <c r="W64" i="20"/>
  <c r="W66" i="20"/>
  <c r="R160" i="20"/>
  <c r="R162" i="20"/>
  <c r="R63" i="20"/>
  <c r="R65" i="20"/>
  <c r="R67" i="20"/>
  <c r="R62" i="20"/>
  <c r="R64" i="20"/>
  <c r="R66" i="20"/>
  <c r="R96" i="20"/>
  <c r="R98" i="20"/>
  <c r="R97" i="20"/>
  <c r="T21" i="20"/>
  <c r="T23" i="20"/>
  <c r="T25" i="20"/>
  <c r="T20" i="20"/>
  <c r="T22" i="20"/>
  <c r="T24" i="20"/>
  <c r="U21" i="20"/>
  <c r="U23" i="20"/>
  <c r="U25" i="20"/>
  <c r="U20" i="20"/>
  <c r="U22" i="20"/>
  <c r="U24" i="20"/>
  <c r="V21" i="20"/>
  <c r="V23" i="20"/>
  <c r="V25" i="20"/>
  <c r="V20" i="20"/>
  <c r="V22" i="20"/>
  <c r="V24" i="20"/>
  <c r="W21" i="20"/>
  <c r="W23" i="20"/>
  <c r="W25" i="20"/>
  <c r="W20" i="20"/>
  <c r="W22" i="20"/>
  <c r="W24" i="20"/>
  <c r="T145" i="20"/>
  <c r="T155" i="20"/>
  <c r="T153" i="20"/>
  <c r="T157" i="20"/>
  <c r="P142" i="20"/>
  <c r="P140" i="20"/>
  <c r="Q140" i="20"/>
  <c r="Q142" i="20"/>
  <c r="Q141" i="20"/>
  <c r="P51" i="20"/>
  <c r="P55" i="20"/>
  <c r="P52" i="20"/>
  <c r="P53" i="20"/>
  <c r="P50" i="20"/>
  <c r="P54" i="20"/>
  <c r="T38" i="20"/>
  <c r="T40" i="20"/>
  <c r="T42" i="20"/>
  <c r="T39" i="20"/>
  <c r="T41" i="20"/>
  <c r="T43" i="20"/>
  <c r="X27" i="20"/>
  <c r="X29" i="20"/>
  <c r="X31" i="20"/>
  <c r="X26" i="20"/>
  <c r="X28" i="20"/>
  <c r="X30" i="20"/>
  <c r="P45" i="20"/>
  <c r="P49" i="20"/>
  <c r="P46" i="20"/>
  <c r="P47" i="20"/>
  <c r="P44" i="20"/>
  <c r="P48" i="20"/>
  <c r="T104" i="20"/>
  <c r="T106" i="20"/>
  <c r="T105" i="20"/>
  <c r="X15" i="20"/>
  <c r="X17" i="20"/>
  <c r="X19" i="20"/>
  <c r="X14" i="20"/>
  <c r="X16" i="20"/>
  <c r="X18" i="20"/>
  <c r="Q15" i="20"/>
  <c r="Q17" i="20"/>
  <c r="Q19" i="20"/>
  <c r="Q14" i="20"/>
  <c r="Q16" i="20"/>
  <c r="Q18" i="20"/>
  <c r="R145" i="20"/>
  <c r="R155" i="20"/>
  <c r="R153" i="20"/>
  <c r="R157" i="20"/>
  <c r="V51" i="20"/>
  <c r="V53" i="20"/>
  <c r="V54" i="20"/>
  <c r="W51" i="20"/>
  <c r="W53" i="20"/>
  <c r="W55" i="20"/>
  <c r="W50" i="20"/>
  <c r="W52" i="20"/>
  <c r="W54" i="20"/>
  <c r="R39" i="20"/>
  <c r="R41" i="20"/>
  <c r="R43" i="20"/>
  <c r="R38" i="20"/>
  <c r="R40" i="20"/>
  <c r="R42" i="20"/>
  <c r="S39" i="20"/>
  <c r="S41" i="20"/>
  <c r="S43" i="20"/>
  <c r="S38" i="20"/>
  <c r="S40" i="20"/>
  <c r="S42" i="20"/>
  <c r="V26" i="20"/>
  <c r="V28" i="20"/>
  <c r="V30" i="20"/>
  <c r="V27" i="20"/>
  <c r="V29" i="20"/>
  <c r="V31" i="20"/>
  <c r="W26" i="20"/>
  <c r="W28" i="20"/>
  <c r="W30" i="20"/>
  <c r="W27" i="20"/>
  <c r="W29" i="20"/>
  <c r="W31" i="20"/>
  <c r="R57" i="20"/>
  <c r="R59" i="20"/>
  <c r="R61" i="20"/>
  <c r="R56" i="20"/>
  <c r="R58" i="20"/>
  <c r="R60" i="20"/>
  <c r="S57" i="20"/>
  <c r="S59" i="20"/>
  <c r="S61" i="20"/>
  <c r="S56" i="20"/>
  <c r="S58" i="20"/>
  <c r="S60" i="20"/>
  <c r="V45" i="20"/>
  <c r="V47" i="20"/>
  <c r="V48" i="20"/>
  <c r="W45" i="20"/>
  <c r="W47" i="20"/>
  <c r="W49" i="20"/>
  <c r="W44" i="20"/>
  <c r="W46" i="20"/>
  <c r="W48" i="20"/>
  <c r="T108" i="20"/>
  <c r="T110" i="20"/>
  <c r="T109" i="20"/>
  <c r="X89" i="20"/>
  <c r="X91" i="20"/>
  <c r="X88" i="20"/>
  <c r="X90" i="20"/>
  <c r="Q88" i="20"/>
  <c r="Q90" i="20"/>
  <c r="Q89" i="20"/>
  <c r="Q91" i="20"/>
  <c r="U84" i="20"/>
  <c r="U86" i="20"/>
  <c r="U85" i="20"/>
  <c r="U87" i="20"/>
  <c r="P79" i="20"/>
  <c r="P78" i="20"/>
  <c r="P77" i="20"/>
  <c r="P76" i="20"/>
  <c r="T73" i="20"/>
  <c r="T75" i="20"/>
  <c r="T72" i="20"/>
  <c r="T74" i="20"/>
  <c r="X69" i="20"/>
  <c r="Q68" i="20"/>
  <c r="Q70" i="20"/>
  <c r="Q69" i="20"/>
  <c r="Q71" i="20"/>
  <c r="X177" i="20"/>
  <c r="X176" i="20"/>
  <c r="X178" i="20"/>
  <c r="P114" i="20"/>
  <c r="P115" i="20"/>
  <c r="P116" i="20"/>
  <c r="Q115" i="20"/>
  <c r="Q114" i="20"/>
  <c r="Q116" i="20"/>
  <c r="U168" i="20"/>
  <c r="U170" i="20"/>
  <c r="U167" i="20"/>
  <c r="U169" i="20"/>
  <c r="P148" i="20"/>
  <c r="P147" i="20"/>
  <c r="T143" i="20"/>
  <c r="T152" i="20"/>
  <c r="T144" i="20"/>
  <c r="X112" i="20"/>
  <c r="Q111" i="20"/>
  <c r="Q113" i="20"/>
  <c r="Q112" i="20"/>
  <c r="T99" i="20"/>
  <c r="T100" i="20"/>
  <c r="U99" i="20"/>
  <c r="U100" i="20"/>
  <c r="P146" i="20"/>
  <c r="P156" i="20"/>
  <c r="P154" i="20"/>
  <c r="T92" i="20"/>
  <c r="T94" i="20"/>
  <c r="T93" i="20"/>
  <c r="T95" i="20"/>
  <c r="X80" i="20"/>
  <c r="X82" i="20"/>
  <c r="X81" i="20"/>
  <c r="X83" i="20"/>
  <c r="Q80" i="20"/>
  <c r="Q82" i="20"/>
  <c r="Q81" i="20"/>
  <c r="Q83" i="20"/>
  <c r="W124" i="20"/>
  <c r="W131" i="20"/>
  <c r="V89" i="20"/>
  <c r="V91" i="20"/>
  <c r="V88" i="20"/>
  <c r="V90" i="20"/>
  <c r="W76" i="20"/>
  <c r="W78" i="20"/>
  <c r="W77" i="20"/>
  <c r="W79" i="20"/>
  <c r="V68" i="20"/>
  <c r="V70" i="20"/>
  <c r="V69" i="20"/>
  <c r="V71" i="20"/>
  <c r="S122" i="20"/>
  <c r="S121" i="20"/>
  <c r="S123" i="20"/>
  <c r="W177" i="20"/>
  <c r="W176" i="20"/>
  <c r="W178" i="20"/>
  <c r="R164" i="20"/>
  <c r="R166" i="20"/>
  <c r="R165" i="20"/>
  <c r="V113" i="20"/>
  <c r="W154" i="20"/>
  <c r="W146" i="20"/>
  <c r="W156" i="20"/>
  <c r="S92" i="20"/>
  <c r="S94" i="20"/>
  <c r="S93" i="20"/>
  <c r="S95" i="20"/>
  <c r="R4" i="20"/>
  <c r="R6" i="20"/>
  <c r="R2" i="20"/>
  <c r="R3" i="20"/>
  <c r="R5" i="20"/>
  <c r="R7" i="20"/>
  <c r="T4" i="20"/>
  <c r="T6" i="20"/>
  <c r="T2" i="20"/>
  <c r="T3" i="20"/>
  <c r="T5" i="20"/>
  <c r="T7" i="20"/>
  <c r="X63" i="20"/>
  <c r="X65" i="20"/>
  <c r="X67" i="20"/>
  <c r="X62" i="20"/>
  <c r="X64" i="20"/>
  <c r="X66" i="20"/>
  <c r="Q63" i="20"/>
  <c r="Q65" i="20"/>
  <c r="Q67" i="20"/>
  <c r="Q62" i="20"/>
  <c r="Q64" i="20"/>
  <c r="Q66" i="20"/>
  <c r="P98" i="20"/>
  <c r="S162" i="20"/>
  <c r="S63" i="20"/>
  <c r="S65" i="20"/>
  <c r="S67" i="20"/>
  <c r="S62" i="20"/>
  <c r="S64" i="20"/>
  <c r="S66" i="20"/>
  <c r="U97" i="20"/>
  <c r="U96" i="20"/>
  <c r="U98" i="20"/>
  <c r="X21" i="20"/>
  <c r="X23" i="20"/>
  <c r="X25" i="20"/>
  <c r="X20" i="20"/>
  <c r="X22" i="20"/>
  <c r="X24" i="20"/>
  <c r="Q21" i="20"/>
  <c r="Q23" i="20"/>
  <c r="Q25" i="20"/>
  <c r="Q20" i="20"/>
  <c r="Q22" i="20"/>
  <c r="Q24" i="20"/>
  <c r="S21" i="20"/>
  <c r="S23" i="20"/>
  <c r="S25" i="20"/>
  <c r="S20" i="20"/>
  <c r="S22" i="20"/>
  <c r="S24" i="20"/>
  <c r="P145" i="20"/>
  <c r="P155" i="20"/>
  <c r="P153" i="20"/>
  <c r="P157" i="20"/>
  <c r="X179" i="20"/>
  <c r="X180" i="20"/>
  <c r="P39" i="20"/>
  <c r="P43" i="20"/>
  <c r="P40" i="20"/>
  <c r="P41" i="20"/>
  <c r="P38" i="20"/>
  <c r="P42" i="20"/>
  <c r="Q38" i="20"/>
  <c r="Q40" i="20"/>
  <c r="Q42" i="20"/>
  <c r="Q39" i="20"/>
  <c r="Q41" i="20"/>
  <c r="Q43" i="20"/>
  <c r="T26" i="20"/>
  <c r="T28" i="20"/>
  <c r="T30" i="20"/>
  <c r="T27" i="20"/>
  <c r="T29" i="20"/>
  <c r="T31" i="20"/>
  <c r="U27" i="20"/>
  <c r="U29" i="20"/>
  <c r="U31" i="20"/>
  <c r="U26" i="20"/>
  <c r="U28" i="20"/>
  <c r="U30" i="20"/>
  <c r="X56" i="20"/>
  <c r="X58" i="20"/>
  <c r="X60" i="20"/>
  <c r="X57" i="20"/>
  <c r="X59" i="20"/>
  <c r="X61" i="20"/>
  <c r="Q56" i="20"/>
  <c r="Q58" i="20"/>
  <c r="Q60" i="20"/>
  <c r="Q57" i="20"/>
  <c r="Q59" i="20"/>
  <c r="Q61" i="20"/>
  <c r="U45" i="20"/>
  <c r="U44" i="20"/>
  <c r="U46" i="20"/>
  <c r="U48" i="20"/>
  <c r="T15" i="20"/>
  <c r="T17" i="20"/>
  <c r="T19" i="20"/>
  <c r="T14" i="20"/>
  <c r="T16" i="20"/>
  <c r="T18" i="20"/>
  <c r="V145" i="20"/>
  <c r="V155" i="20"/>
  <c r="V153" i="20"/>
  <c r="V157" i="20"/>
  <c r="R141" i="20"/>
  <c r="R140" i="20"/>
  <c r="R142" i="20"/>
  <c r="V179" i="20"/>
  <c r="V180" i="20"/>
  <c r="V105" i="20"/>
  <c r="V104" i="20"/>
  <c r="V106" i="20"/>
  <c r="W104" i="20"/>
  <c r="W106" i="20"/>
  <c r="W105" i="20"/>
  <c r="S15" i="20"/>
  <c r="S17" i="20"/>
  <c r="S19" i="20"/>
  <c r="S14" i="20"/>
  <c r="S16" i="20"/>
  <c r="S18" i="20"/>
  <c r="T179" i="20"/>
  <c r="T180" i="20"/>
  <c r="U131" i="20"/>
  <c r="U124" i="20"/>
  <c r="X109" i="20"/>
  <c r="X108" i="20"/>
  <c r="X110" i="20"/>
  <c r="T88" i="20"/>
  <c r="T90" i="20"/>
  <c r="T89" i="20"/>
  <c r="T91" i="20"/>
  <c r="X84" i="20"/>
  <c r="X86" i="20"/>
  <c r="X85" i="20"/>
  <c r="X87" i="20"/>
  <c r="Q84" i="20"/>
  <c r="Q86" i="20"/>
  <c r="Q85" i="20"/>
  <c r="Q87" i="20"/>
  <c r="U76" i="20"/>
  <c r="U78" i="20"/>
  <c r="U77" i="20"/>
  <c r="U79" i="20"/>
  <c r="P73" i="20"/>
  <c r="P74" i="20"/>
  <c r="T68" i="20"/>
  <c r="X121" i="20"/>
  <c r="X123" i="20"/>
  <c r="X122" i="20"/>
  <c r="T176" i="20"/>
  <c r="T178" i="20"/>
  <c r="T177" i="20"/>
  <c r="U176" i="20"/>
  <c r="U178" i="20"/>
  <c r="U177" i="20"/>
  <c r="X165" i="20"/>
  <c r="X164" i="20"/>
  <c r="X166" i="20"/>
  <c r="X168" i="20"/>
  <c r="X170" i="20"/>
  <c r="X167" i="20"/>
  <c r="X169" i="20"/>
  <c r="Q168" i="20"/>
  <c r="Q170" i="20"/>
  <c r="Q167" i="20"/>
  <c r="Q169" i="20"/>
  <c r="U148" i="20"/>
  <c r="T111" i="20"/>
  <c r="T113" i="20"/>
  <c r="T112" i="20"/>
  <c r="Q99" i="20"/>
  <c r="Q100" i="20"/>
  <c r="U146" i="20"/>
  <c r="U156" i="20"/>
  <c r="U154" i="20"/>
  <c r="P93" i="20"/>
  <c r="P92" i="20"/>
  <c r="P95" i="20"/>
  <c r="P94" i="20"/>
  <c r="T80" i="20"/>
  <c r="T82" i="20"/>
  <c r="T81" i="20"/>
  <c r="T83" i="20"/>
  <c r="R179" i="20"/>
  <c r="R180" i="20"/>
  <c r="V171" i="20"/>
  <c r="V173" i="20"/>
  <c r="R88" i="20"/>
  <c r="R90" i="20"/>
  <c r="R89" i="20"/>
  <c r="R91" i="20"/>
  <c r="V86" i="20"/>
  <c r="V87" i="20"/>
  <c r="R76" i="20"/>
  <c r="R78" i="20"/>
  <c r="R77" i="20"/>
  <c r="R79" i="20"/>
  <c r="V75" i="20"/>
  <c r="V74" i="20"/>
  <c r="R68" i="20"/>
  <c r="R70" i="20"/>
  <c r="R69" i="20"/>
  <c r="R71" i="20"/>
  <c r="V121" i="20"/>
  <c r="R176" i="20"/>
  <c r="R178" i="20"/>
  <c r="R114" i="20"/>
  <c r="R116" i="20"/>
  <c r="R115" i="20"/>
  <c r="V169" i="20"/>
  <c r="V170" i="20"/>
  <c r="R148" i="20"/>
  <c r="R147" i="20"/>
  <c r="V143" i="20"/>
  <c r="R112" i="20"/>
  <c r="R111" i="20"/>
  <c r="R113" i="20"/>
  <c r="R146" i="20"/>
  <c r="V94" i="20"/>
  <c r="V93" i="20"/>
  <c r="R172" i="20"/>
  <c r="R171" i="20"/>
  <c r="R173" i="20"/>
  <c r="V124" i="20"/>
  <c r="V131" i="20"/>
  <c r="S108" i="20"/>
  <c r="S110" i="20"/>
  <c r="S109" i="20"/>
  <c r="R84" i="20"/>
  <c r="R85" i="20"/>
  <c r="S72" i="20"/>
  <c r="S74" i="20"/>
  <c r="S73" i="20"/>
  <c r="S75" i="20"/>
  <c r="R121" i="20"/>
  <c r="R123" i="20"/>
  <c r="R122" i="20"/>
  <c r="S165" i="20"/>
  <c r="S164" i="20"/>
  <c r="S166" i="20"/>
  <c r="R167" i="20"/>
  <c r="R169" i="20"/>
  <c r="R168" i="20"/>
  <c r="R170" i="20"/>
  <c r="S143" i="20"/>
  <c r="S152" i="20"/>
  <c r="S144" i="20"/>
  <c r="V82" i="20"/>
  <c r="V83" i="20"/>
  <c r="S4" i="20"/>
  <c r="S6" i="20"/>
  <c r="S2" i="20"/>
  <c r="S3" i="20"/>
  <c r="S5" i="20"/>
  <c r="S7" i="20"/>
  <c r="AE137" i="20"/>
  <c r="U4" i="20"/>
  <c r="U6" i="20"/>
  <c r="U2" i="20"/>
  <c r="U3" i="20"/>
  <c r="U5" i="20"/>
  <c r="U7" i="20"/>
  <c r="R33" i="20"/>
  <c r="R35" i="20"/>
  <c r="R37" i="20"/>
  <c r="R32" i="20"/>
  <c r="R34" i="20"/>
  <c r="R36" i="20"/>
  <c r="T32" i="20"/>
  <c r="T34" i="20"/>
  <c r="T36" i="20"/>
  <c r="T33" i="20"/>
  <c r="T35" i="20"/>
  <c r="T37" i="20"/>
  <c r="T96" i="20"/>
  <c r="T98" i="20"/>
  <c r="T97" i="20"/>
  <c r="X140" i="20"/>
  <c r="X142" i="20"/>
  <c r="X141" i="20"/>
  <c r="Q51" i="20"/>
  <c r="Q53" i="20"/>
  <c r="Q55" i="20"/>
  <c r="Q50" i="20"/>
  <c r="Q52" i="20"/>
  <c r="Q54" i="20"/>
  <c r="P29" i="20"/>
  <c r="P26" i="20"/>
  <c r="P30" i="20"/>
  <c r="P27" i="20"/>
  <c r="P31" i="20"/>
  <c r="P28" i="20"/>
  <c r="Q26" i="20"/>
  <c r="Q28" i="20"/>
  <c r="Q30" i="20"/>
  <c r="Q27" i="20"/>
  <c r="Q29" i="20"/>
  <c r="Q31" i="20"/>
  <c r="T56" i="20"/>
  <c r="T58" i="20"/>
  <c r="T60" i="20"/>
  <c r="T57" i="20"/>
  <c r="T59" i="20"/>
  <c r="T61" i="20"/>
  <c r="U56" i="20"/>
  <c r="U58" i="20"/>
  <c r="U60" i="20"/>
  <c r="U57" i="20"/>
  <c r="U59" i="20"/>
  <c r="U61" i="20"/>
  <c r="X45" i="20"/>
  <c r="X47" i="20"/>
  <c r="X49" i="20"/>
  <c r="X44" i="20"/>
  <c r="X46" i="20"/>
  <c r="X48" i="20"/>
  <c r="Q45" i="20"/>
  <c r="Q47" i="20"/>
  <c r="Q49" i="20"/>
  <c r="Q44" i="20"/>
  <c r="Q46" i="20"/>
  <c r="Q48" i="20"/>
  <c r="U105" i="20"/>
  <c r="U104" i="20"/>
  <c r="U106" i="20"/>
  <c r="S145" i="20"/>
  <c r="S155" i="20"/>
  <c r="S153" i="20"/>
  <c r="S157" i="20"/>
  <c r="V140" i="20"/>
  <c r="V142" i="20"/>
  <c r="V141" i="20"/>
  <c r="W141" i="20"/>
  <c r="W140" i="20"/>
  <c r="W142" i="20"/>
  <c r="R104" i="20"/>
  <c r="R106" i="20"/>
  <c r="R105" i="20"/>
  <c r="S105" i="20"/>
  <c r="S104" i="20"/>
  <c r="S106" i="20"/>
  <c r="W15" i="20"/>
  <c r="W17" i="20"/>
  <c r="W19" i="20"/>
  <c r="W14" i="20"/>
  <c r="W16" i="20"/>
  <c r="W18" i="20"/>
  <c r="P180" i="20"/>
  <c r="P179" i="20"/>
  <c r="Q179" i="20"/>
  <c r="Q180" i="20"/>
  <c r="T171" i="20"/>
  <c r="T173" i="20"/>
  <c r="T172" i="20"/>
  <c r="U171" i="20"/>
  <c r="U173" i="20"/>
  <c r="U172" i="20"/>
  <c r="X124" i="20"/>
  <c r="X131" i="20"/>
  <c r="P131" i="20"/>
  <c r="P124" i="20"/>
  <c r="Q124" i="20"/>
  <c r="Q131" i="20"/>
  <c r="U109" i="20"/>
  <c r="U108" i="20"/>
  <c r="U110" i="20"/>
  <c r="P89" i="20"/>
  <c r="P88" i="20"/>
  <c r="P91" i="20"/>
  <c r="P90" i="20"/>
  <c r="T84" i="20"/>
  <c r="T86" i="20"/>
  <c r="T85" i="20"/>
  <c r="T87" i="20"/>
  <c r="X76" i="20"/>
  <c r="X78" i="20"/>
  <c r="X77" i="20"/>
  <c r="X79" i="20"/>
  <c r="Q76" i="20"/>
  <c r="Q78" i="20"/>
  <c r="Q77" i="20"/>
  <c r="Q79" i="20"/>
  <c r="U72" i="20"/>
  <c r="U74" i="20"/>
  <c r="U73" i="20"/>
  <c r="U75" i="20"/>
  <c r="P69" i="20"/>
  <c r="P68" i="20"/>
  <c r="P71" i="20"/>
  <c r="P70" i="20"/>
  <c r="T122" i="20"/>
  <c r="T121" i="20"/>
  <c r="T123" i="20"/>
  <c r="U121" i="20"/>
  <c r="U123" i="20"/>
  <c r="U122" i="20"/>
  <c r="P176" i="20"/>
  <c r="P177" i="20"/>
  <c r="P178" i="20"/>
  <c r="Q177" i="20"/>
  <c r="Q176" i="20"/>
  <c r="Q178" i="20"/>
  <c r="T164" i="20"/>
  <c r="T166" i="20"/>
  <c r="T165" i="20"/>
  <c r="U165" i="20"/>
  <c r="U164" i="20"/>
  <c r="U166" i="20"/>
  <c r="X114" i="20"/>
  <c r="X116" i="20"/>
  <c r="X115" i="20"/>
  <c r="T168" i="20"/>
  <c r="T170" i="20"/>
  <c r="T167" i="20"/>
  <c r="T169" i="20"/>
  <c r="X147" i="20"/>
  <c r="X148" i="20"/>
  <c r="Q148" i="20"/>
  <c r="Q147" i="20"/>
  <c r="U144" i="20"/>
  <c r="U143" i="20"/>
  <c r="U152" i="20"/>
  <c r="P113" i="20"/>
  <c r="P111" i="20"/>
  <c r="P112" i="20"/>
  <c r="X154" i="20"/>
  <c r="X146" i="20"/>
  <c r="X156" i="20"/>
  <c r="Q154" i="20"/>
  <c r="Q146" i="20"/>
  <c r="Q156" i="20"/>
  <c r="U92" i="20"/>
  <c r="U94" i="20"/>
  <c r="U93" i="20"/>
  <c r="U95" i="20"/>
  <c r="P81" i="20"/>
  <c r="P80" i="20"/>
  <c r="P83" i="20"/>
  <c r="P82" i="20"/>
  <c r="R109" i="20"/>
  <c r="R108" i="20"/>
  <c r="R110" i="20"/>
  <c r="S84" i="20"/>
  <c r="S86" i="20"/>
  <c r="S85" i="20"/>
  <c r="S87" i="20"/>
  <c r="R72" i="20"/>
  <c r="R74" i="20"/>
  <c r="R73" i="20"/>
  <c r="R75" i="20"/>
  <c r="V115" i="20"/>
  <c r="V114" i="20"/>
  <c r="V116" i="20"/>
  <c r="S167" i="20"/>
  <c r="S169" i="20"/>
  <c r="S168" i="20"/>
  <c r="S170" i="20"/>
  <c r="W147" i="20"/>
  <c r="W148" i="20"/>
  <c r="R143" i="20"/>
  <c r="R152" i="20"/>
  <c r="R144" i="20"/>
  <c r="S99" i="20"/>
  <c r="S100" i="20"/>
  <c r="R92" i="20"/>
  <c r="R94" i="20"/>
  <c r="R93" i="20"/>
  <c r="R95" i="20"/>
  <c r="W80" i="20"/>
  <c r="W82" i="20"/>
  <c r="W81" i="20"/>
  <c r="W83" i="20"/>
  <c r="V63" i="20"/>
  <c r="V65" i="20"/>
  <c r="V67" i="20"/>
  <c r="V62" i="20"/>
  <c r="V64" i="20"/>
  <c r="V66" i="20"/>
  <c r="S33" i="20"/>
  <c r="S35" i="20"/>
  <c r="S37" i="20"/>
  <c r="S32" i="20"/>
  <c r="S34" i="20"/>
  <c r="S36" i="20"/>
  <c r="S8" i="20"/>
  <c r="S10" i="20"/>
  <c r="S12" i="20"/>
  <c r="S9" i="20"/>
  <c r="S11" i="20"/>
  <c r="S13" i="20"/>
  <c r="S97" i="20"/>
  <c r="S96" i="20"/>
  <c r="S98" i="20"/>
  <c r="U32" i="20"/>
  <c r="U34" i="20"/>
  <c r="U36" i="20"/>
  <c r="U33" i="20"/>
  <c r="U35" i="20"/>
  <c r="U37" i="20"/>
  <c r="U63" i="20"/>
  <c r="U65" i="20"/>
  <c r="U67" i="20"/>
  <c r="U62" i="20"/>
  <c r="U64" i="20"/>
  <c r="U66" i="20"/>
  <c r="P21" i="20"/>
  <c r="P25" i="20"/>
  <c r="P22" i="20"/>
  <c r="P23" i="20"/>
  <c r="P20" i="20"/>
  <c r="P24" i="20"/>
  <c r="R21" i="20"/>
  <c r="R23" i="20"/>
  <c r="R25" i="20"/>
  <c r="R20" i="20"/>
  <c r="R22" i="20"/>
  <c r="R24" i="20"/>
  <c r="X145" i="20"/>
  <c r="X155" i="20"/>
  <c r="X153" i="20"/>
  <c r="X157" i="20"/>
  <c r="Q145" i="20"/>
  <c r="Q155" i="20"/>
  <c r="Q153" i="20"/>
  <c r="Q157" i="20"/>
  <c r="T141" i="20"/>
  <c r="T140" i="20"/>
  <c r="T142" i="20"/>
  <c r="U141" i="20"/>
  <c r="U140" i="20"/>
  <c r="U142" i="20"/>
  <c r="T51" i="20"/>
  <c r="T53" i="20"/>
  <c r="T55" i="20"/>
  <c r="T50" i="20"/>
  <c r="T52" i="20"/>
  <c r="T54" i="20"/>
  <c r="X38" i="20"/>
  <c r="X40" i="20"/>
  <c r="X42" i="20"/>
  <c r="X39" i="20"/>
  <c r="X41" i="20"/>
  <c r="X43" i="20"/>
  <c r="P59" i="20"/>
  <c r="P56" i="20"/>
  <c r="P60" i="20"/>
  <c r="P57" i="20"/>
  <c r="P61" i="20"/>
  <c r="P58" i="20"/>
  <c r="T45" i="20"/>
  <c r="T47" i="20"/>
  <c r="T49" i="20"/>
  <c r="T44" i="20"/>
  <c r="T46" i="20"/>
  <c r="T48" i="20"/>
  <c r="X105" i="20"/>
  <c r="X104" i="20"/>
  <c r="X106" i="20"/>
  <c r="Q104" i="20"/>
  <c r="Q106" i="20"/>
  <c r="Q105" i="20"/>
  <c r="U15" i="20"/>
  <c r="U17" i="20"/>
  <c r="U19" i="20"/>
  <c r="U14" i="20"/>
  <c r="U16" i="20"/>
  <c r="U18" i="20"/>
  <c r="W145" i="20"/>
  <c r="W155" i="20"/>
  <c r="W153" i="20"/>
  <c r="W157" i="20"/>
  <c r="S140" i="20"/>
  <c r="S142" i="20"/>
  <c r="S141" i="20"/>
  <c r="R51" i="20"/>
  <c r="R53" i="20"/>
  <c r="R55" i="20"/>
  <c r="R50" i="20"/>
  <c r="R52" i="20"/>
  <c r="R54" i="20"/>
  <c r="S51" i="20"/>
  <c r="S53" i="20"/>
  <c r="S55" i="20"/>
  <c r="S50" i="20"/>
  <c r="S52" i="20"/>
  <c r="S54" i="20"/>
  <c r="V38" i="20"/>
  <c r="V40" i="20"/>
  <c r="V42" i="20"/>
  <c r="V39" i="20"/>
  <c r="V41" i="20"/>
  <c r="V43" i="20"/>
  <c r="W38" i="20"/>
  <c r="W39" i="20"/>
  <c r="W43" i="20"/>
  <c r="R27" i="20"/>
  <c r="R29" i="20"/>
  <c r="R31" i="20"/>
  <c r="R26" i="20"/>
  <c r="R28" i="20"/>
  <c r="R30" i="20"/>
  <c r="S27" i="20"/>
  <c r="S29" i="20"/>
  <c r="S31" i="20"/>
  <c r="S26" i="20"/>
  <c r="S28" i="20"/>
  <c r="S30" i="20"/>
  <c r="V57" i="20"/>
  <c r="V59" i="20"/>
  <c r="V61" i="20"/>
  <c r="V56" i="20"/>
  <c r="V58" i="20"/>
  <c r="V60" i="20"/>
  <c r="W57" i="20"/>
  <c r="W59" i="20"/>
  <c r="W61" i="20"/>
  <c r="W56" i="20"/>
  <c r="W58" i="20"/>
  <c r="W60" i="20"/>
  <c r="R45" i="20"/>
  <c r="R47" i="20"/>
  <c r="R49" i="20"/>
  <c r="R44" i="20"/>
  <c r="R46" i="20"/>
  <c r="R48" i="20"/>
  <c r="S45" i="20"/>
  <c r="S47" i="20"/>
  <c r="S49" i="20"/>
  <c r="S44" i="20"/>
  <c r="S46" i="20"/>
  <c r="S48" i="20"/>
  <c r="P172" i="20"/>
  <c r="P171" i="20"/>
  <c r="P173" i="20"/>
  <c r="Q172" i="20"/>
  <c r="Q171" i="20"/>
  <c r="Q173" i="20"/>
  <c r="T131" i="20"/>
  <c r="T124" i="20"/>
  <c r="P109" i="20"/>
  <c r="P110" i="20"/>
  <c r="P108" i="20"/>
  <c r="Q108" i="20"/>
  <c r="Q110" i="20"/>
  <c r="U89" i="20"/>
  <c r="U91" i="20"/>
  <c r="U88" i="20"/>
  <c r="U90" i="20"/>
  <c r="P85" i="20"/>
  <c r="P84" i="20"/>
  <c r="P87" i="20"/>
  <c r="P86" i="20"/>
  <c r="T76" i="20"/>
  <c r="T78" i="20"/>
  <c r="T77" i="20"/>
  <c r="T79" i="20"/>
  <c r="X72" i="20"/>
  <c r="X74" i="20"/>
  <c r="X73" i="20"/>
  <c r="X75" i="20"/>
  <c r="Q73" i="20"/>
  <c r="Q75" i="20"/>
  <c r="Q72" i="20"/>
  <c r="Q74" i="20"/>
  <c r="U68" i="20"/>
  <c r="U70" i="20"/>
  <c r="U69" i="20"/>
  <c r="U71" i="20"/>
  <c r="P123" i="20"/>
  <c r="P121" i="20"/>
  <c r="P122" i="20"/>
  <c r="Q122" i="20"/>
  <c r="Q121" i="20"/>
  <c r="Q123" i="20"/>
  <c r="P164" i="20"/>
  <c r="P165" i="20"/>
  <c r="P166" i="20"/>
  <c r="Q164" i="20"/>
  <c r="Q166" i="20"/>
  <c r="Q165" i="20"/>
  <c r="T114" i="20"/>
  <c r="T116" i="20"/>
  <c r="T115" i="20"/>
  <c r="U115" i="20"/>
  <c r="U114" i="20"/>
  <c r="U116" i="20"/>
  <c r="P167" i="20"/>
  <c r="P168" i="20"/>
  <c r="P169" i="20"/>
  <c r="P170" i="20"/>
  <c r="T147" i="20"/>
  <c r="T148" i="20"/>
  <c r="X144" i="20"/>
  <c r="X143" i="20"/>
  <c r="X152" i="20"/>
  <c r="Q143" i="20"/>
  <c r="Q152" i="20"/>
  <c r="Q144" i="20"/>
  <c r="U112" i="20"/>
  <c r="U111" i="20"/>
  <c r="U113" i="20"/>
  <c r="X99" i="20"/>
  <c r="X100" i="20"/>
  <c r="P100" i="20"/>
  <c r="P99" i="20"/>
  <c r="T156" i="20"/>
  <c r="T154" i="20"/>
  <c r="X92" i="20"/>
  <c r="X94" i="20"/>
  <c r="X93" i="20"/>
  <c r="X95" i="20"/>
  <c r="Q92" i="20"/>
  <c r="Q94" i="20"/>
  <c r="Q93" i="20"/>
  <c r="Q95" i="20"/>
  <c r="U80" i="20"/>
  <c r="U82" i="20"/>
  <c r="U81" i="20"/>
  <c r="U83" i="20"/>
  <c r="S179" i="20"/>
  <c r="S180" i="20"/>
  <c r="W172" i="20"/>
  <c r="W171" i="20"/>
  <c r="W173" i="20"/>
  <c r="R131" i="20"/>
  <c r="R124" i="20"/>
  <c r="S131" i="20"/>
  <c r="S124" i="20"/>
  <c r="W108" i="20"/>
  <c r="W110" i="20"/>
  <c r="W109" i="20"/>
  <c r="S88" i="20"/>
  <c r="S90" i="20"/>
  <c r="S89" i="20"/>
  <c r="S91" i="20"/>
  <c r="W84" i="20"/>
  <c r="W86" i="20"/>
  <c r="W85" i="20"/>
  <c r="W87" i="20"/>
  <c r="S76" i="20"/>
  <c r="S78" i="20"/>
  <c r="S77" i="20"/>
  <c r="S79" i="20"/>
  <c r="W73" i="20"/>
  <c r="W75" i="20"/>
  <c r="W72" i="20"/>
  <c r="W74" i="20"/>
  <c r="S68" i="20"/>
  <c r="S70" i="20"/>
  <c r="S69" i="20"/>
  <c r="S71" i="20"/>
  <c r="W121" i="20"/>
  <c r="W123" i="20"/>
  <c r="W122" i="20"/>
  <c r="S176" i="20"/>
  <c r="S178" i="20"/>
  <c r="S177" i="20"/>
  <c r="W164" i="20"/>
  <c r="W166" i="20"/>
  <c r="W165" i="20"/>
  <c r="S115" i="20"/>
  <c r="S114" i="20"/>
  <c r="S116" i="20"/>
  <c r="W167" i="20"/>
  <c r="W169" i="20"/>
  <c r="W168" i="20"/>
  <c r="W170" i="20"/>
  <c r="S147" i="20"/>
  <c r="S148" i="20"/>
  <c r="W144" i="20"/>
  <c r="W143" i="20"/>
  <c r="W152" i="20"/>
  <c r="S112" i="20"/>
  <c r="S111" i="20"/>
  <c r="S113" i="20"/>
  <c r="V99" i="20"/>
  <c r="V100" i="20"/>
  <c r="W99" i="20"/>
  <c r="W100" i="20"/>
  <c r="S146" i="20"/>
  <c r="S156" i="20"/>
  <c r="S154" i="20"/>
  <c r="W92" i="20"/>
  <c r="W94" i="20"/>
  <c r="W93" i="20"/>
  <c r="W95" i="20"/>
  <c r="S80" i="20"/>
  <c r="S82" i="20"/>
  <c r="S81" i="20"/>
  <c r="S83" i="20"/>
  <c r="V3" i="20"/>
  <c r="V5" i="20"/>
  <c r="V7" i="20"/>
  <c r="V4" i="20"/>
  <c r="V6" i="20"/>
  <c r="V2" i="20"/>
  <c r="W3" i="20"/>
  <c r="W5" i="20"/>
  <c r="W7" i="20"/>
  <c r="W4" i="20"/>
  <c r="W6" i="20"/>
  <c r="W2" i="20"/>
  <c r="AI137" i="20"/>
  <c r="X3" i="20"/>
  <c r="X5" i="20"/>
  <c r="X7" i="20"/>
  <c r="X4" i="20"/>
  <c r="X6" i="20"/>
  <c r="X2" i="20"/>
  <c r="AJ137" i="20"/>
  <c r="P3" i="20"/>
  <c r="P7" i="20"/>
  <c r="P6" i="20"/>
  <c r="P5" i="20"/>
  <c r="P4" i="20"/>
  <c r="P2" i="20"/>
  <c r="Q3" i="20"/>
  <c r="Q5" i="20"/>
  <c r="Q7" i="20"/>
  <c r="Q4" i="20"/>
  <c r="Q6" i="20"/>
  <c r="Q2" i="20"/>
  <c r="AC137" i="20"/>
  <c r="W179" i="20"/>
  <c r="W180" i="20"/>
  <c r="W89" i="20"/>
  <c r="W91" i="20"/>
  <c r="W88" i="20"/>
  <c r="W90" i="20"/>
  <c r="V78" i="20"/>
  <c r="V77" i="20"/>
  <c r="V79" i="20"/>
  <c r="W68" i="20"/>
  <c r="W70" i="20"/>
  <c r="W69" i="20"/>
  <c r="W71" i="20"/>
  <c r="V176" i="20"/>
  <c r="V178" i="20"/>
  <c r="V177" i="20"/>
  <c r="W114" i="20"/>
  <c r="W116" i="20"/>
  <c r="W115" i="20"/>
  <c r="V148" i="20"/>
  <c r="V147" i="20"/>
  <c r="W111" i="20"/>
  <c r="W113" i="20"/>
  <c r="W112" i="20"/>
  <c r="R99" i="20"/>
  <c r="R100" i="20"/>
  <c r="V146" i="20"/>
  <c r="V156" i="20"/>
  <c r="V154" i="20"/>
  <c r="P15" i="20"/>
  <c r="P19" i="20"/>
  <c r="P16" i="20"/>
  <c r="P17" i="20"/>
  <c r="P14" i="20"/>
  <c r="P18" i="20"/>
  <c r="O179" i="20"/>
  <c r="O180" i="20"/>
  <c r="O32" i="20"/>
  <c r="O33" i="20"/>
  <c r="O34" i="20"/>
  <c r="O35" i="20"/>
  <c r="O36" i="20"/>
  <c r="O37" i="20"/>
  <c r="O160" i="20"/>
  <c r="O161" i="20"/>
  <c r="O162" i="20"/>
  <c r="O3" i="20"/>
  <c r="O4" i="20"/>
  <c r="O5" i="20"/>
  <c r="O6" i="20"/>
  <c r="O7" i="20"/>
  <c r="O2" i="20"/>
  <c r="O149" i="20"/>
  <c r="O150" i="20"/>
  <c r="O151" i="20"/>
  <c r="O8" i="20"/>
  <c r="O9" i="20"/>
  <c r="O10" i="20"/>
  <c r="O11" i="20"/>
  <c r="O12" i="20"/>
  <c r="O13" i="20"/>
  <c r="O158" i="20"/>
  <c r="O159" i="20"/>
  <c r="O163" i="20"/>
  <c r="AA48" i="20"/>
  <c r="AA34" i="20"/>
  <c r="AA31" i="20"/>
  <c r="AA44" i="20"/>
  <c r="AA24" i="20"/>
  <c r="AA54" i="20"/>
  <c r="AA99" i="20"/>
  <c r="AA125" i="20"/>
  <c r="AA65" i="20"/>
  <c r="AA119" i="20"/>
  <c r="AA95" i="20"/>
  <c r="AA13" i="20"/>
  <c r="AA29" i="20"/>
  <c r="AA23" i="20"/>
  <c r="AA17" i="20"/>
  <c r="AA132" i="20"/>
  <c r="AA100" i="20"/>
  <c r="AA14" i="20"/>
  <c r="AA10" i="20"/>
  <c r="AA35" i="20"/>
  <c r="AA12" i="20"/>
  <c r="AA15" i="20"/>
  <c r="AA26" i="20"/>
  <c r="AA20" i="20"/>
  <c r="AA121" i="20"/>
  <c r="AA104" i="20"/>
  <c r="AA16" i="20"/>
  <c r="AA9" i="20"/>
  <c r="AA7" i="20"/>
  <c r="AA50" i="20"/>
  <c r="AA94" i="20"/>
  <c r="AA68" i="20"/>
  <c r="K45" i="6"/>
  <c r="K47" i="6"/>
  <c r="K49" i="6"/>
  <c r="K44" i="6"/>
  <c r="K46" i="6"/>
  <c r="K48" i="6"/>
  <c r="K81" i="6"/>
  <c r="K83" i="6"/>
  <c r="K80" i="6"/>
  <c r="K82" i="6"/>
  <c r="K143" i="6"/>
  <c r="K144" i="6"/>
  <c r="K152" i="6"/>
  <c r="K171" i="6"/>
  <c r="K173" i="6"/>
  <c r="K172" i="6"/>
  <c r="K102" i="6"/>
  <c r="K93" i="6"/>
  <c r="K95" i="6"/>
  <c r="K92" i="6"/>
  <c r="K94" i="6"/>
  <c r="K73" i="6"/>
  <c r="K75" i="6"/>
  <c r="K72" i="6"/>
  <c r="K74" i="6"/>
  <c r="K149" i="6"/>
  <c r="K151" i="6"/>
  <c r="K150" i="6"/>
  <c r="K21" i="6"/>
  <c r="K23" i="6"/>
  <c r="K25" i="6"/>
  <c r="K20" i="6"/>
  <c r="K22" i="6"/>
  <c r="K24" i="6"/>
  <c r="K139" i="6"/>
  <c r="K159" i="6"/>
  <c r="K163" i="6"/>
  <c r="K158" i="6"/>
  <c r="K57" i="6"/>
  <c r="K59" i="6"/>
  <c r="K61" i="6"/>
  <c r="K56" i="6"/>
  <c r="K58" i="6"/>
  <c r="K60" i="6"/>
  <c r="K109" i="6"/>
  <c r="K108" i="6"/>
  <c r="K110" i="6"/>
  <c r="K183" i="6"/>
  <c r="K182" i="6"/>
  <c r="K119" i="6"/>
  <c r="K118" i="6"/>
  <c r="K99" i="6"/>
  <c r="K100" i="6"/>
  <c r="K174" i="6"/>
  <c r="K175" i="6"/>
  <c r="K15" i="6"/>
  <c r="K17" i="6"/>
  <c r="K19" i="6"/>
  <c r="K14" i="6"/>
  <c r="K16" i="6"/>
  <c r="K18" i="6"/>
  <c r="K77" i="6"/>
  <c r="K79" i="6"/>
  <c r="K76" i="6"/>
  <c r="K78" i="6"/>
  <c r="K3" i="6"/>
  <c r="K7" i="6"/>
  <c r="K4" i="6"/>
  <c r="K6" i="6"/>
  <c r="K2" i="6"/>
  <c r="K147" i="6"/>
  <c r="K148" i="6"/>
  <c r="K141" i="6"/>
  <c r="K140" i="6"/>
  <c r="K142" i="6"/>
  <c r="K145" i="6"/>
  <c r="K153" i="6"/>
  <c r="K155" i="6"/>
  <c r="K157" i="6"/>
  <c r="K63" i="6"/>
  <c r="K65" i="6"/>
  <c r="K67" i="6"/>
  <c r="K62" i="6"/>
  <c r="K64" i="6"/>
  <c r="K66" i="6"/>
  <c r="K121" i="6"/>
  <c r="K123" i="6"/>
  <c r="K122" i="6"/>
  <c r="K9" i="6"/>
  <c r="K11" i="6"/>
  <c r="K13" i="6"/>
  <c r="K10" i="6"/>
  <c r="K12" i="6"/>
  <c r="K101" i="6"/>
  <c r="K167" i="6"/>
  <c r="K169" i="6"/>
  <c r="K168" i="6"/>
  <c r="K170" i="6"/>
  <c r="K115" i="6"/>
  <c r="K114" i="6"/>
  <c r="K116" i="6"/>
  <c r="K127" i="6"/>
  <c r="K107" i="6"/>
  <c r="K103" i="6"/>
  <c r="K135" i="6"/>
  <c r="K130" i="6"/>
  <c r="K97" i="6"/>
  <c r="K96" i="6"/>
  <c r="K98" i="6"/>
  <c r="K111" i="6"/>
  <c r="K113" i="6"/>
  <c r="K112" i="6"/>
  <c r="K136" i="6"/>
  <c r="U55" i="20" l="1"/>
  <c r="S160" i="20"/>
  <c r="V111" i="20"/>
  <c r="S172" i="20"/>
  <c r="AG137" i="20"/>
  <c r="V92" i="20"/>
  <c r="P75" i="20"/>
  <c r="X173" i="20"/>
  <c r="U49" i="20"/>
  <c r="U53" i="20"/>
  <c r="S173" i="20"/>
  <c r="X113" i="20"/>
  <c r="AH137" i="20"/>
  <c r="W41" i="20"/>
  <c r="X171" i="20"/>
  <c r="U51" i="20"/>
  <c r="P96" i="20"/>
  <c r="X71" i="20"/>
  <c r="AB137" i="20"/>
  <c r="V109" i="20"/>
  <c r="P144" i="20"/>
  <c r="P106" i="20"/>
  <c r="U54" i="20"/>
  <c r="AD137" i="20"/>
  <c r="W42" i="20"/>
  <c r="R81" i="20"/>
  <c r="V110" i="20"/>
  <c r="P152" i="20"/>
  <c r="T71" i="20"/>
  <c r="U180" i="20"/>
  <c r="P105" i="20"/>
  <c r="U52" i="20"/>
  <c r="X70" i="20"/>
  <c r="V46" i="20"/>
  <c r="V52" i="20"/>
  <c r="R80" i="20"/>
  <c r="T69" i="20"/>
  <c r="V44" i="20"/>
  <c r="V50" i="20"/>
  <c r="V164" i="20"/>
  <c r="V81" i="20"/>
  <c r="R87" i="20"/>
  <c r="R83" i="20"/>
  <c r="R156" i="20"/>
  <c r="V152" i="20"/>
  <c r="V168" i="20"/>
  <c r="V166" i="20"/>
  <c r="V123" i="20"/>
  <c r="V72" i="20"/>
  <c r="V85" i="20"/>
  <c r="Q9" i="20"/>
  <c r="Q13" i="20"/>
  <c r="Q10" i="20"/>
  <c r="Q11" i="20"/>
  <c r="Q8" i="20"/>
  <c r="Q12" i="20"/>
  <c r="V8" i="20"/>
  <c r="V12" i="20"/>
  <c r="V11" i="20"/>
  <c r="V10" i="20"/>
  <c r="V9" i="20"/>
  <c r="V13" i="20"/>
  <c r="U9" i="20"/>
  <c r="U13" i="20"/>
  <c r="U10" i="20"/>
  <c r="U11" i="20"/>
  <c r="U8" i="20"/>
  <c r="U12" i="20"/>
  <c r="P9" i="20"/>
  <c r="P10" i="20"/>
  <c r="P8" i="20"/>
  <c r="P13" i="20"/>
  <c r="P11" i="20"/>
  <c r="P12" i="20"/>
  <c r="T9" i="20"/>
  <c r="T13" i="20"/>
  <c r="T10" i="20"/>
  <c r="T11" i="20"/>
  <c r="T8" i="20"/>
  <c r="T12" i="20"/>
  <c r="X9" i="20"/>
  <c r="X13" i="20"/>
  <c r="X10" i="20"/>
  <c r="X11" i="20"/>
  <c r="X8" i="20"/>
  <c r="X12" i="20"/>
  <c r="W8" i="20"/>
  <c r="W12" i="20"/>
  <c r="W11" i="20"/>
  <c r="W10" i="20"/>
  <c r="W9" i="20"/>
  <c r="W13" i="20"/>
  <c r="R15" i="20"/>
  <c r="R19" i="20"/>
  <c r="R16" i="20"/>
  <c r="R17" i="20"/>
  <c r="R18" i="20"/>
  <c r="O140" i="20"/>
  <c r="O141" i="20"/>
  <c r="O142" i="20"/>
  <c r="O14" i="20"/>
  <c r="O15" i="20"/>
  <c r="O16" i="20"/>
  <c r="O17" i="20"/>
  <c r="O18" i="20"/>
  <c r="O19" i="20"/>
  <c r="O62" i="20"/>
  <c r="O63" i="20"/>
  <c r="O64" i="20"/>
  <c r="O65" i="20"/>
  <c r="O66" i="20"/>
  <c r="O67" i="20"/>
  <c r="O167" i="20"/>
  <c r="O168" i="20"/>
  <c r="O169" i="20"/>
  <c r="O170" i="20"/>
  <c r="O84" i="20"/>
  <c r="O85" i="20"/>
  <c r="O86" i="20"/>
  <c r="O87" i="20"/>
  <c r="O38" i="20"/>
  <c r="O39" i="20"/>
  <c r="O40" i="20"/>
  <c r="O41" i="20"/>
  <c r="O42" i="20"/>
  <c r="O43" i="20"/>
  <c r="O26" i="20"/>
  <c r="O27" i="20"/>
  <c r="O28" i="20"/>
  <c r="O29" i="20"/>
  <c r="O30" i="20"/>
  <c r="O31" i="20"/>
  <c r="O146" i="20"/>
  <c r="O154" i="20"/>
  <c r="O156" i="20"/>
  <c r="O68" i="20"/>
  <c r="O69" i="20"/>
  <c r="O70" i="20"/>
  <c r="O71" i="20"/>
  <c r="O88" i="20"/>
  <c r="O89" i="20"/>
  <c r="O90" i="20"/>
  <c r="O91" i="20"/>
  <c r="O143" i="20"/>
  <c r="O144" i="20"/>
  <c r="O152" i="20"/>
  <c r="O121" i="20"/>
  <c r="O122" i="20"/>
  <c r="O123" i="20"/>
  <c r="O145" i="20"/>
  <c r="O153" i="20"/>
  <c r="O155" i="20"/>
  <c r="O157" i="20"/>
  <c r="O80" i="20"/>
  <c r="O81" i="20"/>
  <c r="O82" i="20"/>
  <c r="O83" i="20"/>
  <c r="O92" i="20"/>
  <c r="O93" i="20"/>
  <c r="O94" i="20"/>
  <c r="O95" i="20"/>
  <c r="O108" i="20"/>
  <c r="O109" i="20"/>
  <c r="O110" i="20"/>
  <c r="O124" i="20"/>
  <c r="O131" i="20"/>
  <c r="O111" i="20"/>
  <c r="O112" i="20"/>
  <c r="O113" i="20"/>
  <c r="O20" i="20"/>
  <c r="O21" i="20"/>
  <c r="O22" i="20"/>
  <c r="O23" i="20"/>
  <c r="O24" i="20"/>
  <c r="O25" i="20"/>
  <c r="O147" i="20"/>
  <c r="O148" i="20"/>
  <c r="O72" i="20"/>
  <c r="O73" i="20"/>
  <c r="O74" i="20"/>
  <c r="O75" i="20"/>
  <c r="O56" i="20"/>
  <c r="O57" i="20"/>
  <c r="O58" i="20"/>
  <c r="O59" i="20"/>
  <c r="O60" i="20"/>
  <c r="O61" i="20"/>
  <c r="O96" i="20"/>
  <c r="O97" i="20"/>
  <c r="O98" i="20"/>
  <c r="O50" i="20"/>
  <c r="O51" i="20"/>
  <c r="O52" i="20"/>
  <c r="O53" i="20"/>
  <c r="O54" i="20"/>
  <c r="O55" i="20"/>
  <c r="O176" i="20"/>
  <c r="O177" i="20"/>
  <c r="O178" i="20"/>
  <c r="O76" i="20"/>
  <c r="O77" i="20"/>
  <c r="O78" i="20"/>
  <c r="O79" i="20"/>
  <c r="O44" i="20"/>
  <c r="O45" i="20"/>
  <c r="O46" i="20"/>
  <c r="O47" i="20"/>
  <c r="O48" i="20"/>
  <c r="O49" i="20"/>
  <c r="O164" i="20"/>
  <c r="O165" i="20"/>
  <c r="O166" i="20"/>
  <c r="O171" i="20"/>
  <c r="O172" i="20"/>
  <c r="O173" i="20"/>
  <c r="O114" i="20"/>
  <c r="O115" i="20"/>
  <c r="O116" i="20"/>
  <c r="O104" i="20"/>
  <c r="O105" i="20"/>
  <c r="O106" i="20"/>
  <c r="O99" i="20"/>
  <c r="O100" i="20"/>
  <c r="AA137" i="20"/>
</calcChain>
</file>

<file path=xl/sharedStrings.xml><?xml version="1.0" encoding="utf-8"?>
<sst xmlns="http://schemas.openxmlformats.org/spreadsheetml/2006/main" count="2893" uniqueCount="964">
  <si>
    <t>Asset</t>
  </si>
  <si>
    <t>Mumbai</t>
  </si>
  <si>
    <t>Heat Exchanger</t>
  </si>
  <si>
    <t>Property (Office Locations)</t>
  </si>
  <si>
    <t>Manufacturing Plants</t>
  </si>
  <si>
    <t>Hotels &amp; Resorts</t>
  </si>
  <si>
    <t>Supermarkets &amp; Malls</t>
  </si>
  <si>
    <t>Mines</t>
  </si>
  <si>
    <t>Power Plants</t>
  </si>
  <si>
    <t>Oil Refineries</t>
  </si>
  <si>
    <t>Telecom Towers</t>
  </si>
  <si>
    <t>Aircrafts</t>
  </si>
  <si>
    <r>
      <t>1.</t>
    </r>
    <r>
      <rPr>
        <sz val="7"/>
        <color theme="1"/>
        <rFont val="Times New Roman"/>
        <family val="1"/>
      </rPr>
      <t xml:space="preserve">       </t>
    </r>
    <r>
      <rPr>
        <sz val="11"/>
        <color theme="1"/>
        <rFont val="Calibri"/>
        <family val="2"/>
        <scheme val="minor"/>
      </rPr>
      <t>Airline disaster involving key employees</t>
    </r>
  </si>
  <si>
    <r>
      <t>2.</t>
    </r>
    <r>
      <rPr>
        <sz val="7"/>
        <color theme="1"/>
        <rFont val="Times New Roman"/>
        <family val="1"/>
      </rPr>
      <t xml:space="preserve">       </t>
    </r>
    <r>
      <rPr>
        <sz val="11"/>
        <color theme="1"/>
        <rFont val="Calibri"/>
        <family val="2"/>
        <scheme val="minor"/>
      </rPr>
      <t>Tsunami in the east coast of India led to loss of property worth __________</t>
    </r>
  </si>
  <si>
    <r>
      <t>3.</t>
    </r>
    <r>
      <rPr>
        <sz val="7"/>
        <color theme="1"/>
        <rFont val="Times New Roman"/>
        <family val="1"/>
      </rPr>
      <t xml:space="preserve">       </t>
    </r>
    <r>
      <rPr>
        <sz val="11"/>
        <color theme="1"/>
        <rFont val="Calibri"/>
        <family val="2"/>
        <scheme val="minor"/>
      </rPr>
      <t>Third party contractor delayed delivery of some key components which led to loss of business worth _____</t>
    </r>
  </si>
  <si>
    <r>
      <t>4.</t>
    </r>
    <r>
      <rPr>
        <sz val="7"/>
        <color theme="1"/>
        <rFont val="Times New Roman"/>
        <family val="1"/>
      </rPr>
      <t xml:space="preserve">       </t>
    </r>
    <r>
      <rPr>
        <sz val="11"/>
        <color theme="1"/>
        <rFont val="Calibri"/>
        <family val="2"/>
        <scheme val="minor"/>
      </rPr>
      <t>Fire in the ______________ plant led to losses worth _____________</t>
    </r>
  </si>
  <si>
    <r>
      <t>5.</t>
    </r>
    <r>
      <rPr>
        <sz val="7"/>
        <color theme="1"/>
        <rFont val="Times New Roman"/>
        <family val="1"/>
      </rPr>
      <t xml:space="preserve">       </t>
    </r>
    <r>
      <rPr>
        <sz val="11"/>
        <color theme="1"/>
        <rFont val="Calibri"/>
        <family val="2"/>
        <scheme val="minor"/>
      </rPr>
      <t>Litigation involving our Directors and Officers. Litigation costs amount to ______________</t>
    </r>
  </si>
  <si>
    <r>
      <t>6.</t>
    </r>
    <r>
      <rPr>
        <sz val="7"/>
        <color theme="1"/>
        <rFont val="Times New Roman"/>
        <family val="1"/>
      </rPr>
      <t xml:space="preserve">       </t>
    </r>
    <r>
      <rPr>
        <sz val="11"/>
        <color theme="1"/>
        <rFont val="Calibri"/>
        <family val="2"/>
        <scheme val="minor"/>
      </rPr>
      <t>Automotive fleet suffered damages worth ________________</t>
    </r>
  </si>
  <si>
    <t>Massive flooding in central and eastern Europe in May/June after four days of heavy rain caused large-scale damage across Germany, the Czech Republic, Hungary and Poland. Total economic losses were USD 16.5 billion, and the insured loss was USD 4.1 billion.</t>
  </si>
  <si>
    <t>in late July parts of Germany and France were hit, this time by severe hailstorms. The storms struck heavily populated areas in Germany, which, according to latest estimates, generated most of the entire insured loss total of USD 3.8 billion, the largest ever from a hail event, worldwide.</t>
  </si>
  <si>
    <t>The single largest loss-event in North America was extensive flooding in the city of Calgary, Alberta and surrounding area following six days of torrential rain. The economic loss was USD 4.7 billion and the insured loss was USD 1.9 billion</t>
  </si>
  <si>
    <t>Floods also generated losses in Australia, Asia and South America.</t>
  </si>
  <si>
    <r>
      <rPr>
        <b/>
        <sz val="11"/>
        <color theme="1"/>
        <rFont val="Calibri"/>
        <family val="2"/>
        <scheme val="minor"/>
      </rPr>
      <t>April 20, 2010</t>
    </r>
    <r>
      <rPr>
        <sz val="11"/>
        <color theme="1"/>
        <rFont val="Calibri"/>
        <family val="2"/>
        <scheme val="minor"/>
      </rPr>
      <t xml:space="preserve">: Deepwater Horizon oil spill in the Gulf of Mexico. 11 oil platform workers died in an explosion and fire that resulted in a massive oil spill in the Gulf of Mexico, considered the largest offshore spill in U.S. history.[10]
</t>
    </r>
  </si>
  <si>
    <r>
      <rPr>
        <b/>
        <sz val="11"/>
        <color theme="1"/>
        <rFont val="Calibri"/>
        <family val="2"/>
        <scheme val="minor"/>
      </rPr>
      <t xml:space="preserve">March 2011: </t>
    </r>
    <r>
      <rPr>
        <sz val="11"/>
        <color theme="1"/>
        <rFont val="Calibri"/>
        <family val="2"/>
        <scheme val="minor"/>
      </rPr>
      <t>Fukushima I nuclear accidents in Japan. Regarded as the largest nuclear disaster since the Chernobyl disaster, there were no direct deaths but a few of the plant's workers were severely injured or killed by the disaster conditions resulting from the earthquake.</t>
    </r>
  </si>
  <si>
    <r>
      <rPr>
        <b/>
        <sz val="11"/>
        <color theme="1"/>
        <rFont val="Calibri"/>
        <family val="2"/>
        <scheme val="minor"/>
      </rPr>
      <t>July 6, 2013</t>
    </r>
    <r>
      <rPr>
        <sz val="11"/>
        <color theme="1"/>
        <rFont val="Calibri"/>
        <family val="2"/>
        <scheme val="minor"/>
      </rPr>
      <t>: Lac-Mégantic, Quebec Canada. Lac-Mégantic derailment. Forty seven people were killed when there was a derailment of an oil shipment train. The oil shipment caught fire, exploded and more than thirty buildings were destroyed. It is the fourth deadliest rail accident in Canadian history.</t>
    </r>
  </si>
  <si>
    <t>Energy Industry</t>
  </si>
  <si>
    <t>A1</t>
  </si>
  <si>
    <t>A2</t>
  </si>
  <si>
    <t>A3</t>
  </si>
  <si>
    <t>A4</t>
  </si>
  <si>
    <t>A5</t>
  </si>
  <si>
    <t>A6</t>
  </si>
  <si>
    <t>A7</t>
  </si>
  <si>
    <t>A8</t>
  </si>
  <si>
    <t>A9</t>
  </si>
  <si>
    <t>A10</t>
  </si>
  <si>
    <t>A11</t>
  </si>
  <si>
    <t>A12</t>
  </si>
  <si>
    <t>A13</t>
  </si>
  <si>
    <t>A14</t>
  </si>
  <si>
    <t>A15</t>
  </si>
  <si>
    <t>R1</t>
  </si>
  <si>
    <t>R2</t>
  </si>
  <si>
    <t>R3</t>
  </si>
  <si>
    <t>R4</t>
  </si>
  <si>
    <t>R5</t>
  </si>
  <si>
    <t>R6</t>
  </si>
  <si>
    <t>R7</t>
  </si>
  <si>
    <t>R8</t>
  </si>
  <si>
    <t>R9</t>
  </si>
  <si>
    <t>R10</t>
  </si>
  <si>
    <t>R11</t>
  </si>
  <si>
    <t>R12</t>
  </si>
  <si>
    <t>R13</t>
  </si>
  <si>
    <t>R14</t>
  </si>
  <si>
    <t>R15</t>
  </si>
  <si>
    <t>Loss</t>
  </si>
  <si>
    <t>Value</t>
  </si>
  <si>
    <t>Round 1</t>
  </si>
  <si>
    <t>Round 2</t>
  </si>
  <si>
    <t>Round 3</t>
  </si>
  <si>
    <t>Round 4</t>
  </si>
  <si>
    <t>Round 5</t>
  </si>
  <si>
    <t>Result 1</t>
  </si>
  <si>
    <t>Result 2</t>
  </si>
  <si>
    <t>Result 3</t>
  </si>
  <si>
    <t>Result 4</t>
  </si>
  <si>
    <t>Result 5</t>
  </si>
  <si>
    <t>Total</t>
  </si>
  <si>
    <t>Policy Round 1</t>
  </si>
  <si>
    <t>Policy Round 2</t>
  </si>
  <si>
    <t>Policy Round 3</t>
  </si>
  <si>
    <t>Policy Round 4</t>
  </si>
  <si>
    <t>Policy Round 5</t>
  </si>
  <si>
    <t>Premium Round 1</t>
  </si>
  <si>
    <t>Premium Round 2</t>
  </si>
  <si>
    <t>Premium Round 3</t>
  </si>
  <si>
    <t>Premium Round 4</t>
  </si>
  <si>
    <t>Premium Round 5</t>
  </si>
  <si>
    <t>Premium Amount</t>
  </si>
  <si>
    <t>Research Reports</t>
  </si>
  <si>
    <t>Market Hardening</t>
  </si>
  <si>
    <t>Asset Code</t>
  </si>
  <si>
    <t>Asset Description</t>
  </si>
  <si>
    <t>Asset Value Year 1</t>
  </si>
  <si>
    <t>Asset Value Year 2</t>
  </si>
  <si>
    <t>Asset Value Year 3</t>
  </si>
  <si>
    <t>Asset Value Year 4</t>
  </si>
  <si>
    <t>Asset Value Year 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</si>
  <si>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</si>
  <si>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</si>
  <si>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</si>
  <si>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</si>
  <si>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</si>
  <si>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</si>
  <si>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</si>
  <si>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</si>
  <si>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</si>
  <si>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</si>
  <si>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</si>
  <si>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</si>
  <si>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</si>
  <si>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</si>
  <si>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</si>
  <si>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</si>
  <si>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</si>
  <si>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</si>
  <si>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</si>
  <si>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</si>
  <si>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</si>
  <si>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</si>
  <si>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</si>
  <si>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</si>
  <si>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</si>
  <si>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Germany</t>
  </si>
  <si>
    <t>Manila</t>
  </si>
  <si>
    <t>Risk Event Code</t>
  </si>
  <si>
    <t>Risk Description</t>
  </si>
  <si>
    <t>Location</t>
  </si>
  <si>
    <t>Asset to be impacted</t>
  </si>
  <si>
    <t>Policy to be procured</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</si>
  <si>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</si>
  <si>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</si>
  <si>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</si>
  <si>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</si>
  <si>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</si>
  <si>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</si>
  <si>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</si>
  <si>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</si>
  <si>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</si>
  <si>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</si>
  <si>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</si>
  <si>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</si>
  <si>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</si>
  <si>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</si>
  <si>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</si>
  <si>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</si>
  <si>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</si>
  <si>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</si>
  <si>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</si>
  <si>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</si>
  <si>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</si>
  <si>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</si>
  <si>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</si>
  <si>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</si>
  <si>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</si>
  <si>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</si>
  <si>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</si>
  <si>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</si>
  <si>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</si>
  <si>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</si>
  <si>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</si>
  <si>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</si>
  <si>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</si>
  <si>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</si>
  <si>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</si>
  <si>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</si>
  <si>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</si>
  <si>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</si>
  <si>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</si>
  <si>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</si>
  <si>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</si>
  <si>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</si>
  <si>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</si>
  <si>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</si>
  <si>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</si>
  <si>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</si>
  <si>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</si>
  <si>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</si>
  <si>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</si>
  <si>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</si>
  <si>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</si>
  <si>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</si>
  <si>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</si>
  <si>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</si>
  <si>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</si>
  <si>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</si>
  <si>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</si>
  <si>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</si>
  <si>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</si>
  <si>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</si>
  <si>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</si>
  <si>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</si>
  <si>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</si>
  <si>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</si>
  <si>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</si>
  <si>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</si>
  <si>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</si>
  <si>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</si>
  <si>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</si>
  <si>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</si>
  <si>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</si>
  <si>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</si>
  <si>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</si>
  <si>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</si>
  <si>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</si>
  <si>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</si>
  <si>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</si>
  <si>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</si>
  <si>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</si>
  <si>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</si>
  <si>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</si>
  <si>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</si>
  <si>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</si>
  <si>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</si>
  <si>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</si>
  <si>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</si>
  <si>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</si>
  <si>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</si>
  <si>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</si>
  <si>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</si>
  <si>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</si>
  <si>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</si>
  <si>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</si>
  <si>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</si>
  <si>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</si>
  <si>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</si>
  <si>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</si>
  <si>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</si>
  <si>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</si>
  <si>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</si>
  <si>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</si>
  <si>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</si>
  <si>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</si>
  <si>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</si>
  <si>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</si>
  <si>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</si>
  <si>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</si>
  <si>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</si>
  <si>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</si>
  <si>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</si>
  <si>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</si>
  <si>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</si>
  <si>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</si>
  <si>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</si>
  <si>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</si>
  <si>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</si>
  <si>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</si>
  <si>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</si>
  <si>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</si>
  <si>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</si>
  <si>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</si>
  <si>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</si>
  <si>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</si>
  <si>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</si>
  <si>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</si>
  <si>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</si>
  <si>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</si>
  <si>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</si>
  <si>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</si>
  <si>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</si>
  <si>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</si>
  <si>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</si>
  <si>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</si>
  <si>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</si>
  <si>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</si>
  <si>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</si>
  <si>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</si>
  <si>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</si>
  <si>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</si>
  <si>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</si>
  <si>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</si>
  <si>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</si>
  <si>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</si>
  <si>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</si>
  <si>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</si>
  <si>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</si>
  <si>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</si>
  <si>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</si>
  <si>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</si>
  <si>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</si>
  <si>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</si>
  <si>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</si>
  <si>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</si>
  <si>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</si>
  <si>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</si>
  <si>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</si>
  <si>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</si>
  <si>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</si>
  <si>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</si>
  <si>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</si>
  <si>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</si>
  <si>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</si>
  <si>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</si>
  <si>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</si>
  <si>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</si>
  <si>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</si>
  <si>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</si>
  <si>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</si>
  <si>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</si>
  <si>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</si>
  <si>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</si>
  <si>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</si>
  <si>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</si>
  <si>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</si>
  <si>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</si>
  <si>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</si>
  <si>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</si>
  <si>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</si>
  <si>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</si>
  <si>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R100</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</si>
  <si>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</si>
  <si>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</si>
  <si>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</si>
  <si>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</si>
  <si>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</si>
  <si>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</si>
  <si>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</si>
  <si>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</si>
  <si>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</si>
  <si>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</si>
  <si>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</si>
  <si>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</si>
  <si>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</si>
  <si>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</si>
  <si>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</si>
  <si>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</si>
  <si>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</si>
  <si>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</si>
  <si>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</si>
  <si>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</si>
  <si>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</si>
  <si>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</si>
  <si>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</si>
  <si>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</si>
  <si>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</si>
  <si>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</si>
  <si>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</si>
  <si>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</si>
  <si>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</si>
  <si>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</si>
  <si>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</si>
  <si>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</si>
  <si>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</si>
  <si>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</si>
  <si>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</si>
  <si>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</si>
  <si>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</si>
  <si>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</si>
  <si>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</si>
  <si>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</si>
  <si>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</si>
  <si>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</si>
  <si>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</si>
  <si>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</si>
  <si>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</si>
  <si>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</si>
  <si>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</si>
  <si>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</si>
  <si>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</si>
  <si>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</si>
  <si>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</si>
  <si>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</si>
  <si>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</si>
  <si>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</si>
  <si>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</si>
  <si>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</si>
  <si>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</si>
  <si>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</si>
  <si>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</si>
  <si>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</si>
  <si>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</si>
  <si>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</si>
  <si>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</si>
  <si>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</si>
  <si>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</si>
  <si>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</si>
  <si>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</si>
  <si>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</si>
  <si>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</si>
  <si>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</si>
  <si>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</si>
  <si>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</si>
  <si>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</si>
  <si>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</si>
  <si>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</si>
  <si>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</si>
  <si>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</si>
  <si>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</si>
  <si>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</si>
  <si>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</si>
  <si>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</si>
  <si>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</si>
  <si>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</si>
  <si>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</si>
  <si>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</si>
  <si>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</si>
  <si>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</si>
  <si>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</si>
  <si>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</si>
  <si>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</si>
  <si>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</si>
  <si>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</si>
  <si>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</si>
  <si>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</si>
  <si>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</si>
  <si>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</si>
  <si>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</si>
  <si>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</si>
  <si>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</si>
  <si>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</si>
  <si>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Policy Code</t>
  </si>
  <si>
    <t>Calgary</t>
  </si>
  <si>
    <t>R101</t>
  </si>
  <si>
    <t>P101</t>
  </si>
  <si>
    <t>R102</t>
  </si>
  <si>
    <t>P102</t>
  </si>
  <si>
    <t>R103</t>
  </si>
  <si>
    <t>P103</t>
  </si>
  <si>
    <t>R104</t>
  </si>
  <si>
    <t>P104</t>
  </si>
  <si>
    <t>R105</t>
  </si>
  <si>
    <t>P105</t>
  </si>
  <si>
    <t>R106</t>
  </si>
  <si>
    <t>P106</t>
  </si>
  <si>
    <t>R107</t>
  </si>
  <si>
    <t>P107</t>
  </si>
  <si>
    <t>R108</t>
  </si>
  <si>
    <t>P108</t>
  </si>
  <si>
    <t>R109</t>
  </si>
  <si>
    <t>P109</t>
  </si>
  <si>
    <t>R110</t>
  </si>
  <si>
    <t>P110</t>
  </si>
  <si>
    <t>R111</t>
  </si>
  <si>
    <t>P111</t>
  </si>
  <si>
    <t>R112</t>
  </si>
  <si>
    <t>P112</t>
  </si>
  <si>
    <t>R113</t>
  </si>
  <si>
    <t>P113</t>
  </si>
  <si>
    <t>R114</t>
  </si>
  <si>
    <t>P114</t>
  </si>
  <si>
    <t>R115</t>
  </si>
  <si>
    <t>P115</t>
  </si>
  <si>
    <t>R116</t>
  </si>
  <si>
    <t>P116</t>
  </si>
  <si>
    <t>R117</t>
  </si>
  <si>
    <t>P117</t>
  </si>
  <si>
    <t>R118</t>
  </si>
  <si>
    <t>P118</t>
  </si>
  <si>
    <t>R119</t>
  </si>
  <si>
    <t>P119</t>
  </si>
  <si>
    <t>R120</t>
  </si>
  <si>
    <t>P120</t>
  </si>
  <si>
    <t>R121</t>
  </si>
  <si>
    <t>P121</t>
  </si>
  <si>
    <t>R122</t>
  </si>
  <si>
    <t>P122</t>
  </si>
  <si>
    <t>R123</t>
  </si>
  <si>
    <t>P123</t>
  </si>
  <si>
    <t>R124</t>
  </si>
  <si>
    <t>P124</t>
  </si>
  <si>
    <t>R125</t>
  </si>
  <si>
    <t>P125</t>
  </si>
  <si>
    <t>R126</t>
  </si>
  <si>
    <t>P126</t>
  </si>
  <si>
    <t>R127</t>
  </si>
  <si>
    <t>P127</t>
  </si>
  <si>
    <t>R128</t>
  </si>
  <si>
    <t>P128</t>
  </si>
  <si>
    <t>R129</t>
  </si>
  <si>
    <t>P129</t>
  </si>
  <si>
    <t>R130</t>
  </si>
  <si>
    <t>P130</t>
  </si>
  <si>
    <t>R131</t>
  </si>
  <si>
    <t>P131</t>
  </si>
  <si>
    <t>R132</t>
  </si>
  <si>
    <t>P132</t>
  </si>
  <si>
    <t>R133</t>
  </si>
  <si>
    <t>P133</t>
  </si>
  <si>
    <t>R134</t>
  </si>
  <si>
    <t>P134</t>
  </si>
  <si>
    <t>R135</t>
  </si>
  <si>
    <t>P135</t>
  </si>
  <si>
    <t>R136</t>
  </si>
  <si>
    <t>P136</t>
  </si>
  <si>
    <t>R137</t>
  </si>
  <si>
    <t>P137</t>
  </si>
  <si>
    <t>Life of the Asset</t>
  </si>
  <si>
    <t>Risk Event</t>
  </si>
  <si>
    <t>Heavy Machinery</t>
  </si>
  <si>
    <t>San Francisco</t>
  </si>
  <si>
    <t>Earthquake</t>
  </si>
  <si>
    <t>Fire</t>
  </si>
  <si>
    <t>Typhoon</t>
  </si>
  <si>
    <t>Thunderstorms, Tornados &amp; Hail</t>
  </si>
  <si>
    <t>Warehouse &amp; Cold Storage</t>
  </si>
  <si>
    <t>Gulf of Mexico</t>
  </si>
  <si>
    <t>Windstorm Xaver Brings Destructive Winds and Storm Surge to Northern Europe</t>
  </si>
  <si>
    <t xml:space="preserve">, windstorm </t>
  </si>
  <si>
    <t>Haiyan Made Landfall in Vietnam on Monday as Category 1 Typhoon</t>
  </si>
  <si>
    <t>12-Nov-13 | View Report</t>
  </si>
  <si>
    <t xml:space="preserve">The Visayan Islands are relatively less urbanized and due to lower insurance penetration the overall insured loss is likely to a small percentage of the total damage from this event. Although there is a probability of high value single facility insured loss, the aggregate insured loss from this event is not expected to exceed $100 million USD. </t>
  </si>
  <si>
    <t>Extremely Dangerous Super Typhoon Haiyan (Yolanda) to Strike the Philippines Friday Morning as a Category 5</t>
  </si>
  <si>
    <t>07-Nov-13 | View Report</t>
  </si>
  <si>
    <t>Super Typhoon Haiyan (named Yolanda in the Philippines) has reach incredible intensity with sustained winds of 190 mph (165 kt)—an extremely powerful category 5 storm. The event is expected to make landfall in Eastern Visaya in the central Philippines Friday morning. Haiyan is a huge storm—more than 1,000 miles in diameter—and is expected to impact several islands in the Philippines. Mass evacuations from coastal and low-lying areas are underway in the central Philippines.</t>
  </si>
  <si>
    <t>Windstorm Christian Causes Death and Destruction Across Europe</t>
  </si>
  <si>
    <t>30-Oct-13 | View Report</t>
  </si>
  <si>
    <t>A severe European Windstorm has hit numerous countries across Northern Europe, causing 15 fatalities (CBC News), widespread damage to property and continued disruption to travel and energy supplies. Extra-Tropical Cyclone Christian - also referred to as Carmen in Denmark, the St Jude's day storm in the UK, and Simone in Sweden - tracked across the Southern regions of the UK overnight Sunday and into the early hours of Monday morning.</t>
  </si>
  <si>
    <t>Major Hurricane Raymond off Mexico’s Pacific Coast</t>
  </si>
  <si>
    <t>21-Oct-13 | View Report</t>
  </si>
  <si>
    <t>Category 1 Typhoon Wipha to Clip Eastern Japan Near Tokyo Early Wednesday Morning</t>
  </si>
  <si>
    <t>15-Oct-13 | View Report</t>
  </si>
  <si>
    <t>Major Earthquake strikes South-Central Philippines, Killing at least 85 People</t>
  </si>
  <si>
    <t>A shallow, magnitude 7.1 earthquake occurred the morning of Tuesday, October 15, 2013 (8:12 am local time) on Bohol Island, Philippines, 2 km (1 mile) northeast of the city of Catigbian and approximately 40 km (25 miles) from Cebu City. This earthquake was located 620 km (385 miles) from Philippines’ capital city of Manila. Strong ground motions were limited to a radius of approximately 50 km from the epicenter, but the event was felt throughout the Philippines. This earthquake occurred on the mountainous island of Bohol, in Bohol Province, home to the famous Chocolate Hills. The neighboring Cebu Province, on the periphery of the strongest ground shaking has a much higher population density.</t>
  </si>
  <si>
    <t xml:space="preserve">9.87,124.01 earthquake </t>
  </si>
  <si>
    <t>Typhoon Nari (Santi) Makes Landfall in the Philippines; Heading toward Second Landfall in Vietnam</t>
  </si>
  <si>
    <t>14-Oct-13 | View Report</t>
  </si>
  <si>
    <t>Severe Cyclonic Storm Phailin Hits Odisha as a Category 3 Cyclone</t>
  </si>
  <si>
    <t>Severe Cyclonic Storm Phailin made landfall near Gopalpur, Odisha on the northeastern coast of India between 8:30 and 9:30 p.m. local time (15-16 GMT) on Saturday, October 12 as a strong Category 3 cyclone on the Saffir Simpson Scale. The storm has caused significant destruction to property and crops. Tens of thousands of homes were damaged and about 9 million people were affected by the storm in Odisha and Andhra Pradesh states. Maximum winds at landfall were estimated at 125-130 mph. Economic damages from this event are likely to exceed $1 Billion (USD), but insured losses are unlikely to exceed $100 Million. This is the strongest cyclone to affect these regions since a Category 5 storm (peak winds at 155 mph) hit Odisha in 1999, approximately 200 km to the north.</t>
  </si>
  <si>
    <t>Severe Cyclonic Storm Phailin Forecast to Hit India at Category 3 Intensity on Saturday</t>
  </si>
  <si>
    <t>10-Oct-13 | View Report</t>
  </si>
  <si>
    <t xml:space="preserve">In the northern Indian Ocean’s Bay of Bengal, Very Severe Cyclonic Storm Phailin is moving toward a landfall on the northeastern coast of India, between Andhra Pradesh and Odisha. The India Meteorological Department (IMD) classifies tropical cyclones as “Very Severe Cyclonic Storms” when maximum 10-minute sustained winds range from 83 mph to 149 mph. </t>
  </si>
  <si>
    <t>Typhoon Nari (Santi) to Make Landfall in the Philippines</t>
  </si>
  <si>
    <t>Tropical Storm Danas Passing between Japan and Korea</t>
  </si>
  <si>
    <t>08-Oct-13 | View Report</t>
  </si>
  <si>
    <t>Strong Typhoon Danas Passes Just off Okinawa, Japan; Expected to Affect the Main Japanese Islands on Tuesday</t>
  </si>
  <si>
    <t>07-Oct-13 | View Report</t>
  </si>
  <si>
    <t>Meanwhile, Fitow made landfall in Fujian Province on Monday (local time) as a strong tropical storm. Fitow caused heavy rainfall, power outages and disruption to mass transit. Due to low insurance penetration in China, the insured loss from this event is expected to be minimal.</t>
  </si>
  <si>
    <t>Typhoon Fitow (Quedan) to Threaten China Early Next Week</t>
  </si>
  <si>
    <t>04-Oct-13 | View Report</t>
  </si>
  <si>
    <t>Tropical Storm Karen Heading Toward the Gulf Coast</t>
  </si>
  <si>
    <t>Typhoon Fitow (Quedan) to Threaten Shanghai over the Coming Weekend</t>
  </si>
  <si>
    <t>03-Oct-13 | View Report</t>
  </si>
  <si>
    <t>Tropical Storm Karen Likely to Hit Gulf Coast Over the Weekend</t>
  </si>
  <si>
    <t>Typhoon Wutip (Paolo) Lashes Central Vietnam; Tropical Storm Jerry Forms in the Atlantic</t>
  </si>
  <si>
    <t>30-Sep-13 | View Report</t>
  </si>
  <si>
    <t>Major Earthquake Strikes Southwest Pakistan</t>
  </si>
  <si>
    <t>24-Sep-13 | View Report</t>
  </si>
  <si>
    <t>A shallow, magnitude 7.7 earthquake occurred on the afternoon of Tuesday, September 24, 2013 (4:29 p.m. local time) in the Baluchistan Province of Southwestern Pakistan, north of Karachi. Strong ground motions were limited to a radius of approximately 100 km from the epicenter, but the event was felt over a very wide area, including Dubai and as far away as New Delhi, India.</t>
  </si>
  <si>
    <t xml:space="preserve">27+,65.51+ earthquake </t>
  </si>
  <si>
    <t>Hong Kong Escapes the Worst of Typhoon Usagi</t>
  </si>
  <si>
    <t>23-Sep-13 | View Report</t>
  </si>
  <si>
    <t>The populace of Hong Kong escaped the major impacts from the storm. Since Hong Kong was on the left side of the storm, (weaker side), it experienced only tropical storm force winds. Also, Usagi was a small storm; hence the rainfall impacts were typically low to moderate in Hong Kong. Several flights were canceled, passengers were stranded, businesses schools and the stock market remained closed in Hong Kong.</t>
  </si>
  <si>
    <t>Super Typhoon Usagi to Pass Between Taiwan and the Philippines Saturday; Forecast to Make Landfall Near Hong Kong Sunday</t>
  </si>
  <si>
    <t>20-Sep-13 | View Report</t>
  </si>
  <si>
    <t>The insured loss for the Philippines from Usagi is expected to be minimal due to low commercial and industrial activity in Northern Luzon. Similarly, the insured loss for Taiwan is also expected to be low. The storm has a small radius to maximum wind speeds, causing uncertainty in expected damages in Taiwan. At this point the local impact to China is not possible to forecast due to uncertainty in Usagi’s track forecast.</t>
  </si>
  <si>
    <t>Hurricane Manuel Makes Second Landfall Near Culiacan, Mexico; Est. Insured Loss Could Reach $200 Million USD</t>
  </si>
  <si>
    <t>Colorado Floods Likely to Incur Economic Cost Greater than $2 Billion</t>
  </si>
  <si>
    <t>19-Sep-13 | View Report</t>
  </si>
  <si>
    <t>Colorado floods in September 2013 are expected to cause economic damages greater than $2 billion due to heavy rains, flash floods, and mudslides impacting some of the most populous counties. Flooding has resulted in multiple fatalities with an estimated 1500 homes destroyed and thousands more damaged over 17 counties. Most of the financial losses will be borne by residents, since very little flood risk is insured.</t>
  </si>
  <si>
    <t xml:space="preserve">, flood </t>
  </si>
  <si>
    <t>Tropical Storm Usagi Forms in Western Pacific; May Threaten Taiwan by Week’s End as Typhoon</t>
  </si>
  <si>
    <t>17-Sep-13 | View Report</t>
  </si>
  <si>
    <t>Tropical Storm Man-Yi in the Western Pacific Moves over Japan, Bringing High Winds and Heavy Rains</t>
  </si>
  <si>
    <t>16-Sep-13 | View Report</t>
  </si>
  <si>
    <t xml:space="preserve">Tropical Storm Man-Yi moved over central Japan early Monday morning local time, September 16, with maximum winds near 70 mph. Man-Yi formed in the western Pacific at 2 p.m. local time on Friday, September 13, roughly 850 miles south-southeast of Japan.  It became the 16th named storm of the 2013 Pacific Typhoon Season. The storm moved ashore near Hamamatsu and Toyohashi, Japan and traversed briskly across Honshu Island and exited the island near Minamisoma, Fukushima Prefecture.  </t>
  </si>
  <si>
    <t>Tropical Storm Manuel in the Eastern Pacific Moves Inland near Manzanillo, Mexico</t>
  </si>
  <si>
    <t>On Mexico’s Pacific coast, Tropical Storm Manuel made landfall near Manzanillo, Mexico around 11 a.m. PDT Sunday, September 15, with 65 mph maximum sustained winds. Manuel was named at 2 p.m. PDT Friday, September 13, around 150 miles off the Mexican coast and about 300 miles southeast of Manzanillo. After moving to the north on Saturday, Manuel then moved to the northwest parallel to the coast before coming ashore near Manzanillo in the Mexican state of Colima.  Manuel quickly weakened after landfall and dissipated over west-central Mexico at 2 a.m. PDT Monday, September 16.</t>
  </si>
  <si>
    <t>Hurricane Ingrid Weakens to Tropical Storm; Makes Landfall Near La Pesca, on Mexico’s Gulf Coast</t>
  </si>
  <si>
    <t>Hurricane Ingrid approached the Mexican coast this morning and at 7 a.m. CDT Monday, September 16; Ingrid had weakened to a tropical storm as it made landfall near La Pesca, Mexico. The storm is expected to weaken further later today. Rainfall amounts of 10 to 15 inches were expected over a large part of eastern Mexico, with isolated amounts to 25 inches possible, especially in mountainous terrain.  These rains have produced many reports of flash floods and mud slides.</t>
  </si>
  <si>
    <t>Tropical Storm Ingrid Forms in Southern Gulf of Mexico near Veracruz</t>
  </si>
  <si>
    <t>13-Sep-13 | View Report</t>
  </si>
  <si>
    <t xml:space="preserve">Tropical Storm Ingrid formed at 10 a.m. CDT Friday, September 13, in the Bay of Campeche in the southern Gulf of Mexico. The storm center was located about 60 miles east-northeast of Veracruz, Mexico. Maximum sustained winds were 45 mph, and some strengthening is forecast over the next several days. Ingrid is the ninth named storm of the 2013 Atlantic Hurricane Season. Ingrid is expected to make landfall near Tampico, along the Mexico coast on Sunday. </t>
  </si>
  <si>
    <t>Tropical Storm Gabrielle Passes Close to Bermuda; Humberto Becomes First Hurricane of 2013 Season</t>
  </si>
  <si>
    <t>11-Sep-13 | View Report</t>
  </si>
  <si>
    <t>Tropical Storm Gabrielle Regenerates, Heads Toward Bermuda; Humberto Likely to Become Season’s First Hurricane</t>
  </si>
  <si>
    <t>10-Sep-13 | View Report</t>
  </si>
  <si>
    <t>Tropical Storm Humberto Forms Near Cape Verde Islands</t>
  </si>
  <si>
    <t>09-Sep-13 | View Report</t>
  </si>
  <si>
    <t>Tropical Storm Lorena Nears Los Cabos Resorts, Mexico</t>
  </si>
  <si>
    <t>06-Sep-13 | View Report</t>
  </si>
  <si>
    <t>Tropical Storm Lorena formed in the Eastern North Pacific Thursday afternoon, September 5, about 335 miles to the southwest of the tip of the Baja Peninsula in Mexico.  The storm has been moving to the northwest since that time, and maximum winds have stayed around 40 mph.  A tropical storm warning is in effect for the southern portion of Baja. Lorena became the 12th named storm of the 2013 East Pacific Hurricane Season.</t>
  </si>
  <si>
    <t>Tropical Storm Gabrielle Forms in Caribbean; Downgraded to Depression After 12 hours</t>
  </si>
  <si>
    <t>05-Sep-13 | View Report</t>
  </si>
  <si>
    <t>Gabrielle emerged as the 7th named storm of the 2013 Atlantic Hurricane Season yesterday, September 4 at 11 pm EDT. The storm was about 70 miles south of Ponce, Puerto Rico.  This morning, Thursday, September 5, Gabrielle became increasingly disorganized when the low level circulation raced 150 miles west of the mid-level center of the storm. Gabrielle is now a tropical depression.  EQECAT does not expect any major damage from this event.</t>
  </si>
  <si>
    <t>Tropical Storm Toraji Heading toward a Landfall in Japan on Wednesday</t>
  </si>
  <si>
    <t>03-Sep-13 | View Report</t>
  </si>
  <si>
    <t>Tropical Storm Kong-Rey Weakens to a Tropical Depression</t>
  </si>
  <si>
    <t>30-Aug-13 | View Report</t>
  </si>
  <si>
    <t>Tropical Storm Kong-Rey is now a tropical depression. The storm is moving over an area of high wind shear that is associated with the frontal system. Slight intensification to a weak tropical storm is still possible as the storm moves over slightly warmer waters.</t>
  </si>
  <si>
    <t>Tropical Storm Kong-Rey Brings Heavy Rains to Taiwan; Tropical Storm Juliette Hits Tourist Resorts in Mexico</t>
  </si>
  <si>
    <t>29-Aug-13 | View Report</t>
  </si>
  <si>
    <t>Tropical Storm Kong-Rey passed roughly 30 miles east of northeastern Taiwan and 55 miles east of Taipei on Thursday morning, August 29. The maximum sustained wind speeds were about 60 mph as the storm skirted the island; however, the wind speeds experienced onshore are likely to be far less. The main hazard to the island was extreme rainfall. The highest rainfall totals occurred in heavily populated southwestern Taiwan, where many areas were receiving 300 mm (around 12 inches) and isolated spots getting up to 500 mm (20 inches). Meanwhile, Tropical Storm Juliette has brushed southern Baja California, Mexico as a weak tropical storm. The insured loss from these events is expected to be minimal.</t>
  </si>
  <si>
    <t>Tropical Storm Kong-Rey to Make Close Approach to Taiwan Early Thursday</t>
  </si>
  <si>
    <t>28-Aug-13 | View Report</t>
  </si>
  <si>
    <t>Tropical Storm Kong-Rey is approaching Taiwan and is forecast to pass very near the island on Thursday morning, August 29. The storm is moving north and is not expected to strengthen. Areas closest to the storm center could see isolated maximum rainfall amounts of up to 15 inches.  Life-threatening flash floods and landslides are possible, especially in mountainous terrain.</t>
  </si>
  <si>
    <t>Tropical Storm Kong-Rey to Bypass Taiwan Tomorrow</t>
  </si>
  <si>
    <t>27-Aug-13 | View Report</t>
  </si>
  <si>
    <t xml:space="preserve">Tropical Storm Kong-Rey (Nando) became the 14th named storm of the 2013 Western North Pacific Typhoon Season. The storm is forecast to pass offshore of Taiwan on Wednesday, and threaten Japan by week’s end. Kong-Rey is about 370 miles south-southeast of Taipei, Taiwan, with maximum sustained winds of about 60 mph. The storm is expected to strengthen slowly over the next couple of days. The track will keep damaging winds off the coast of Taiwan. </t>
  </si>
  <si>
    <t>Tropical Storm Fernand Forms in Southern Gulf of Mexico; Quickly Moves Inland near Veracruz, Mexico</t>
  </si>
  <si>
    <t>26-Aug-13 | View Report</t>
  </si>
  <si>
    <t>Tropical Storm Fernand made landfall at 11:45 pm CDT Sunday night, around 25 miles to the north-northwest of Veracruz with maximum sustained wind speeds of about 50 mph in the same general area where Tropical Storm Barry made landfall on June 20 earlier this season. No major damages or fatalities have been reported for this event.</t>
  </si>
  <si>
    <t>China Braces for Trami</t>
  </si>
  <si>
    <t>21-Aug-13 | View Report</t>
  </si>
  <si>
    <t>Tropical Storm Trami Targets Taiwan</t>
  </si>
  <si>
    <t>20-Aug-13 | View Report</t>
  </si>
  <si>
    <t xml:space="preserve">Two named storms are brewing the Northern West Pacific basin- Tropical Storms Trami and Pewa. Pewa is way out in the water and does not pose any threat to land. However, Tropical Storm Trami is expected to pass near or over Northern Taiwan on Wednesday, August 21. Trami became the 11th named storm of the 2013 Typhoon Season and is expected to become a Category 1 Typhoon before crossing Taiwan. </t>
  </si>
  <si>
    <t>Another Strong Earthquake Strikes near Wellington, New Zealand; Minor Damage Expected</t>
  </si>
  <si>
    <t>16-Aug-13 | View Report</t>
  </si>
  <si>
    <t>A shallow, magnitude (Mw) 6.5 earthquake occurred on the afternoon of Friday, August 16, 2013 (2:31 pm local time) on the north end of New Zealand's South Island, 27 km (17 miles) SSW of Blenheim and 94 km (58 miles) WSW from Wellington, New Zealand’s capital city. The event was followed by M5.5, M5.2, M5.9 and M5.0 aftershocks within one hour of the main earthquake.</t>
  </si>
  <si>
    <t xml:space="preserve">-41.767,+174.061 earthquake </t>
  </si>
  <si>
    <t>Tropical Storm Erin Forms Near Cape Verde Islands</t>
  </si>
  <si>
    <t>15-Aug-13 | View Report</t>
  </si>
  <si>
    <t>Tropical Storm Erin emerged as the fifth named storm of the 2013 Atlantic Hurricane season today, August 15. Erin is a small storm with tropical storm winds extending outward to about 35 miles. The storm is about 115 miles west southwest of Brava in the Cape Verde Islands. There is significant uncertainty in the storm track and its intensities. The storm is expected to strengthen over the next 2 days and  thereafter, move into a drier environment caused by the Saharan Air Layer (SAL) which will impede storm development.</t>
  </si>
  <si>
    <t>Typhoon Utor Hits Southern China; Est. Insured loss Less than $200 Million for China</t>
  </si>
  <si>
    <t>14-Aug-13 | View Report</t>
  </si>
  <si>
    <t>Typhoon Utor Heading toward Second Landfall in Guangdong, China</t>
  </si>
  <si>
    <t>13-Aug-13 | View Report</t>
  </si>
  <si>
    <t>Strong Earthquake Strikes Offshore Colombia</t>
  </si>
  <si>
    <t>A shallow, magnitude 6.7 earthquake occurred the morning of Tuesday, August 13, 2013 (10:43 am local time) off the Pacific Coast of Colombia, 95 km (59 miles) WSW of Mutis, Colombia. The closest major city, Panama City, Panama was 371 km (231 miles) to the SSE. Strong ground motions were limited to approximately 50 km from the epicenter.</t>
  </si>
  <si>
    <t xml:space="preserve">5.8,-78.23 earthquake </t>
  </si>
  <si>
    <t>Super Typhoon Utor Slams Philippines; Heads toward Southeast China</t>
  </si>
  <si>
    <t>12-Aug-13 | View Report</t>
  </si>
  <si>
    <t>Typhoon Utor (Labuyo) slammed into central Luzon in the Philippines, on Monday, August 12. The insured loss from this event is not expected to be significant in the Philippines.</t>
  </si>
  <si>
    <t>Tropical Storm Flossie Reaches Hawaii</t>
  </si>
  <si>
    <t>29-Jul-13 | View Report</t>
  </si>
  <si>
    <t xml:space="preserve">Tropical Storm Flossie has reached the Hawaiian Islands and is expected to pass through the island chain today and tonight, Monday, July 29. Tropical storm warnings are in effect for all Hawaii counties from the Big Island to Niihau. </t>
  </si>
  <si>
    <t>Tropical Storm Dorian Forms in Far Eastern Atlantic</t>
  </si>
  <si>
    <t>24-Jul-13 | View Report</t>
  </si>
  <si>
    <t>Strong Earthquake Strikes Near Wellington, New Zealand</t>
  </si>
  <si>
    <t>21-Jul-13 | View Report</t>
  </si>
  <si>
    <t xml:space="preserve">A shallow, magnitude 6.5 earthquake occurred on the evening of Sunday, June 21, 2013 (5:09 pm local time) in Cook Strait, New Zealand 46 km (29 miles) east southeast of Blenheim and 54 km (34 miles) south southwest of Wellington, New Zealand’s second largest city. Strong ground motions were limited to approximately 50 km from the epicenter, but the earthquake was widely felt across both the North and South Islands, including the capital city of Auckland and the city of Christchurch. Reports indicate shaking lasted for approximately one minute. </t>
  </si>
  <si>
    <t xml:space="preserve">-41.2294,+174.4831 earthquake </t>
  </si>
  <si>
    <t>Taiwan Braces for Typhoon Soulik</t>
  </si>
  <si>
    <t>12-Jul-13 | View Report</t>
  </si>
  <si>
    <t>Uncertain Future for Tropical Storm Chantal as it Weakens in the Caribbean</t>
  </si>
  <si>
    <t>10-Jul-13 | View Report</t>
  </si>
  <si>
    <t xml:space="preserve">Tropical Storm Chantal has weakened considerably. This morning, Wednesday, July 10, Air Force reconnaissance reported weak circulation as Chantal remains a tropical storm with 45 mph maximum winds. The storm is expected to further weaken to a tropical depression or degenerate in the next 24 hours. At 11 am EDT, today, Chantal was about 145 south of Port Au Prince, Haiti and was heading west. Chantal, or its remnants, may move north over southeastern Florida, bringing gusty winds and heavy rains on Friday. </t>
  </si>
  <si>
    <t>Tropical Storm Chantal Moves Through the Lesser Antilles into the Caribbean, and Heads for the Dominican Republic</t>
  </si>
  <si>
    <t>09-Jul-13 | View Report</t>
  </si>
  <si>
    <t>Tropical Storm Chantal Forms in the Atlantic and Heads for the Caribbean</t>
  </si>
  <si>
    <t>08-Jul-13 | View Report</t>
  </si>
  <si>
    <t>Tropical Storm Barry Made Landfall in Mexico, No Major Damages or Fatalities</t>
  </si>
  <si>
    <t>20-Jun-13 | View Report</t>
  </si>
  <si>
    <t>Tropical Storm Barry became the second named storm of the 2013 Atlantic Hurricane Season. It made landfall today near Veracruz, Mexico as a tropical storm. No major damages or fatalities have been reported from this event.</t>
  </si>
  <si>
    <t>Strong Earthquake off the Coast of Nicaragua, Minor Damage</t>
  </si>
  <si>
    <t>15-Jun-13 | View Report</t>
  </si>
  <si>
    <t>A magnitude 6.5 earthquake occurred on the morning of Saturday, June 15, 2013, off the Pacific coast of Nicaragua, 90 km (56 mi) west southwest of the capital city of Managua. Minor damage and one fatality have been reported.</t>
  </si>
  <si>
    <t xml:space="preserve">+11.72,-86.98 earthquake </t>
  </si>
  <si>
    <t>Tropical Storm Andrea Makes Landfall in Florida’s Big Bend; Brings Heavy Rains to East Coast</t>
  </si>
  <si>
    <t>07-Jun-13 | View Report</t>
  </si>
  <si>
    <t>Andrea Forms in the Gulf of Mexico; Heads for the Florida Coast</t>
  </si>
  <si>
    <t>06-Jun-13 | View Report</t>
  </si>
  <si>
    <t>Strong Earthquake Jolts Central Taiwan; Felt in Hong Kong</t>
  </si>
  <si>
    <t>05-Jun-13 | View Report</t>
  </si>
  <si>
    <t>A magnitude 6.2 earthquake occurred on Sunday, June 2, 2013 in the mountainous region of Central Taiwan, 22 km south-southeast of the city of Buli, in Nantou County. Strong ground motions were limited to central regions of the island, closest to the epicenter, but the earthquake was widely felt across the island, including in the capital city of Taipei. Shaking was reported at great distances, including in Hong Kong, over 700 km (450 mi) away. Based on a representative market portfolio, damage is expected to range from $50 to $300 million USD. Insured losses only make up a small fraction of the total damage.</t>
  </si>
  <si>
    <t xml:space="preserve">+23.79,+121.08 earthquake </t>
  </si>
  <si>
    <t>Devastating Floods Hit Central Europe; Significant Damage Expected</t>
  </si>
  <si>
    <t>04-Jun-13 | View Report</t>
  </si>
  <si>
    <t>Heavy rainfall continues to cause widespread flooding across Central Europe. Following several days of intense rainfall, Germany, Austria and the Czech Republic are currently the worst affected areas, as several provinces declare a state of emergency and implement necessary civil evacuation measures.</t>
  </si>
  <si>
    <t xml:space="preserve">50.08,14.41 flood </t>
  </si>
  <si>
    <t>Barbara Brings Heavy Rainfall to Southeastern Mexico After Making Landfall near Tonalá, Chiapas</t>
  </si>
  <si>
    <t>30-May-13 | View Report</t>
  </si>
  <si>
    <t>California Earthquakes This Week: North and South Not Related</t>
  </si>
  <si>
    <t>Two moderate sized earthquakes have been felt in California this week: a magnitude 5.7 in Northern California on May 23 and a magnitude 4.8 in southern California on May 30. These two earthquakes were not related. Both events were widely felt, but little damage resulted. The northern event (M5.7) was nearly ten times larger than the southern event (M4.8), but occurred in a remotely populated area of Northern California.</t>
  </si>
  <si>
    <t xml:space="preserve">34.41,-119.93 earthquake </t>
  </si>
  <si>
    <t>Barbara to Make Landfall as a Hurricane in Mexico</t>
  </si>
  <si>
    <t>29-May-13 | View Report</t>
  </si>
  <si>
    <t>Destructive Moore, Oklahoma Tornadoes</t>
  </si>
  <si>
    <t>23-May-13 | View Report</t>
  </si>
  <si>
    <t>A very strong storm system moving across the central United States has produced deadly tornado touchdowns and significant property losses. The National Weather Service reported 16 tornado touchdowns on Saturday 18 May, 29 touchdowns on the 19 May and 31 on 20 May. Two tornado touchdowns south of Oklahoma City (OK) were responsible for an estimated 26 fatalities (2 fatalities from an EF4 touchdown on 19 May, and 24 fatalities from an EF5 touchdown on 20 May). Insured property losses are expected to range from $2 to $5 billion. Advance tornado forecasts and warnings were not sufficient to reduce the loss of life from these events.</t>
  </si>
  <si>
    <t xml:space="preserve">34.6,-99.3 tornado-hail </t>
  </si>
  <si>
    <t>M5.2 Earthquake Shakes Eastern Canada</t>
  </si>
  <si>
    <t>17-May-13 | View Report</t>
  </si>
  <si>
    <t>A magnitude 5.2 earthquake occurred on the morning of Friday, May 17, 2013 near the National Capital Region (Ottawa-Gatineau) of Canada. A magnitude 4.1 aftershock struck ten minutes later. This is the largest event to strike the area since the magnitude 5.0 event on June 23, 2010.</t>
  </si>
  <si>
    <t xml:space="preserve">45.77+,-76.4 earthquake </t>
  </si>
  <si>
    <t>M6.6 Quake in China Responsible for 200+ Fatalities</t>
  </si>
  <si>
    <t>22-Apr-13 | View Report</t>
  </si>
  <si>
    <t>A magnitude 6.6 earthquake occurred on the morning of Saturday, April 20, 2013 in the Sichuan Province of China, 115km WSW from the city of Chengdu. Strong ground motions were limited to approximately 50km from the epicenter, but the earthquake was widely felt in the region. Reports indicate shaking continued for one minute. The China Earthquake Administration (CEA) has reported this event at M7.0, with a shallow depth of 12km.</t>
  </si>
  <si>
    <t xml:space="preserve">+30.28,+102.96 earthquake </t>
  </si>
  <si>
    <t>M7.8 Earthquake in the Iran-Pakistan Border Region</t>
  </si>
  <si>
    <t>16-Apr-13 | View Report</t>
  </si>
  <si>
    <t>A M7.8 earthquake occurred on the afternoon of Tuesday, April 16, 2013 in southeastern Iran, near the Pakistan border. Strong ground motions extended more than 150 miles from the epicenter, and the earthquake was widely felt in the region. Preliminary reports indicate dozens of fatalities and more than 850 people injured, with damage concentrated in the immediate area of the earthquake. The sparsely populated and remote region of this earthquake has limited the potential for broader effects from this event.</t>
  </si>
  <si>
    <t xml:space="preserve">28.11,62.05 earthquake </t>
  </si>
  <si>
    <t>Rusty Makes Landfall as a Cat 3 Cyclone; Insured Loss Not Expected to be Significant</t>
  </si>
  <si>
    <t>27-Feb-13 | View Report</t>
  </si>
  <si>
    <t>Tropical Cyclone Rusty made landfall as a Category 3 Cyclone (on the Australian Category Scale) and Category 1 (on the American Saffir-Simpson Scale) near Pardoo, a small sparsely populated town, about 105 km east of Port Hedland, on Wednesday, February 27 at 0600 UTC. Rusty was a broad, slow moving storm, which was initially expected to make landfall near Port Hedland, but later veered away towards Pardoo. The event is expected to cause destructive winds within the impacted regions, localized flooding, and power outages. Though Rusty is the strongest tropical cyclone of the 2012-2013 Season to affect Australia, the estimated damage from this event is expected to be minimal, mainly because of the sparse population, preparation in advance of Rusty, and the stringent and strictly enforced building codes in Australia.</t>
  </si>
  <si>
    <t xml:space="preserve">  </t>
  </si>
  <si>
    <t>Texas</t>
  </si>
  <si>
    <t>High tide and high rainfalls leading to large floods</t>
  </si>
  <si>
    <t>Tokyo</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</si>
  <si>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</si>
  <si>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</si>
  <si>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</si>
  <si>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</si>
  <si>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</si>
  <si>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</si>
  <si>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</si>
  <si>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</si>
  <si>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</si>
  <si>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</si>
  <si>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</si>
  <si>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</si>
  <si>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</si>
  <si>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</si>
  <si>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</si>
  <si>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</si>
  <si>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</si>
  <si>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</si>
  <si>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</si>
  <si>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</si>
  <si>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</si>
  <si>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</si>
  <si>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</si>
  <si>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</si>
  <si>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</si>
  <si>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</si>
  <si>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 xml:space="preserve">Extremely Dangerous Super Typhoon Haiyan (Yolanda) to Strike the Philippines </t>
  </si>
  <si>
    <t xml:space="preserve">Typhoon Nari (Santi) </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</si>
  <si>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</si>
  <si>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</si>
  <si>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</si>
  <si>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</si>
  <si>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</si>
  <si>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</si>
  <si>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</si>
  <si>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</si>
  <si>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</si>
  <si>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</si>
  <si>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</si>
  <si>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</si>
  <si>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</si>
  <si>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</si>
  <si>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</si>
  <si>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</si>
  <si>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</si>
  <si>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</si>
  <si>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</si>
  <si>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</si>
  <si>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</si>
  <si>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</si>
  <si>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</si>
  <si>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</si>
  <si>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</si>
  <si>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</si>
  <si>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</si>
  <si>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P164</t>
  </si>
  <si>
    <t>R165</t>
  </si>
  <si>
    <t>P165</t>
  </si>
  <si>
    <t>R166</t>
  </si>
  <si>
    <t>P166</t>
  </si>
  <si>
    <t>R167</t>
  </si>
  <si>
    <t>P167</t>
  </si>
  <si>
    <t>R168</t>
  </si>
  <si>
    <t>P168</t>
  </si>
  <si>
    <t>R169</t>
  </si>
  <si>
    <t>P169</t>
  </si>
  <si>
    <t>R170</t>
  </si>
  <si>
    <t>P170</t>
  </si>
  <si>
    <t>R171</t>
  </si>
  <si>
    <t>P171</t>
  </si>
  <si>
    <t>R172</t>
  </si>
  <si>
    <t>P172</t>
  </si>
  <si>
    <t>R173</t>
  </si>
  <si>
    <t>P173</t>
  </si>
  <si>
    <t>R174</t>
  </si>
  <si>
    <t>P174</t>
  </si>
  <si>
    <t>R175</t>
  </si>
  <si>
    <t>P175</t>
  </si>
  <si>
    <t>R176</t>
  </si>
  <si>
    <t>P176</t>
  </si>
  <si>
    <t>R177</t>
  </si>
  <si>
    <t>P177</t>
  </si>
  <si>
    <t>R178</t>
  </si>
  <si>
    <t>P178</t>
  </si>
  <si>
    <t>R179</t>
  </si>
  <si>
    <t>P179</t>
  </si>
  <si>
    <t>R180</t>
  </si>
  <si>
    <t>P180</t>
  </si>
  <si>
    <t>R181</t>
  </si>
  <si>
    <t>P181</t>
  </si>
  <si>
    <t>R182</t>
  </si>
  <si>
    <t>P182</t>
  </si>
  <si>
    <t>P183</t>
  </si>
  <si>
    <t>P184</t>
  </si>
  <si>
    <t>P185</t>
  </si>
  <si>
    <t>Super Typhoon Usagi</t>
  </si>
  <si>
    <t>Tropical Storm Manuel</t>
  </si>
  <si>
    <t>Hurricane Ingrid</t>
  </si>
  <si>
    <t>Tropical Storm Lorena</t>
  </si>
  <si>
    <t>Tropical Storm Kong-Rey</t>
  </si>
  <si>
    <t>Tropical Storm Fernand</t>
  </si>
  <si>
    <t>Typhoon Utor (Labuyo)</t>
  </si>
  <si>
    <t>Tropical Storm Chantal</t>
  </si>
  <si>
    <t>Tropical Storm Gabrielle</t>
  </si>
  <si>
    <t>Tropical Storm Danas</t>
  </si>
  <si>
    <t>Typhoon Wutip (Paolo)</t>
  </si>
  <si>
    <t>Caribbean Islands</t>
  </si>
  <si>
    <t>Tropical Storm Humberto</t>
  </si>
  <si>
    <t>Mapped Peril</t>
  </si>
  <si>
    <t>Flood</t>
  </si>
  <si>
    <t>Thunderstorms, Tornados &amp; Tropical storms</t>
  </si>
  <si>
    <t>Policy Desciption (Perils covered)</t>
  </si>
  <si>
    <t>Asset Name</t>
  </si>
  <si>
    <t>Asset Life (in Yrs)</t>
  </si>
  <si>
    <t>Tsunami</t>
  </si>
  <si>
    <t>Risk Loss yr. 1</t>
  </si>
  <si>
    <t>Risk Loss yr. 2</t>
  </si>
  <si>
    <t>Risk Loss yr. 3</t>
  </si>
  <si>
    <t>Risk Loss yr. 4</t>
  </si>
  <si>
    <t>Risk Loss yr. 5</t>
  </si>
  <si>
    <t>Extra-Tropical Cyclone Xaver (also referred to as Bodil by the Danish Meteorological Institute) could make landfall in Northern Europe.</t>
  </si>
  <si>
    <t>There is a possiblity of a Severe Cyclone Headed Toward Mumbai</t>
  </si>
  <si>
    <t>Probability</t>
  </si>
  <si>
    <t>Tropical Storm</t>
  </si>
  <si>
    <t>Flood-Mumbai</t>
  </si>
  <si>
    <t>Earthquake-Mumbai</t>
  </si>
  <si>
    <t>Fire-Mumbai</t>
  </si>
  <si>
    <t>Typhoon-Mumbai</t>
  </si>
  <si>
    <t>Thunderstorms, Tornados &amp; Hail-Mumbai</t>
  </si>
  <si>
    <t>Tsunami-Mumbai</t>
  </si>
  <si>
    <t>Earthquake-Germany</t>
  </si>
  <si>
    <t>Fire-Germany</t>
  </si>
  <si>
    <t>Thunderstorms, Tornados &amp; Hail-Germany</t>
  </si>
  <si>
    <t>Earthquake-Manila</t>
  </si>
  <si>
    <t>Fire-Manila</t>
  </si>
  <si>
    <t>Thunderstorms, Tornados &amp; Hail-San Francisco</t>
  </si>
  <si>
    <t>Earthquake-San Francisco</t>
  </si>
  <si>
    <t>Thunderstorms, Tornados &amp; Hail-Calgary</t>
  </si>
  <si>
    <t>Earthquake-Calgary</t>
  </si>
  <si>
    <t>Thunderstorms, Tornados &amp; Tropical storms-Gulf of Mexico</t>
  </si>
  <si>
    <t>Earthquake-Gulf of Mexico</t>
  </si>
  <si>
    <t>Thunderstorms, Tornados &amp; Hail-Tokyo</t>
  </si>
  <si>
    <t>Earthquake-Tokyo</t>
  </si>
  <si>
    <t>Fire-Tokyo</t>
  </si>
  <si>
    <t>Tropical Storm-Tokyo</t>
  </si>
  <si>
    <t>Thunderstorms, Tornados &amp; Tropical storms-Caribbean Islands</t>
  </si>
  <si>
    <t>Earthquake-Caribbean Islands</t>
  </si>
  <si>
    <t>Thunderstorms, Tornados &amp; Hail-Caribbean Islands</t>
  </si>
  <si>
    <t>Fire-Caribbean Islands</t>
  </si>
  <si>
    <t>Tropical Storm-Caribbean Islands</t>
  </si>
  <si>
    <t>Earthquake-Texas</t>
  </si>
  <si>
    <t>Thunderstorms, Tornados &amp; Hail-Texas</t>
  </si>
  <si>
    <t>October 29, 2012: Hurricane Sandy caused a ConEdison power plant to explode, causing a blackout in most of Midtown Manhattan. The blue light emitted from the arc made places as far as Brooklyn glow. No person was killed or injured.</t>
  </si>
  <si>
    <t xml:space="preserve">In the Indian Ocean’s Bay of Bengal, Severe Cyclone Lehar is heading to make a second landfall in Andhra Pradesh between Machillipatnam and Kakinada on Thursday, November 28 as a cyclonic storm (below Hurricane strength). Lehar has weakened significantly in the last 24 hours from being a very severe cyclonic storm to a severe cyclonic storm. The storm is expected to cause storm surge of about one meter above the astronomical tide and it could potentially inundate low lying areas of west and east Godavari, and Krishna districts of Andhra. The local and government officials have issued warning in advance of the storm; all fishing operations were suspended. Coastal hutment dwellers are required to relocate to a safer place. Coastal region of Andhra Pradesh are expected to experience heavy to very heavy rainfall. </t>
  </si>
  <si>
    <t>Hurricane Raymond became the Eastern Pacific’s first major Hurricane this season at 2 a.m. PDT, Monday, October 21, off the southern coast of Mexico; maximum sustained winds were analyzed to be 120 mph, Category 3 intensity on the Saffir-Simpson Scale. Favorable environmental conditions allowed Raymond to quickly intensify in just 24 hours - from a minimal tropical storm on Sunday, to a major Hurricane on Monday. Raymond has been moving very slowly over the past day, and is forecast to move very little over the next day or so. A Hurricane warning is in effect for Mexico’s southern Pacific coast from Tecpan de Galeana to Lazaro Cardenas. The latest forecast does not bring the storm ashore, but begins a general westward motion away from land beginning early Wednesday.</t>
  </si>
  <si>
    <t>Phailin is predicted to strengthen significantly over the next 24 hours, reaching maximum winds of 155 mph (135 kt), making it a “Super Cyclonic Storm”, and equivalent to a high Category 4 Hurricane on the Saffir-Simpson Scale. However, the latest forecast shows some weakening, to around 130 mph (110 kt), a high Category 3, just prior to landfall.</t>
  </si>
  <si>
    <t>Tropical Storm Karen is in the central Gulf of Mexico and is moving toward a landfall on the northern Gulf Coast this weekend. Vertical wind shear is keeping Karen from strengthening much in the near term, but the adverse conditions may slacken on Saturday, October 5, allowing Karen to strengthen slightly prior to landfall. There is low probability for Karen to become a Hurricane prior to landfall. The current forecast track has Karen crossing the Mississippi Delta in southeastern Louisiana shortly after midnight on Sunday morning, October 6, with a second landfall somewhere between Mobile, AL, and Pensacola, FL later on Sunday.</t>
  </si>
  <si>
    <t>Tropical Storm Karen formed in the southeastern Gulf of Mexico at 8 a.m. CDT Thursday, October 3. The storm is expected to strengthen into a minimal Hurricane as it moves toward the northern Gulf Coast over the next several days. However, the high wind shear is expected to increase in about 48 hours which could impede storm development. Karen is expected to again weaken to a tropical storm as it approaches the Gulf Coast prior to landfall on the northern Gulf Coast.</t>
  </si>
  <si>
    <t>Hurricane Manuel made its second landfall yesterday, Thursday, September 19, at 8 a.m. PDT about 40 miles west of Culiacan, Mexico, with maximum sustained winds of 75 mph. Manuel is a small Hurricane, with Hurricane force winds extending out to15 miles from the center and tropical storm force winds extending out to 60 miles. Heavy rainfall and life-threatening flash floods and mud slides have caused major evacuations within the impacted regions. Latest reports indicate that about 97 people have died and thousands of people are stranded or missing. This tragic event is causing significant damage to life and property. EQECAT estimates the insured loss from this event could reach about $200 Million USD.</t>
  </si>
  <si>
    <t>Humberto became the first Hurricane for the 2013 Atlantic Season, today, Wednesday, September 11 at 5 am EDT. It became a Category 1 Hurricane and is expected to intensify slightly today and tomorrow before a weakening trend begins later in the week. Humberto is not expected to pose any significant threat to the US mainland. Meanwhile, Tropical Storm Gabrielle made a close bypass of Bermuda Tuesday night, September 10, with the storm approaching within 25 miles to the southwest of the island. No major damages have been reported from this event. On this forecast track, Gabrielle is expected to stay well offshore of the U.S. east coast.</t>
  </si>
  <si>
    <t xml:space="preserve">Tropical Storm Gabrielle has regenerated about 185 miles south of Bermuda.  The storm should pass over, or very near to, Bermuda tonight or early Wednesday, September 11, 2013. The storm is not expected to cause significant damage in Bermuda. Meanwhile, Tropical Storm Humberto continues to strengthen, and will likely become the first Hurricane of the 2013 Atlantic Season. The latest day of the season of the first Atlantic Hurricane was September 11, 2002, Hurricane Gustav. The record will remain intact if Humberto becomes a Hurricane later today as expected.  </t>
  </si>
  <si>
    <t>Tropical Storm Humberto became the 8th named tropical storm of the 2013 Atlantic season this morning, 5 am EDT Monday, September 9, in the far eastern Atlantic, roughly 145 miles southeast of the southernmost Cape Verde Islands. Humberto is expected to become the first Hurricane of the 2013 Atlantic season this week. Based on the current track forecast, Humberto is not likely to pose any threat to the Caribbean Islands or the mainland United States.</t>
  </si>
  <si>
    <t xml:space="preserve">Tropical Storm Dorian, emerged today, July 24 at 11 am EDT. The National Hurricane Center is giving Dorian a 6% chance to become a Hurricane early next week. </t>
  </si>
  <si>
    <t>Tropical Storm Chantal is moving swiftly west-northwestward and passed between the islands of Martinique and St. Lucia this morning as it entered the eastern Caribbean Sea. As of 11 am EDT Tuesday, July 9, the center of the storm was about 55 miles northwest of St. Lucia. The storm has continued to strengthen, with maximum sustained winds of 60 mph. The official forecast gives Tropical Storm Chantal less than a 30% chance to become a Hurricane prior to making landfall in Hispaniola. Chantal is expected to produce 2 to 4 inches of rainfall accumulation over the Leeward and Windward Islands, a minimum of 3 to 6 inches, to a maximum of 8 inches over Puerto Rico, the US Virgin Islands, Dominican Republic and Haiti. This event is expected to cause minimal insured losses.</t>
  </si>
  <si>
    <t>Tropical Storm Chantal became the third named storm of the 2013 Atlantic Season. The storm is heading for the Caribbean and should pass through the Lesser Antilles Islands, south of Puerto Rico, the Dominican Republic and Haiti this week. Later, Chantal is expected to turn to northwest towards the Bahamas and off the coast of southeastern Florida, on Friday. There is uncertainty about the track forecast for Chantal; the weather pattern, particularly the degree of the increased wind shear, and the timing of its occurrence will determine the track trajectory of the storm. There is a low probability (about one-in-three chance) that Chantal will reach Hurricane strength.</t>
  </si>
  <si>
    <t>Tropical Storm Andrea made landfall around 5:40pm EDT Thursday, June 6, in the Florida Big Bend region with maximum sustained winds of 65 mph.  Currently transiting North Carolina, Andrea is expected to re-emerge into the Atlantic south of the DelMarVa Peninsula as it transitions to an extra-tropical storm.  The National Hurricane Center places only a 3 to 5% probability that Andrea will ever carry Hurricane-force winds.</t>
  </si>
  <si>
    <t xml:space="preserve">Tropical Storm Andrea is unlikely to strengthen to Hurricane intensity before making landfall in Florida’s Big Bend region.  An expected storm surge of 3 to 5 feet will likely impact the region from Crystal River to Cedar Key. </t>
  </si>
  <si>
    <t>Tropical Storm Barbara was upgraded to a Hurricane as it approached Mexico's southern Pacific coast making landfall in the Mexican state of Chiapas, about 20 miles west of Tonalá as a weak Category 1 Hurricane. Barbara later weakened to a tropical storm and continued to bring heavy rainfall in Southeastern Mexico.</t>
  </si>
  <si>
    <t>Tropical Storm Barbara became the second named storm of the Eastern Pacific Hurricane Season. Tropical Storm Barbara will strengthen in the Eastern Pacific and is expected to make landfall in Mexico as a Hurricane later today. The insured losses from this event are expected to be minimal.</t>
  </si>
  <si>
    <t>Hurricane-Typhoon -Germany</t>
  </si>
  <si>
    <t>Hurricane-Typhoon -Manila</t>
  </si>
  <si>
    <t>Hurricane-Typhoon -San Francisco</t>
  </si>
  <si>
    <t>Hurricane-Typhoon -Calgary</t>
  </si>
  <si>
    <t>Hurricane-Typhoon -Gulf of Mexico</t>
  </si>
  <si>
    <t>Hurricane-Typhoon -Tokyo</t>
  </si>
  <si>
    <t>Hurricane-Typhoon -Caribbean Islands</t>
  </si>
  <si>
    <t>Hurricane-Typhoon -Texas</t>
  </si>
  <si>
    <t xml:space="preserve">Hurricane-Typhoon </t>
  </si>
  <si>
    <t>Haiyan- Nov 2013
Asia was hardest hit by natural catastrophes in terms of economic losses and victims. Typhoon Haiyan in the Philippines in November brought some of the strongest winds ever recorded, alongside heavy rains and storm surges. Around 7 500 people died or went missing, and more than 4 million were left homeless. The second biggest humanitarian disaster of 2013 was the June flooding in the state of Uttarakhand in India, which claimed some 6 000 lives.</t>
  </si>
  <si>
    <t xml:space="preserve">+14.5,+84.5 Hurricane-Typhoon </t>
  </si>
  <si>
    <t>After causing severe damage in the Philippines, Typhoon Haiyan made landfall Monday, November 11, in Vietnam as a weak Category 1 Typhoon (65 kt, 74 mph) just east of Ha Long, Quang Ninh province (near 21.0N, 107.3E). The Typhoon quickly weakened to a tropical storm and headed north towards Gaungxi, south China. Initial damage reports indicate that at least 13 people have died and 81 have been injured in Vietnam. In China, about 9 people died and 7 more are missing in Hainan and Guangxi provinces. Moderate rainfall of about 4 to 8 inches with flooding in pockets of areas is expected from this event in Vietnam and in China. This event is not likely to cause significant insured loss in Vietnam and in China.</t>
  </si>
  <si>
    <t xml:space="preserve">+21.0,+107.3 Hurricane-Typhoon </t>
  </si>
  <si>
    <t xml:space="preserve">10.4,128.1 Hurricane-Typhoon </t>
  </si>
  <si>
    <t>Typhoon Wipha is a Category 1 storm in the western-north Pacific basin, moving toward the vicinity of Tokyo Bay, Japan. The storm is expected to pass over eastern Honshu Island for a short time early on Wednesday, October 16 before moving back out to sea. Although it is weakening, it could impact the Tokyo area in Japan. Only a few coastal prefectures along the eastern coast of Kanto and Chubu regions will experience Typhoon force winds (75 mph). Tokyo is likely to escape Typhoon force winds.</t>
  </si>
  <si>
    <t xml:space="preserve">+32.1,+137.8 Hurricane-Typhoon </t>
  </si>
  <si>
    <t xml:space="preserve">Typhoon Nari (Santi) made landfall over a very sparsely populated area in Luzon, about 25 miles south of Baler in the Philippines as a Category 3 Typhoon with maximum sustained winds of 120 mph (105 kt). The Typhoon crossed the coast in Aurora Province near the town of Dingalan shortly before 11 p.m. local time (15 GMT) on Friday, October 11, traversed across Luzon and exited the island near Ida in Zambales province. Nari is heading toward its second landfall in Vietnam near Da Nang. </t>
  </si>
  <si>
    <t xml:space="preserve">+16.1,+108.7 Hurricane-Typhoon </t>
  </si>
  <si>
    <t xml:space="preserve">, Hurricane-Typhoon </t>
  </si>
  <si>
    <t xml:space="preserve">+15.6,+90 Hurricane-Typhoon </t>
  </si>
  <si>
    <t>In the western Pacific, Typhoon Nari (Santi) is approaching the large island of Luzon in the Philippines and should make landfall sometime early evening on Friday, October 11 as a Category 2 storm. Nari became the 23rd named storm of the season and 11th Typhoon of the 2013 Pacific Typhoon Season. Typhoon landfall frequency in the Philippines is relatively higher when compared to other countries exposed to Typhoon risk in the Western Pacific Basin. Nari is expected to be the second Typhoon to make landfall in the Philippines this season.</t>
  </si>
  <si>
    <t xml:space="preserve">+16,+125.6 Hurricane-Typhoon </t>
  </si>
  <si>
    <t>Danas weakened to a tropical storm today at 8 p.m. local time (12 GMT) Tuesday, October 8. Yesterday, Danas had been a category 4 Typhoon, but was weakened by cooler ocean temperatures, increasing vertical wind shear, and dry, cooler air being entrained into the system. The storm is expected to continue to weaken over the next 24 hours, and is forecast to cross northern Honshu Island in Japan as a minimal tropical storm or depression, on Wednesday, October 9 (Local time).</t>
  </si>
  <si>
    <t xml:space="preserve">35.2,130.8 Hurricane-Typhoon </t>
  </si>
  <si>
    <t>Danas became the 22nd named tropical storm of the 2013 Pacific Typhoon Season on Friday, October 4, and was upgraded to a Typhoon on Saturday.Danas (Ramil) is an intense Category 4 Typhoon and is heading toward Japan. The storm has peaked in its intensity and has begun weakening. Danas is forecast to weaken to a Category 2 Typhoon as it recurves to the northeast and moves into cooler waters. The storm is expected to become a tropical storm prior to making landfall in Honshu on Wednesday. There is significant uncertainty about the storm’s track and intensity forecasts.</t>
  </si>
  <si>
    <t xml:space="preserve">+28.7,+127.6 Hurricane-Typhoon </t>
  </si>
  <si>
    <t>In the western Pacific, Tropical Storm Fitow (Quedan) was upgraded to a Typhoon at 2 p.m. local time (6 GMT) on Friday, October 4, when maximum winds increased to 98 mph (85 knots). Typhoon Fitow is expected to intensify over the next few days, but later it is expected to weaken to a tropical storm prior to landfall. There is significant uncertainty in the track and storm intensity forecasts. Fitow is not likely to make landfall on Taiwan, but the outer rims/bands could bring heavy rain as the storm by-passes to the north of Taiwan over the weekend. The latest forecast track has Fitow making landfall on mainland China south of Shanghai, on Monday afternoon, October 7.</t>
  </si>
  <si>
    <t xml:space="preserve">+24,+128.1 Hurricane-Typhoon </t>
  </si>
  <si>
    <t xml:space="preserve">+25.6,-90.2 Hurricane-Typhoon </t>
  </si>
  <si>
    <t>Typhoon Fitow (Quedan) strengthened to a Typhoon at 8 p.m. local time (12 GMT) on Thursday, October 3, when maximum winds increased to 75 mph. The storm is expected to strengthen over the next few days. The latest forecast track has Fitow making landfall on mainland China in the vicinity of Shanghai, on Sunday evening, October 6.</t>
  </si>
  <si>
    <t xml:space="preserve">+21.4,+129.5 Hurricane-Typhoon </t>
  </si>
  <si>
    <t xml:space="preserve">+22.2,-87.9 Hurricane-Typhoon </t>
  </si>
  <si>
    <t>Typhoon Wutip (Paolo) made landfall in central Vietnam, in Quang Binh province, on September 30, around 5 p.m. local time as a Category 2 Typhoon. The storm made landfall about 160 miles northwest of Da Nang, Vietnam. The storm denuded trees, destroyed power lines and damaged over a thousand homes. No immediate injuries, major structural damage or flooding has been reported for this event. The insured loss for this event is expected to be minimal. Elsewhere on the globe, Tropical Storm Jerry formed in the Atlantic this morning, about 1200 miles east-south east of Bermuda. Jerry became the 10th named storm of the season. Jerry is expected to strengthen during the next day or so, however it is not likely to pose any threat to the US or the Caribbean Islands.</t>
  </si>
  <si>
    <t xml:space="preserve">+17.7,+106.5 Hurricane-Typhoon </t>
  </si>
  <si>
    <t>Typhoon Usagi (Odette) weakened significantly before making landfall as a Category 2 Typhoon near Sahwei, Guangdong province, China about 140 kilometers (85 miles) northeast of Hong Kong, on Sunday, September 22 at about 7:40 pm local time. The maximum sustained wind speeds at the time of landfall were about 85 knots (98 mph). Usagi is the most intense storm to make landfall in China this year. The storm caused significant damage to life and property; about 25 people have been reported dead in Guangdong Province, thousands of houses collapsed due to winds, mass transportations, including airports, schools and business were shut down in advance of the storm. Though damage to life and property has been significant, the insurance loss from this event is expected relatively low due to the low insurance penetrations in China.</t>
  </si>
  <si>
    <t xml:space="preserve">23.9+,112+ Hurricane-Typhoon </t>
  </si>
  <si>
    <t xml:space="preserve">Usagi (Odette) intensified and became a Typhoon on Wednesday, September 18. The storm underwent a period of rapid intensification and on Thursday it was classified a Super Typhoon (160 mph), which was equivalent to a strong Category 5 Hurricane then. This status makes Usagi the strongest tropical cyclone in the world thus far in 2013. It is now equivalent to a strong Category 4 Hurricane. Usagi should pass between southern Taiwan and the northern Philippines island of Luzon over the next 24 hours. The storm is expected to make landfall on mainland China, near Hong Kong on Sunday, September 22. </t>
  </si>
  <si>
    <t xml:space="preserve">+20.3,+123.2 Hurricane-Typhoon </t>
  </si>
  <si>
    <t>Tropical Storm Usagi (Odette) became the 17th named storm of the season at 2 p.m. local time Tuesday, September 17. In the next several days a favorable environment should allow Usagi to strengthen into a Typhoon. Usagi is forecast to turn to the northwest on Wednesday, which would put it on a heading toward Taiwan. The latest forecast has Usagi as a 105 mph (90 kt) Category 2 Typhoon crossing southern Taiwan on Saturday evening local time, September 21.</t>
  </si>
  <si>
    <t xml:space="preserve">17.6+,130.6+ Hurricane-Typhoon </t>
  </si>
  <si>
    <t xml:space="preserve">23.8+,97.8- Hurricane-Typhoon </t>
  </si>
  <si>
    <t xml:space="preserve">+19.4,-95.3 Hurricane-Typhoon </t>
  </si>
  <si>
    <t xml:space="preserve">+32.5,-65.9 Hurricane-Typhoon </t>
  </si>
  <si>
    <t xml:space="preserve">+30.6,-65.0 Hurricane-Typhoon </t>
  </si>
  <si>
    <t xml:space="preserve">+13.6,-24.1 Hurricane-Typhoon </t>
  </si>
  <si>
    <t xml:space="preserve">+23.2,-111.0 Hurricane-Typhoon </t>
  </si>
  <si>
    <t xml:space="preserve">+17.5,-68.1 Hurricane-Typhoon </t>
  </si>
  <si>
    <t>Tropical Storm Toraji emerged as the 15th named storm of the 2013 Northern West Pacific Typhoon Season on September 2 at 8 am local time. The storm is not expected to intensify as its moves toward southern Japan, and into an area of high vertical wind shear.  Toraji is not forecast to become a Typhoon. The insured loss from this event is expected to be minimal.</t>
  </si>
  <si>
    <t xml:space="preserve">+31.3,+130.8 Hurricane-Typhoon </t>
  </si>
  <si>
    <t xml:space="preserve">+31.7,+126.6 Hurricane-Typhoon </t>
  </si>
  <si>
    <t xml:space="preserve">+26.9, +25.7,+122.4, -113.1 Hurricane-Typhoon </t>
  </si>
  <si>
    <t xml:space="preserve">+22.9,+122.7 Hurricane-Typhoon </t>
  </si>
  <si>
    <t xml:space="preserve">+20.5,+123.6 Hurricane-Typhoon </t>
  </si>
  <si>
    <t xml:space="preserve">+20.1,-97.2 Hurricane-Typhoon </t>
  </si>
  <si>
    <t>Trami became the 5th Typhoon of the 2013 Western North Pacific Typhoon Season, as the center passed to the north of Taiwan.  The storm is heading toward China to make landfall near Fuzhou, Fujian province, late Wednesday or early  Thursday, August 21-22, local time. The Typhoon is heading west toward China with 80 mph maximum winds, but may weaken somewhat prior to landfall. Trami is expected to bring moderate to heavy rainfall within the impacted regions. The wind losses from this event are expected to be low. The damage due to flood is expected to be higher, however due to the low insurance penetration in China, the insured loss from this event is expected to be minimal.</t>
  </si>
  <si>
    <t xml:space="preserve">+25.8,+121.2 Hurricane-Typhoon </t>
  </si>
  <si>
    <t xml:space="preserve">+23.6,+125.6 Hurricane-Typhoon </t>
  </si>
  <si>
    <t xml:space="preserve">+14.4,-26.5 Hurricane-Typhoon </t>
  </si>
  <si>
    <t>Typhoon Utor (Labuyo) made its second landfall as a Category 1 Typhoon in Guangdong Province, southern China, between Maoming and Jiangmen on Wednesday afternoon, August 14, at approximately 3:30 pm local time. Maximum sustained winds around the time of landfall were about 80 knots (90 mph). Utor is dumping heavy rainfall as it travels inland. Schools, offices, local business, and public transportation were shut down, flights were canceled in several cities as the storm tracked northwest across Guangdong province. Thousands of people have evacuated cities or were moved to safety heeding the notification issued by local and government agencies..  No immediate damages were reported for Guangdong Province from this event. EQECAT estimates that the insured loss from this event is expected to be below $200 million USD for China.</t>
  </si>
  <si>
    <t xml:space="preserve">+22,+111.4 Hurricane-Typhoon </t>
  </si>
  <si>
    <t xml:space="preserve">Typhoon Utor (Labuyo) is now moving through the South China Sea and is expected to make landfall in Guangdong, southern China, in the afternoon or early evening on Wednesday, August 14, local time. Utor is likely to be a Category 1 or low Category 2 Typhoon at the time of landfall. </t>
  </si>
  <si>
    <t xml:space="preserve">+19.2,+113.5 Hurricane-Typhoon </t>
  </si>
  <si>
    <t xml:space="preserve">+21.8,+110.3 Hurricane-Typhoon </t>
  </si>
  <si>
    <t xml:space="preserve">+20.5,-153.5 Hurricane-Typhoon </t>
  </si>
  <si>
    <t xml:space="preserve">+14.3,-29.9 Hurricane-Typhoon </t>
  </si>
  <si>
    <t xml:space="preserve">Soulik is the sixth named storm and the first Super Typhoon of the 2013 Western North Pacific Typhoon Season. Typhoon Soulik (Huaning) is about 47 nautical miles east-southeast of Taipei and is likely to make its first landfall in Yilan County or New Taipei, Taiwan in a few hours, as a Category 1 Typhoon. Soulik is expected to weaken further as it re-emerges over the Taiwan Strait and moves toward  its second landfall over Fujian in China. Taiwan and China expect heavy rainfall, and flash flooding and mudslides could pose significant threats. The government and local authorities in both these nations have taken necessary precautions for Typhoon Soulik. </t>
  </si>
  <si>
    <t xml:space="preserve">+25.2,+121.6 Hurricane-Typhoon </t>
  </si>
  <si>
    <t xml:space="preserve">+16.5,-72.0 Hurricane-Typhoon </t>
  </si>
  <si>
    <t xml:space="preserve">14.4,-61.5 Hurricane-Typhoon </t>
  </si>
  <si>
    <t xml:space="preserve">10.9,-51.7 Hurricane-Typhoon </t>
  </si>
  <si>
    <t xml:space="preserve">+19.6,-96.6 Hurricane-Typhoon </t>
  </si>
  <si>
    <t xml:space="preserve">+34.9,-78.9 Hurricane-Typhoon </t>
  </si>
  <si>
    <t xml:space="preserve">+28.2,-84.3 Hurricane-Typhoon </t>
  </si>
  <si>
    <t xml:space="preserve">+18.5,-95.0 Hurricane-Typhoon </t>
  </si>
  <si>
    <t xml:space="preserve">15.7,-94.6 Hurricane-Typhoon </t>
  </si>
  <si>
    <t xml:space="preserve">-20.9,120.3 Hurricane-Typhoon </t>
  </si>
  <si>
    <t>Risk Events</t>
  </si>
  <si>
    <t>Premium</t>
  </si>
  <si>
    <t>Policy Selection -Team 1</t>
  </si>
  <si>
    <t>Policy Selection -Team 2</t>
  </si>
  <si>
    <t>Policy Selection -Team 3</t>
  </si>
  <si>
    <t>Policy Selection -Team 4</t>
  </si>
  <si>
    <t>Policy Selection -Team 5</t>
  </si>
  <si>
    <t>Policy Selection -Team 6</t>
  </si>
  <si>
    <t>Policy Selection -Team 7</t>
  </si>
  <si>
    <t>Policy Selection -Team 8</t>
  </si>
  <si>
    <t>Policy Selection -Team 9</t>
  </si>
  <si>
    <t>Policy Selection -Team 10</t>
  </si>
  <si>
    <t>Peril</t>
  </si>
  <si>
    <t>Results- Team 1</t>
  </si>
  <si>
    <t>Results- Team 2</t>
  </si>
  <si>
    <t>Results- Team 3</t>
  </si>
  <si>
    <t>Results- Team 4</t>
  </si>
  <si>
    <t>Results- Team 5</t>
  </si>
  <si>
    <t>Results- Team 6</t>
  </si>
  <si>
    <t>Results- Team 7</t>
  </si>
  <si>
    <t>Results- Team 8</t>
  </si>
  <si>
    <t>Results- Team 9</t>
  </si>
  <si>
    <t>Results- Team 10</t>
  </si>
  <si>
    <t>Result Team 1</t>
  </si>
  <si>
    <t>Result Team 2</t>
  </si>
  <si>
    <t>Result Team 3</t>
  </si>
  <si>
    <t>Result Team 4</t>
  </si>
  <si>
    <t>Result Team 5</t>
  </si>
  <si>
    <t>Result Team 6</t>
  </si>
  <si>
    <t>Result Team 7</t>
  </si>
  <si>
    <t>Result Team 8</t>
  </si>
  <si>
    <t>Result Team 9</t>
  </si>
  <si>
    <t>Result Team 10</t>
  </si>
  <si>
    <t>Fleets &amp; Cars</t>
  </si>
  <si>
    <t>Pipelines</t>
  </si>
  <si>
    <t>Ships &amp; Cargo</t>
  </si>
  <si>
    <t>Year 1 Asset Value Team 1</t>
  </si>
  <si>
    <t>Year 1 Asset Value Team 2</t>
  </si>
  <si>
    <t>Year 1 Asset Value Team 3</t>
  </si>
  <si>
    <t>Year 1 Asset Value Team 4</t>
  </si>
  <si>
    <t>Year 1 Asset Value Team 5</t>
  </si>
  <si>
    <t>Year 1 Asset Value Team 6</t>
  </si>
  <si>
    <t>Year 1 Asset Value Team 7</t>
  </si>
  <si>
    <t>Year 1 Asset Value Team 8</t>
  </si>
  <si>
    <t>Year 1 Asset Value Team 9</t>
  </si>
  <si>
    <t>Year 1 Asset Value Team 10</t>
  </si>
  <si>
    <t>Terror Attack</t>
  </si>
  <si>
    <t>Terror Attack-Mumbai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</si>
</sst>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409]* #,##0_ ;_-[$$-409]* \-#,##0\ ;_-[$$-409]* &quot;-&quot;??_ ;_-@_ "/>
    <numFmt numFmtId="166" formatCode="0.0%"/>
  </numFmts>
  <fonts count="8" x14ac:knownFonts="1">
    <font>
      <sz val="11"/>
      <color theme="1"/>
      <name val="Calibri"/>
      <family val="2"/>
      <scheme val="minor"/>
    </font>
    <font>
      <b/>
      <sz val="11"/>
      <color theme="1"/>
      <name val="Calibri"/>
      <family val="2"/>
      <scheme val="minor"/>
    </font>
    <font>
      <sz val="7"/>
      <color theme="1"/>
      <name val="Times New Roman"/>
      <family val="1"/>
    </font>
    <font>
      <sz val="11"/>
      <color theme="1"/>
      <name val="Calibri"/>
      <family val="2"/>
      <scheme val="minor"/>
    </font>
    <font>
      <b/>
      <sz val="10"/>
      <color theme="0"/>
      <name val="Calibri"/>
      <family val="2"/>
      <scheme val="minor"/>
    </font>
    <font>
      <sz val="10"/>
      <color theme="1"/>
      <name val="Calibri"/>
      <family val="2"/>
      <scheme val="minor"/>
    </font>
    <font>
      <sz val="10"/>
      <color theme="0"/>
      <name val="Calibri"/>
      <family val="2"/>
      <scheme val="minor"/>
    </font>
    <font>
      <b/>
      <sz val="10"/>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14996795556505021"/>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s>
  <cellStyleXfs count="2">
    <xf numFmtId="0" fontId="0" fillId="0" borderId="0"/>
    <xf numFmtId="9" fontId="3" fillId="0" borderId="0" applyFont="0" applyFill="0" applyBorder="0" applyAlignment="0" applyProtection="0"/>
  </cellStyleXfs>
  <cellXfs count="92">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left" vertical="center" indent="5"/>
    </xf>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xf>
    <xf numFmtId="165" fontId="0" fillId="0" borderId="0" xfId="0" applyNumberFormat="1"/>
    <xf numFmtId="0" fontId="0" fillId="0" borderId="0" xfId="0" applyAlignment="1">
      <alignment vertical="center"/>
    </xf>
    <xf numFmtId="0" fontId="0" fillId="0" borderId="0" xfId="0" applyAlignment="1">
      <alignment horizontal="left" vertical="center"/>
    </xf>
    <xf numFmtId="1" fontId="0" fillId="0" borderId="0" xfId="0" applyNumberFormat="1" applyAlignment="1">
      <alignment horizontal="center"/>
    </xf>
    <xf numFmtId="0" fontId="1" fillId="2" borderId="3" xfId="0" applyFont="1" applyFill="1" applyBorder="1" applyAlignment="1">
      <alignment horizontal="center" vertical="center"/>
    </xf>
    <xf numFmtId="0" fontId="0" fillId="0" borderId="3" xfId="0" applyBorder="1" applyAlignment="1">
      <alignment horizontal="center" vertical="center"/>
    </xf>
    <xf numFmtId="0" fontId="1" fillId="2" borderId="2" xfId="0" applyFont="1" applyFill="1" applyBorder="1" applyAlignment="1">
      <alignment horizontal="center" vertical="center"/>
    </xf>
    <xf numFmtId="1" fontId="1" fillId="2" borderId="2" xfId="0" applyNumberFormat="1" applyFont="1" applyFill="1" applyBorder="1" applyAlignment="1">
      <alignment horizontal="center" vertical="center"/>
    </xf>
    <xf numFmtId="1" fontId="0" fillId="0" borderId="2" xfId="0" applyNumberFormat="1" applyBorder="1" applyAlignment="1">
      <alignment horizontal="center" vertical="center"/>
    </xf>
    <xf numFmtId="0" fontId="1" fillId="6" borderId="2" xfId="0" applyFont="1" applyFill="1" applyBorder="1" applyAlignment="1">
      <alignment vertical="center"/>
    </xf>
    <xf numFmtId="0" fontId="1" fillId="6" borderId="2" xfId="0" applyFont="1" applyFill="1" applyBorder="1" applyAlignment="1">
      <alignment horizontal="left" vertical="center"/>
    </xf>
    <xf numFmtId="0" fontId="1" fillId="6" borderId="2" xfId="0" applyFont="1" applyFill="1" applyBorder="1" applyAlignment="1">
      <alignment horizontal="left" vertical="center" wrapText="1"/>
    </xf>
    <xf numFmtId="164" fontId="0" fillId="0" borderId="0" xfId="0" applyNumberFormat="1" applyAlignment="1">
      <alignment vertical="center"/>
    </xf>
    <xf numFmtId="0" fontId="4" fillId="4" borderId="2" xfId="0" applyFont="1" applyFill="1" applyBorder="1" applyAlignment="1">
      <alignment horizontal="center" vertical="center" wrapText="1"/>
    </xf>
    <xf numFmtId="164" fontId="4" fillId="4" borderId="2" xfId="0" applyNumberFormat="1" applyFont="1" applyFill="1" applyBorder="1" applyAlignment="1">
      <alignment horizontal="center" vertical="center" wrapText="1"/>
    </xf>
    <xf numFmtId="0" fontId="5" fillId="0" borderId="0" xfId="0" applyFont="1" applyAlignment="1">
      <alignment horizontal="center" vertical="center" wrapText="1"/>
    </xf>
    <xf numFmtId="0" fontId="6" fillId="4" borderId="2" xfId="0" applyFont="1" applyFill="1" applyBorder="1" applyAlignment="1">
      <alignment horizontal="center" vertical="center"/>
    </xf>
    <xf numFmtId="0" fontId="6" fillId="4" borderId="2" xfId="0" applyFont="1" applyFill="1" applyBorder="1" applyAlignment="1">
      <alignment horizontal="left" vertical="center"/>
    </xf>
    <xf numFmtId="165" fontId="6" fillId="4" borderId="2" xfId="0" applyNumberFormat="1" applyFont="1" applyFill="1" applyBorder="1" applyAlignment="1">
      <alignment horizontal="center" vertical="center" wrapText="1"/>
    </xf>
    <xf numFmtId="0" fontId="5" fillId="0" borderId="2" xfId="0" applyFont="1" applyBorder="1" applyAlignment="1">
      <alignment horizontal="center"/>
    </xf>
    <xf numFmtId="0" fontId="5" fillId="0" borderId="0" xfId="0" applyFont="1"/>
    <xf numFmtId="0" fontId="5" fillId="0" borderId="2" xfId="0" applyFont="1" applyBorder="1" applyAlignment="1">
      <alignment horizontal="center" vertical="center"/>
    </xf>
    <xf numFmtId="0" fontId="5" fillId="0" borderId="2" xfId="0" applyFont="1" applyBorder="1" applyAlignment="1">
      <alignment horizontal="left" vertical="center"/>
    </xf>
    <xf numFmtId="165" fontId="5" fillId="0" borderId="2" xfId="0" applyNumberFormat="1" applyFont="1" applyBorder="1" applyAlignment="1">
      <alignment horizontal="center" vertical="center"/>
    </xf>
    <xf numFmtId="0" fontId="5" fillId="0" borderId="2" xfId="0" applyFont="1" applyBorder="1" applyAlignment="1">
      <alignment horizontal="left"/>
    </xf>
    <xf numFmtId="165" fontId="5" fillId="0" borderId="2" xfId="0" applyNumberFormat="1" applyFont="1" applyBorder="1" applyAlignment="1">
      <alignment horizontal="center"/>
    </xf>
    <xf numFmtId="0" fontId="4" fillId="7" borderId="2" xfId="0" applyFont="1" applyFill="1" applyBorder="1" applyAlignment="1">
      <alignment horizontal="center" vertical="center"/>
    </xf>
    <xf numFmtId="0" fontId="4" fillId="7" borderId="2" xfId="0" applyFont="1" applyFill="1" applyBorder="1" applyAlignment="1">
      <alignment horizontal="center" vertical="center" wrapText="1"/>
    </xf>
    <xf numFmtId="0" fontId="5" fillId="0" borderId="2" xfId="0" applyFont="1" applyBorder="1"/>
    <xf numFmtId="0" fontId="5" fillId="0" borderId="2"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165" fontId="5" fillId="0" borderId="0" xfId="0" applyNumberFormat="1" applyFont="1"/>
    <xf numFmtId="0" fontId="5" fillId="0" borderId="2" xfId="0" applyFont="1" applyBorder="1" applyAlignment="1">
      <alignment vertical="center" wrapText="1"/>
    </xf>
    <xf numFmtId="0" fontId="5" fillId="0" borderId="2" xfId="0" applyFont="1" applyBorder="1" applyAlignment="1">
      <alignment vertical="center"/>
    </xf>
    <xf numFmtId="165" fontId="5" fillId="0" borderId="2" xfId="0" applyNumberFormat="1" applyFont="1" applyBorder="1" applyAlignment="1">
      <alignment vertical="center"/>
    </xf>
    <xf numFmtId="164" fontId="5" fillId="0" borderId="2" xfId="0" applyNumberFormat="1" applyFont="1" applyBorder="1" applyAlignment="1">
      <alignment vertical="center"/>
    </xf>
    <xf numFmtId="0" fontId="4" fillId="3" borderId="2" xfId="0" applyFont="1" applyFill="1" applyBorder="1" applyAlignment="1">
      <alignment horizontal="left" wrapText="1"/>
    </xf>
    <xf numFmtId="0" fontId="6"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165" fontId="4" fillId="3" borderId="4" xfId="0" applyNumberFormat="1" applyFont="1" applyFill="1" applyBorder="1" applyAlignment="1">
      <alignment horizontal="center" vertical="center" wrapText="1"/>
    </xf>
    <xf numFmtId="165" fontId="5" fillId="0" borderId="0" xfId="0" applyNumberFormat="1" applyFont="1" applyAlignment="1">
      <alignment horizontal="left"/>
    </xf>
    <xf numFmtId="0" fontId="7" fillId="0" borderId="2" xfId="0" applyFont="1" applyBorder="1" applyAlignment="1">
      <alignment horizontal="center" vertical="center"/>
    </xf>
    <xf numFmtId="165" fontId="5" fillId="0" borderId="5" xfId="0" applyNumberFormat="1" applyFont="1" applyBorder="1" applyAlignment="1">
      <alignment horizontal="center" vertical="center"/>
    </xf>
    <xf numFmtId="0" fontId="5" fillId="0" borderId="0" xfId="0" applyFont="1" applyAlignment="1">
      <alignment horizontal="left" wrapText="1"/>
    </xf>
    <xf numFmtId="9" fontId="4" fillId="4" borderId="2" xfId="1" applyFont="1" applyFill="1" applyBorder="1" applyAlignment="1">
      <alignment horizontal="center" vertical="center" wrapText="1"/>
    </xf>
    <xf numFmtId="9" fontId="5" fillId="0" borderId="2" xfId="1" applyFont="1" applyBorder="1" applyAlignment="1">
      <alignment horizontal="center" vertical="center"/>
    </xf>
    <xf numFmtId="9" fontId="0" fillId="0" borderId="0" xfId="1" applyFont="1" applyAlignment="1">
      <alignment horizontal="center" vertical="center"/>
    </xf>
    <xf numFmtId="0" fontId="5" fillId="0" borderId="4" xfId="0" applyFont="1" applyBorder="1" applyAlignment="1">
      <alignment horizontal="left" vertical="center" wrapText="1"/>
    </xf>
    <xf numFmtId="0" fontId="5" fillId="0" borderId="4" xfId="0" applyFont="1" applyBorder="1" applyAlignment="1">
      <alignment horizontal="center" vertical="center"/>
    </xf>
    <xf numFmtId="0" fontId="7" fillId="2" borderId="4" xfId="0" applyFont="1" applyFill="1" applyBorder="1" applyAlignment="1">
      <alignment horizontal="left" vertical="center"/>
    </xf>
    <xf numFmtId="166" fontId="7" fillId="2" borderId="4" xfId="1" applyNumberFormat="1" applyFont="1" applyFill="1" applyBorder="1" applyAlignment="1">
      <alignment horizontal="center" vertical="center"/>
    </xf>
    <xf numFmtId="0" fontId="7" fillId="2" borderId="4" xfId="0" applyFont="1" applyFill="1" applyBorder="1" applyAlignment="1">
      <alignment horizontal="center" vertical="center"/>
    </xf>
    <xf numFmtId="166" fontId="5" fillId="0" borderId="4" xfId="1" applyNumberFormat="1" applyFont="1" applyBorder="1" applyAlignment="1">
      <alignment horizontal="center" vertical="center"/>
    </xf>
    <xf numFmtId="166" fontId="0" fillId="0" borderId="0" xfId="1" applyNumberFormat="1" applyFont="1" applyAlignment="1">
      <alignment vertical="center"/>
    </xf>
    <xf numFmtId="165" fontId="5" fillId="0" borderId="6" xfId="0" applyNumberFormat="1" applyFont="1" applyBorder="1"/>
    <xf numFmtId="0" fontId="4" fillId="7" borderId="7" xfId="0" applyFont="1" applyFill="1" applyBorder="1" applyAlignment="1">
      <alignment horizontal="center" vertical="center"/>
    </xf>
    <xf numFmtId="0" fontId="5" fillId="0" borderId="7" xfId="0" applyFont="1" applyBorder="1" applyAlignment="1">
      <alignment horizontal="center" vertical="center"/>
    </xf>
    <xf numFmtId="2" fontId="7" fillId="0" borderId="7" xfId="0" applyNumberFormat="1" applyFont="1" applyBorder="1" applyAlignment="1">
      <alignment horizontal="center" vertical="center" wrapText="1"/>
    </xf>
    <xf numFmtId="0" fontId="5" fillId="5" borderId="8" xfId="0" applyFont="1" applyFill="1" applyBorder="1"/>
    <xf numFmtId="0" fontId="5" fillId="5" borderId="9" xfId="0" applyFont="1" applyFill="1" applyBorder="1"/>
    <xf numFmtId="0" fontId="5" fillId="5" borderId="10" xfId="0" applyFont="1" applyFill="1" applyBorder="1"/>
    <xf numFmtId="0" fontId="5" fillId="5" borderId="11" xfId="0" applyFont="1" applyFill="1" applyBorder="1"/>
    <xf numFmtId="0" fontId="4" fillId="3" borderId="7" xfId="0" applyFont="1" applyFill="1" applyBorder="1" applyAlignment="1">
      <alignment horizontal="center" vertical="center" wrapText="1"/>
    </xf>
    <xf numFmtId="165" fontId="5" fillId="0" borderId="7" xfId="0" applyNumberFormat="1" applyFont="1" applyBorder="1" applyAlignment="1">
      <alignment horizontal="center" vertical="center"/>
    </xf>
    <xf numFmtId="0" fontId="4" fillId="3" borderId="2" xfId="0" applyFont="1" applyFill="1" applyBorder="1" applyAlignment="1">
      <alignment horizontal="left" vertical="center" wrapText="1"/>
    </xf>
    <xf numFmtId="0" fontId="5" fillId="0" borderId="0" xfId="0" applyFont="1" applyAlignment="1">
      <alignment vertical="center"/>
    </xf>
    <xf numFmtId="0" fontId="7" fillId="0" borderId="0" xfId="0" applyFont="1" applyBorder="1" applyAlignment="1">
      <alignment vertical="center"/>
    </xf>
    <xf numFmtId="0" fontId="7" fillId="0" borderId="0" xfId="0" applyFont="1" applyAlignment="1">
      <alignment vertical="center"/>
    </xf>
    <xf numFmtId="165" fontId="5" fillId="0" borderId="0" xfId="0" applyNumberFormat="1" applyFont="1" applyAlignment="1">
      <alignment vertical="center"/>
    </xf>
    <xf numFmtId="165" fontId="5" fillId="0" borderId="0" xfId="0" applyNumberFormat="1" applyFont="1" applyAlignment="1">
      <alignment horizontal="left" vertical="center"/>
    </xf>
    <xf numFmtId="165" fontId="0" fillId="0" borderId="2" xfId="0" applyNumberFormat="1" applyFont="1" applyBorder="1" applyAlignment="1">
      <alignment horizontal="center" vertical="center"/>
    </xf>
    <xf numFmtId="165" fontId="0" fillId="0" borderId="2" xfId="0" applyNumberFormat="1" applyFont="1" applyBorder="1" applyAlignment="1">
      <alignment vertical="center"/>
    </xf>
    <xf numFmtId="0" fontId="1" fillId="0" borderId="0" xfId="0" applyFont="1" applyAlignment="1">
      <alignment horizontal="center" vertical="center"/>
    </xf>
    <xf numFmtId="0" fontId="4" fillId="4" borderId="2" xfId="0" applyFont="1" applyFill="1" applyBorder="1" applyAlignment="1">
      <alignment horizontal="center" vertical="center"/>
    </xf>
    <xf numFmtId="165" fontId="4" fillId="4" borderId="5" xfId="0" applyNumberFormat="1" applyFont="1" applyFill="1" applyBorder="1" applyAlignment="1">
      <alignment horizontal="center" vertical="center"/>
    </xf>
    <xf numFmtId="165" fontId="4" fillId="4" borderId="4" xfId="0" applyNumberFormat="1" applyFont="1" applyFill="1" applyBorder="1" applyAlignment="1">
      <alignment horizontal="center" vertical="center"/>
    </xf>
    <xf numFmtId="165" fontId="7" fillId="0" borderId="2" xfId="0" applyNumberFormat="1" applyFont="1" applyBorder="1" applyAlignment="1">
      <alignment horizontal="center"/>
    </xf>
    <xf numFmtId="0" fontId="4" fillId="3" borderId="0" xfId="0" applyFont="1" applyFill="1" applyBorder="1" applyAlignment="1">
      <alignment horizontal="center" vertical="center" wrapText="1"/>
    </xf>
    <xf numFmtId="165" fontId="5" fillId="0" borderId="0" xfId="0" applyNumberFormat="1" applyFont="1" applyBorder="1" applyAlignment="1">
      <alignment horizontal="center" vertical="center"/>
    </xf>
    <xf numFmtId="165" fontId="7" fillId="0" borderId="0" xfId="0" applyNumberFormat="1" applyFont="1" applyAlignment="1">
      <alignment horizontal="center" vertical="center"/>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cellXfs>
  <cellStyles count="2">
    <cellStyle name="Normal" xfId="0" builtinId="0"/>
    <cellStyle name="Percent" xfId="1" builtinId="5"/>
  </cellStyles>
  <dxfs count="11">
    <dxf>
      <fill>
        <patternFill>
          <bgColor rgb="FFFF0000"/>
        </patternFill>
      </fill>
    </dxf>
    <dxf>
      <font>
        <color theme="0"/>
      </font>
      <fill>
        <patternFill>
          <bgColor rgb="FFFFC000"/>
        </patternFill>
      </fill>
    </dxf>
    <dxf>
      <fill>
        <patternFill>
          <bgColor rgb="FF92D050"/>
        </patternFill>
      </fill>
    </dxf>
    <dxf>
      <font>
        <b/>
        <i val="0"/>
        <color theme="0"/>
      </font>
      <fill>
        <patternFill>
          <bgColor rgb="FFFF0000"/>
        </patternFill>
      </fill>
    </dxf>
    <dxf>
      <font>
        <color theme="0"/>
      </font>
      <fill>
        <patternFill>
          <bgColor rgb="FFFFC000"/>
        </patternFill>
      </fill>
    </dxf>
    <dxf>
      <fill>
        <patternFill>
          <bgColor rgb="FF92D050"/>
        </patternFill>
      </fill>
    </dxf>
    <dxf>
      <font>
        <b/>
        <i val="0"/>
        <color theme="0"/>
      </font>
      <fill>
        <patternFill>
          <bgColor rgb="FFFF0000"/>
        </patternFill>
      </fill>
    </dxf>
    <dxf>
      <fill>
        <patternFill>
          <bgColor theme="6"/>
        </patternFill>
      </fill>
    </dxf>
    <dxf>
      <fill>
        <patternFill>
          <bgColor theme="8"/>
        </patternFill>
      </fill>
    </dxf>
    <dxf>
      <fill>
        <patternFill>
          <bgColor theme="9"/>
        </patternFill>
      </fill>
    </dxf>
    <dxf>
      <font>
        <b val="0"/>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0</xdr:row>
      <xdr:rowOff>0</xdr:rowOff>
    </xdr:from>
    <xdr:to>
      <xdr:col>10</xdr:col>
      <xdr:colOff>389811</xdr:colOff>
      <xdr:row>15</xdr:row>
      <xdr:rowOff>199286</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7353300" y="0"/>
          <a:ext cx="5714286" cy="591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T17"/>
  <sheetViews>
    <sheetView workbookViewId="0">
      <selection activeCell="B9" sqref="B9"/>
    </sheetView>
  </sheetViews>
  <sheetFormatPr defaultRowHeight="24.95" customHeight="1" x14ac:dyDescent="0.25"/>
  <cols>
    <col min="1" max="1" width="33.140625" customWidth="1"/>
    <col min="2" max="4" width="11.28515625" bestFit="1" customWidth="1"/>
    <col min="5" max="5" width="12.7109375" bestFit="1" customWidth="1"/>
    <col min="6" max="6" width="11.28515625" bestFit="1" customWidth="1"/>
    <col min="7" max="7" width="14.28515625" bestFit="1" customWidth="1"/>
    <col min="8" max="8" width="11.28515625" bestFit="1" customWidth="1"/>
    <col min="9" max="9" width="16.42578125" customWidth="1"/>
    <col min="10" max="10" width="11.28515625" bestFit="1" customWidth="1"/>
    <col min="11" max="11" width="16.42578125" style="11" bestFit="1" customWidth="1"/>
    <col min="12" max="13" width="9.140625" style="7" hidden="1" customWidth="1"/>
    <col min="14" max="14" width="7.140625" style="7" hidden="1" customWidth="1"/>
    <col min="15" max="15" width="12.7109375" style="7" hidden="1" customWidth="1"/>
    <col min="16" max="16" width="9.140625" style="7" hidden="1" customWidth="1"/>
    <col min="17" max="17" width="14.28515625" style="7" hidden="1" customWidth="1"/>
    <col min="18" max="18" width="9.140625" hidden="1" customWidth="1"/>
    <col min="19" max="19" width="16.7109375" hidden="1" customWidth="1"/>
    <col min="20" max="20" width="6" hidden="1" customWidth="1"/>
    <col min="21" max="21" width="9.140625" customWidth="1"/>
  </cols>
  <sheetData>
    <row r="1" spans="1:20" ht="20.100000000000001" customHeight="1" x14ac:dyDescent="0.25">
      <c r="A1" s="17" t="s">
        <v>0</v>
      </c>
      <c r="B1" s="14" t="s">
        <v>1</v>
      </c>
      <c r="C1" s="14" t="s">
        <v>114</v>
      </c>
      <c r="D1" s="14" t="s">
        <v>115</v>
      </c>
      <c r="E1" s="14" t="s">
        <v>480</v>
      </c>
      <c r="F1" s="14" t="s">
        <v>402</v>
      </c>
      <c r="G1" s="14" t="s">
        <v>486</v>
      </c>
      <c r="H1" s="14" t="s">
        <v>670</v>
      </c>
      <c r="I1" s="14" t="s">
        <v>777</v>
      </c>
      <c r="J1" s="14" t="s">
        <v>668</v>
      </c>
      <c r="K1" s="15" t="s">
        <v>784</v>
      </c>
      <c r="L1" s="12" t="s">
        <v>1</v>
      </c>
      <c r="M1" s="2" t="s">
        <v>114</v>
      </c>
      <c r="N1" s="2" t="s">
        <v>115</v>
      </c>
      <c r="O1" s="2" t="s">
        <v>480</v>
      </c>
      <c r="P1" s="2" t="s">
        <v>402</v>
      </c>
      <c r="Q1" s="2" t="s">
        <v>486</v>
      </c>
      <c r="R1" s="2" t="s">
        <v>670</v>
      </c>
      <c r="S1" s="2" t="s">
        <v>777</v>
      </c>
      <c r="T1" s="2" t="s">
        <v>668</v>
      </c>
    </row>
    <row r="2" spans="1:20" ht="20.100000000000001" customHeight="1" x14ac:dyDescent="0.25">
      <c r="A2" s="18" t="s">
        <v>479</v>
      </c>
      <c r="B2" s="80">
        <v>200000</v>
      </c>
      <c r="C2" s="80">
        <v>300000</v>
      </c>
      <c r="D2" s="80"/>
      <c r="E2" s="80"/>
      <c r="F2" s="80"/>
      <c r="G2" s="80"/>
      <c r="H2" s="80"/>
      <c r="I2" s="80"/>
      <c r="J2" s="81"/>
      <c r="K2" s="16">
        <v>10</v>
      </c>
      <c r="L2" s="13" t="s">
        <v>26</v>
      </c>
      <c r="M2" s="1" t="s">
        <v>89</v>
      </c>
      <c r="N2" s="1" t="s">
        <v>104</v>
      </c>
      <c r="O2" s="1" t="s">
        <v>210</v>
      </c>
      <c r="P2" s="1" t="s">
        <v>225</v>
      </c>
      <c r="Q2" s="1" t="s">
        <v>240</v>
      </c>
      <c r="R2" s="1" t="s">
        <v>255</v>
      </c>
      <c r="S2" s="1" t="s">
        <v>270</v>
      </c>
      <c r="T2" s="1" t="s">
        <v>285</v>
      </c>
    </row>
    <row r="3" spans="1:20" ht="20.100000000000001" customHeight="1" x14ac:dyDescent="0.25">
      <c r="A3" s="18" t="s">
        <v>2</v>
      </c>
      <c r="B3" s="80">
        <v>200000</v>
      </c>
      <c r="C3" s="80"/>
      <c r="D3" s="80"/>
      <c r="E3" s="80">
        <v>600000</v>
      </c>
      <c r="F3" s="80"/>
      <c r="G3" s="80"/>
      <c r="H3" s="80"/>
      <c r="I3" s="80"/>
      <c r="J3" s="81"/>
      <c r="K3" s="16">
        <v>5</v>
      </c>
      <c r="L3" s="13" t="s">
        <v>27</v>
      </c>
      <c r="M3" s="1" t="s">
        <v>90</v>
      </c>
      <c r="N3" s="1" t="s">
        <v>105</v>
      </c>
      <c r="O3" s="1" t="s">
        <v>211</v>
      </c>
      <c r="P3" s="1" t="s">
        <v>226</v>
      </c>
      <c r="Q3" s="1" t="s">
        <v>241</v>
      </c>
      <c r="R3" s="1" t="s">
        <v>256</v>
      </c>
      <c r="S3" s="1" t="s">
        <v>271</v>
      </c>
      <c r="T3" s="1" t="s">
        <v>286</v>
      </c>
    </row>
    <row r="4" spans="1:20" ht="20.100000000000001" customHeight="1" x14ac:dyDescent="0.25">
      <c r="A4" s="19" t="s">
        <v>950</v>
      </c>
      <c r="B4" s="80"/>
      <c r="C4" s="80"/>
      <c r="D4" s="80">
        <v>400000</v>
      </c>
      <c r="E4" s="80"/>
      <c r="F4" s="80"/>
      <c r="G4" s="80">
        <v>400000</v>
      </c>
      <c r="H4" s="80">
        <v>400000</v>
      </c>
      <c r="I4" s="80"/>
      <c r="J4" s="81"/>
      <c r="K4" s="16">
        <v>10</v>
      </c>
      <c r="L4" s="13" t="s">
        <v>28</v>
      </c>
      <c r="M4" s="1" t="s">
        <v>91</v>
      </c>
      <c r="N4" s="1" t="s">
        <v>106</v>
      </c>
      <c r="O4" s="1" t="s">
        <v>212</v>
      </c>
      <c r="P4" s="1" t="s">
        <v>227</v>
      </c>
      <c r="Q4" s="1" t="s">
        <v>242</v>
      </c>
      <c r="R4" s="1" t="s">
        <v>257</v>
      </c>
      <c r="S4" s="1" t="s">
        <v>272</v>
      </c>
      <c r="T4" s="1" t="s">
        <v>287</v>
      </c>
    </row>
    <row r="5" spans="1:20" ht="20.100000000000001" customHeight="1" x14ac:dyDescent="0.25">
      <c r="A5" s="18" t="s">
        <v>3</v>
      </c>
      <c r="B5" s="80">
        <v>700000</v>
      </c>
      <c r="C5" s="80">
        <v>500000</v>
      </c>
      <c r="D5" s="80">
        <v>400000</v>
      </c>
      <c r="E5" s="80">
        <v>800000</v>
      </c>
      <c r="F5" s="80">
        <v>1000000</v>
      </c>
      <c r="G5" s="80">
        <v>500000</v>
      </c>
      <c r="H5" s="80">
        <v>300000</v>
      </c>
      <c r="I5" s="80">
        <v>400000</v>
      </c>
      <c r="J5" s="80">
        <v>1200000</v>
      </c>
      <c r="K5" s="16">
        <v>10</v>
      </c>
      <c r="L5" s="13" t="s">
        <v>29</v>
      </c>
      <c r="M5" s="1" t="s">
        <v>92</v>
      </c>
      <c r="N5" s="1" t="s">
        <v>107</v>
      </c>
      <c r="O5" s="1" t="s">
        <v>213</v>
      </c>
      <c r="P5" s="1" t="s">
        <v>228</v>
      </c>
      <c r="Q5" s="1" t="s">
        <v>243</v>
      </c>
      <c r="R5" s="1" t="s">
        <v>258</v>
      </c>
      <c r="S5" s="1" t="s">
        <v>273</v>
      </c>
      <c r="T5" s="1" t="s">
        <v>288</v>
      </c>
    </row>
    <row r="6" spans="1:20" ht="20.100000000000001" customHeight="1" x14ac:dyDescent="0.25">
      <c r="A6" s="18" t="s">
        <v>4</v>
      </c>
      <c r="B6" s="80"/>
      <c r="C6" s="80">
        <v>500000</v>
      </c>
      <c r="D6" s="80"/>
      <c r="E6" s="80"/>
      <c r="F6" s="80"/>
      <c r="G6" s="80"/>
      <c r="H6" s="80"/>
      <c r="I6" s="80"/>
      <c r="J6" s="81">
        <v>300000</v>
      </c>
      <c r="K6" s="16">
        <v>10</v>
      </c>
      <c r="L6" s="13" t="s">
        <v>30</v>
      </c>
      <c r="M6" s="1" t="s">
        <v>93</v>
      </c>
      <c r="N6" s="1" t="s">
        <v>108</v>
      </c>
      <c r="O6" s="1" t="s">
        <v>214</v>
      </c>
      <c r="P6" s="1" t="s">
        <v>229</v>
      </c>
      <c r="Q6" s="1" t="s">
        <v>244</v>
      </c>
      <c r="R6" s="1" t="s">
        <v>259</v>
      </c>
      <c r="S6" s="1" t="s">
        <v>274</v>
      </c>
      <c r="T6" s="1" t="s">
        <v>289</v>
      </c>
    </row>
    <row r="7" spans="1:20" ht="20.100000000000001" customHeight="1" x14ac:dyDescent="0.25">
      <c r="A7" s="18" t="s">
        <v>485</v>
      </c>
      <c r="B7" s="80">
        <v>400000</v>
      </c>
      <c r="C7" s="80"/>
      <c r="D7" s="80">
        <v>300000</v>
      </c>
      <c r="E7" s="80"/>
      <c r="F7" s="80"/>
      <c r="G7" s="80">
        <v>200000</v>
      </c>
      <c r="H7" s="80"/>
      <c r="I7" s="80"/>
      <c r="J7" s="81"/>
      <c r="K7" s="16">
        <v>5</v>
      </c>
      <c r="L7" s="13" t="s">
        <v>31</v>
      </c>
      <c r="M7" s="1" t="s">
        <v>94</v>
      </c>
      <c r="N7" s="1" t="s">
        <v>109</v>
      </c>
      <c r="O7" s="1" t="s">
        <v>215</v>
      </c>
      <c r="P7" s="1" t="s">
        <v>230</v>
      </c>
      <c r="Q7" s="1" t="s">
        <v>245</v>
      </c>
      <c r="R7" s="1" t="s">
        <v>260</v>
      </c>
      <c r="S7" s="1" t="s">
        <v>275</v>
      </c>
      <c r="T7" s="1" t="s">
        <v>290</v>
      </c>
    </row>
    <row r="8" spans="1:20" ht="20.100000000000001" customHeight="1" x14ac:dyDescent="0.25">
      <c r="A8" s="18" t="s">
        <v>5</v>
      </c>
      <c r="B8" s="80">
        <v>800000</v>
      </c>
      <c r="C8" s="80">
        <v>1000000</v>
      </c>
      <c r="D8" s="80"/>
      <c r="E8" s="80"/>
      <c r="F8" s="80">
        <v>1100000</v>
      </c>
      <c r="G8" s="80"/>
      <c r="H8" s="80"/>
      <c r="I8" s="80"/>
      <c r="J8" s="80">
        <v>1000000</v>
      </c>
      <c r="K8" s="16">
        <v>10</v>
      </c>
      <c r="L8" s="13" t="s">
        <v>32</v>
      </c>
      <c r="M8" s="1" t="s">
        <v>95</v>
      </c>
      <c r="N8" s="1" t="s">
        <v>110</v>
      </c>
      <c r="O8" s="1" t="s">
        <v>216</v>
      </c>
      <c r="P8" s="1" t="s">
        <v>231</v>
      </c>
      <c r="Q8" s="1" t="s">
        <v>246</v>
      </c>
      <c r="R8" s="1" t="s">
        <v>261</v>
      </c>
      <c r="S8" s="1" t="s">
        <v>276</v>
      </c>
      <c r="T8" s="1" t="s">
        <v>291</v>
      </c>
    </row>
    <row r="9" spans="1:20" ht="20.100000000000001" customHeight="1" x14ac:dyDescent="0.25">
      <c r="A9" s="18" t="s">
        <v>6</v>
      </c>
      <c r="B9" s="80">
        <v>300000</v>
      </c>
      <c r="C9" s="80">
        <v>300000</v>
      </c>
      <c r="D9" s="80">
        <v>500000</v>
      </c>
      <c r="E9" s="80">
        <v>500000</v>
      </c>
      <c r="F9" s="80">
        <v>300000</v>
      </c>
      <c r="G9" s="80">
        <v>300000</v>
      </c>
      <c r="H9" s="80">
        <v>300000</v>
      </c>
      <c r="I9" s="80">
        <v>600000</v>
      </c>
      <c r="J9" s="80">
        <v>300000</v>
      </c>
      <c r="K9" s="16">
        <v>5</v>
      </c>
      <c r="L9" s="13" t="s">
        <v>33</v>
      </c>
      <c r="M9" s="1" t="s">
        <v>96</v>
      </c>
      <c r="N9" s="1" t="s">
        <v>111</v>
      </c>
      <c r="O9" s="1" t="s">
        <v>217</v>
      </c>
      <c r="P9" s="1" t="s">
        <v>232</v>
      </c>
      <c r="Q9" s="1" t="s">
        <v>247</v>
      </c>
      <c r="R9" s="1" t="s">
        <v>262</v>
      </c>
      <c r="S9" s="1" t="s">
        <v>277</v>
      </c>
      <c r="T9" s="1" t="s">
        <v>292</v>
      </c>
    </row>
    <row r="10" spans="1:20" ht="20.100000000000001" customHeight="1" x14ac:dyDescent="0.25">
      <c r="A10" s="18" t="s">
        <v>7</v>
      </c>
      <c r="B10" s="80">
        <v>300000</v>
      </c>
      <c r="C10" s="80"/>
      <c r="D10" s="80"/>
      <c r="E10" s="80">
        <v>300000</v>
      </c>
      <c r="F10" s="80">
        <v>300000</v>
      </c>
      <c r="G10" s="80"/>
      <c r="H10" s="80">
        <v>300000</v>
      </c>
      <c r="I10" s="80"/>
      <c r="J10" s="81"/>
      <c r="K10" s="16">
        <v>10</v>
      </c>
      <c r="L10" s="13" t="s">
        <v>34</v>
      </c>
      <c r="M10" s="1" t="s">
        <v>97</v>
      </c>
      <c r="N10" s="1" t="s">
        <v>112</v>
      </c>
      <c r="O10" s="1" t="s">
        <v>218</v>
      </c>
      <c r="P10" s="1" t="s">
        <v>233</v>
      </c>
      <c r="Q10" s="1" t="s">
        <v>248</v>
      </c>
      <c r="R10" s="1" t="s">
        <v>263</v>
      </c>
      <c r="S10" s="1" t="s">
        <v>278</v>
      </c>
      <c r="T10" s="1" t="s">
        <v>293</v>
      </c>
    </row>
    <row r="11" spans="1:20" ht="20.100000000000001" customHeight="1" x14ac:dyDescent="0.25">
      <c r="A11" s="18" t="s">
        <v>8</v>
      </c>
      <c r="B11" s="80">
        <v>400000</v>
      </c>
      <c r="C11" s="80">
        <v>300000</v>
      </c>
      <c r="D11" s="80">
        <v>300000</v>
      </c>
      <c r="E11" s="80">
        <v>500000</v>
      </c>
      <c r="F11" s="80"/>
      <c r="G11" s="80"/>
      <c r="H11" s="80"/>
      <c r="I11" s="80"/>
      <c r="J11" s="81"/>
      <c r="K11" s="16">
        <v>5</v>
      </c>
      <c r="L11" s="13" t="s">
        <v>35</v>
      </c>
      <c r="M11" s="1" t="s">
        <v>98</v>
      </c>
      <c r="N11" s="1" t="s">
        <v>113</v>
      </c>
      <c r="O11" s="1" t="s">
        <v>219</v>
      </c>
      <c r="P11" s="1" t="s">
        <v>234</v>
      </c>
      <c r="Q11" s="1" t="s">
        <v>249</v>
      </c>
      <c r="R11" s="1" t="s">
        <v>264</v>
      </c>
      <c r="S11" s="1" t="s">
        <v>279</v>
      </c>
      <c r="T11" s="1" t="s">
        <v>294</v>
      </c>
    </row>
    <row r="12" spans="1:20" ht="20.100000000000001" customHeight="1" x14ac:dyDescent="0.25">
      <c r="A12" s="18" t="s">
        <v>9</v>
      </c>
      <c r="B12" s="80">
        <v>1000000</v>
      </c>
      <c r="C12" s="80"/>
      <c r="D12" s="80"/>
      <c r="E12" s="80"/>
      <c r="F12" s="80">
        <v>1000000</v>
      </c>
      <c r="G12" s="80"/>
      <c r="H12" s="80"/>
      <c r="I12" s="80"/>
      <c r="J12" s="80">
        <v>1000000</v>
      </c>
      <c r="K12" s="16">
        <v>10</v>
      </c>
      <c r="L12" s="13" t="s">
        <v>36</v>
      </c>
      <c r="M12" s="1" t="s">
        <v>99</v>
      </c>
      <c r="N12" s="1" t="s">
        <v>205</v>
      </c>
      <c r="O12" s="1" t="s">
        <v>220</v>
      </c>
      <c r="P12" s="1" t="s">
        <v>235</v>
      </c>
      <c r="Q12" s="1" t="s">
        <v>250</v>
      </c>
      <c r="R12" s="1" t="s">
        <v>265</v>
      </c>
      <c r="S12" s="1" t="s">
        <v>280</v>
      </c>
      <c r="T12" s="1" t="s">
        <v>295</v>
      </c>
    </row>
    <row r="13" spans="1:20" ht="20.100000000000001" customHeight="1" x14ac:dyDescent="0.25">
      <c r="A13" s="18" t="s">
        <v>10</v>
      </c>
      <c r="B13" s="80">
        <v>500000</v>
      </c>
      <c r="C13" s="80"/>
      <c r="D13" s="80"/>
      <c r="E13" s="80"/>
      <c r="F13" s="80">
        <v>500000</v>
      </c>
      <c r="G13" s="80"/>
      <c r="H13" s="80"/>
      <c r="I13" s="80"/>
      <c r="J13" s="81">
        <v>500000</v>
      </c>
      <c r="K13" s="16">
        <v>4</v>
      </c>
      <c r="L13" s="13" t="s">
        <v>37</v>
      </c>
      <c r="M13" s="1" t="s">
        <v>100</v>
      </c>
      <c r="N13" s="1" t="s">
        <v>206</v>
      </c>
      <c r="O13" s="1" t="s">
        <v>221</v>
      </c>
      <c r="P13" s="1" t="s">
        <v>236</v>
      </c>
      <c r="Q13" s="1" t="s">
        <v>251</v>
      </c>
      <c r="R13" s="1" t="s">
        <v>266</v>
      </c>
      <c r="S13" s="1" t="s">
        <v>281</v>
      </c>
      <c r="T13" s="1" t="s">
        <v>296</v>
      </c>
    </row>
    <row r="14" spans="1:20" ht="20.100000000000001" customHeight="1" x14ac:dyDescent="0.25">
      <c r="A14" s="18" t="s">
        <v>11</v>
      </c>
      <c r="B14" s="80">
        <v>200000</v>
      </c>
      <c r="C14" s="80">
        <v>400000</v>
      </c>
      <c r="D14" s="80">
        <v>500000</v>
      </c>
      <c r="E14" s="80">
        <v>200000</v>
      </c>
      <c r="F14" s="80">
        <v>200000</v>
      </c>
      <c r="G14" s="80">
        <v>500000</v>
      </c>
      <c r="H14" s="80">
        <v>200000</v>
      </c>
      <c r="I14" s="80">
        <v>600000</v>
      </c>
      <c r="J14" s="80">
        <v>200000</v>
      </c>
      <c r="K14" s="16">
        <v>5</v>
      </c>
      <c r="L14" s="13" t="s">
        <v>38</v>
      </c>
      <c r="M14" s="1" t="s">
        <v>101</v>
      </c>
      <c r="N14" s="1" t="s">
        <v>207</v>
      </c>
      <c r="O14" s="1" t="s">
        <v>222</v>
      </c>
      <c r="P14" s="1" t="s">
        <v>237</v>
      </c>
      <c r="Q14" s="1" t="s">
        <v>252</v>
      </c>
      <c r="R14" s="1" t="s">
        <v>267</v>
      </c>
      <c r="S14" s="1" t="s">
        <v>282</v>
      </c>
      <c r="T14" s="1" t="s">
        <v>297</v>
      </c>
    </row>
    <row r="15" spans="1:20" ht="20.100000000000001" customHeight="1" x14ac:dyDescent="0.25">
      <c r="A15" s="18" t="s">
        <v>951</v>
      </c>
      <c r="B15" s="80">
        <v>300000</v>
      </c>
      <c r="C15" s="80"/>
      <c r="D15" s="80"/>
      <c r="E15" s="80"/>
      <c r="F15" s="80"/>
      <c r="G15" s="80"/>
      <c r="H15" s="80"/>
      <c r="I15" s="80"/>
      <c r="J15" s="81"/>
      <c r="K15" s="16">
        <v>5</v>
      </c>
      <c r="L15" s="13" t="s">
        <v>39</v>
      </c>
      <c r="M15" s="1" t="s">
        <v>102</v>
      </c>
      <c r="N15" s="1" t="s">
        <v>208</v>
      </c>
      <c r="O15" s="1" t="s">
        <v>223</v>
      </c>
      <c r="P15" s="1" t="s">
        <v>238</v>
      </c>
      <c r="Q15" s="1" t="s">
        <v>253</v>
      </c>
      <c r="R15" s="1" t="s">
        <v>268</v>
      </c>
      <c r="S15" s="1" t="s">
        <v>283</v>
      </c>
      <c r="T15" s="1" t="s">
        <v>298</v>
      </c>
    </row>
    <row r="16" spans="1:20" ht="20.100000000000001" customHeight="1" x14ac:dyDescent="0.25">
      <c r="A16" s="18" t="s">
        <v>949</v>
      </c>
      <c r="B16" s="80">
        <v>200000</v>
      </c>
      <c r="C16" s="80">
        <v>200000</v>
      </c>
      <c r="D16" s="80">
        <v>300000</v>
      </c>
      <c r="E16" s="80">
        <v>400000</v>
      </c>
      <c r="F16" s="80">
        <v>200000</v>
      </c>
      <c r="G16" s="80">
        <v>600000</v>
      </c>
      <c r="H16" s="80">
        <v>400000</v>
      </c>
      <c r="I16" s="80">
        <v>200000</v>
      </c>
      <c r="J16" s="80">
        <v>200000</v>
      </c>
      <c r="K16" s="16">
        <v>4</v>
      </c>
      <c r="L16" s="13" t="s">
        <v>40</v>
      </c>
      <c r="M16" s="1" t="s">
        <v>103</v>
      </c>
      <c r="N16" s="1" t="s">
        <v>209</v>
      </c>
      <c r="O16" s="1" t="s">
        <v>224</v>
      </c>
      <c r="P16" s="1" t="s">
        <v>239</v>
      </c>
      <c r="Q16" s="1" t="s">
        <v>254</v>
      </c>
      <c r="R16" s="1" t="s">
        <v>269</v>
      </c>
      <c r="S16" s="1" t="s">
        <v>284</v>
      </c>
      <c r="T16" s="1" t="s">
        <v>299</v>
      </c>
    </row>
    <row r="17" spans="2:10" ht="24.95" customHeight="1" x14ac:dyDescent="0.25">
      <c r="B17" s="8"/>
      <c r="C17" s="8"/>
      <c r="D17" s="8"/>
      <c r="E17" s="8"/>
      <c r="F17" s="8"/>
      <c r="G17" s="8"/>
      <c r="H17" s="8"/>
      <c r="I17" s="8"/>
      <c r="J17" s="8"/>
    </row>
  </sheetData>
  <conditionalFormatting sqref="L2:T16">
    <cfRule type="expression" dxfId="10" priority="4">
      <formula>IF(ISBLANK(B2),TRUE,FALSE)</formula>
    </cfRule>
  </conditionalFormatting>
  <conditionalFormatting sqref="B2:J16">
    <cfRule type="cellIs" dxfId="9" priority="1" operator="greaterThan">
      <formula>600000</formula>
    </cfRule>
    <cfRule type="cellIs" dxfId="8" priority="2" operator="between">
      <formula>400001</formula>
      <formula>600000</formula>
    </cfRule>
    <cfRule type="cellIs" dxfId="7" priority="3" operator="between">
      <formula>1</formula>
      <formula>400000</formula>
    </cfRule>
  </conditionalFormatting>
  <pageMargins left="0.7" right="0.7" top="0.75" bottom="0.75" header="0.3" footer="0.3"/>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N184"/>
  <sheetViews>
    <sheetView workbookViewId="0">
      <selection activeCell="D8" sqref="D8"/>
    </sheetView>
  </sheetViews>
  <sheetFormatPr defaultRowHeight="15" customHeight="1" x14ac:dyDescent="0.25"/>
  <cols>
    <col min="1" max="1" width="9.85546875" style="29" bestFit="1" customWidth="1"/>
    <col min="2" max="2" width="34.28515625" style="37" customWidth="1"/>
    <col min="3" max="3" width="5.85546875" style="29" bestFit="1" customWidth="1"/>
    <col min="4" max="4" width="30.140625" style="37" customWidth="1"/>
    <col min="5" max="14" width="9.140625" style="9"/>
    <col min="15" max="16384" width="9.140625" style="42"/>
  </cols>
  <sheetData>
    <row r="1" spans="1:14" ht="15" customHeight="1" x14ac:dyDescent="0.25">
      <c r="A1" s="34" t="s">
        <v>401</v>
      </c>
      <c r="B1" s="35" t="s">
        <v>782</v>
      </c>
      <c r="C1" s="34" t="s">
        <v>0</v>
      </c>
      <c r="D1" s="35" t="s">
        <v>783</v>
      </c>
      <c r="E1" s="42"/>
      <c r="F1" s="42"/>
      <c r="G1" s="42"/>
      <c r="H1" s="42"/>
      <c r="I1" s="42"/>
      <c r="J1" s="42"/>
      <c r="K1" s="42"/>
      <c r="L1" s="42"/>
      <c r="M1" s="42"/>
      <c r="N1" s="42"/>
    </row>
    <row r="2" spans="1:14" ht="15" customHeight="1" x14ac:dyDescent="0.25">
      <c r="A2" s="29" t="s">
        <v>301</v>
      </c>
      <c r="B2" s="37" t="str">
        <f>'Risk Master'!C2&amp;"-"&amp;'Risk Master'!D2</f>
        <v>Flood-Mumbai</v>
      </c>
      <c r="C2" s="29" t="str">
        <f>'Risk Master'!F2</f>
        <v>A1</v>
      </c>
      <c r="D2" s="37" t="str">
        <f>VLOOKUP(C2,'Asset Master'!A:B,2,FALSE)</f>
        <v>Heavy Machinery-Mumbai</v>
      </c>
      <c r="E2" s="42"/>
      <c r="F2" s="42"/>
      <c r="G2" s="42"/>
      <c r="H2" s="42"/>
      <c r="I2" s="42"/>
      <c r="J2" s="42"/>
      <c r="K2" s="42"/>
      <c r="L2" s="42"/>
      <c r="M2" s="42"/>
      <c r="N2" s="42"/>
    </row>
    <row r="3" spans="1:14" ht="15" customHeight="1" x14ac:dyDescent="0.25">
      <c r="A3" s="29" t="s">
        <v>302</v>
      </c>
      <c r="B3" s="37" t="str">
        <f>'Risk Master'!C3&amp;"-"&amp;'Risk Master'!D3</f>
        <v>Earthquake-Mumbai</v>
      </c>
      <c r="C3" s="29" t="str">
        <f>'Risk Master'!F3</f>
        <v>A1</v>
      </c>
      <c r="D3" s="37" t="str">
        <f>VLOOKUP(C3,'Asset Master'!A:B,2,FALSE)</f>
        <v>Heavy Machinery-Mumbai</v>
      </c>
      <c r="E3" s="42"/>
      <c r="F3" s="42"/>
      <c r="G3" s="42"/>
      <c r="H3" s="42"/>
      <c r="I3" s="42"/>
      <c r="J3" s="42"/>
      <c r="K3" s="42"/>
      <c r="L3" s="42"/>
      <c r="M3" s="42"/>
      <c r="N3" s="42"/>
    </row>
    <row r="4" spans="1:14" ht="15" customHeight="1" x14ac:dyDescent="0.25">
      <c r="A4" s="29" t="s">
        <v>303</v>
      </c>
      <c r="B4" s="37" t="str">
        <f>'Risk Master'!C4&amp;"-"&amp;'Risk Master'!D4</f>
        <v>Fire-Mumbai</v>
      </c>
      <c r="C4" s="29" t="str">
        <f>'Risk Master'!F4</f>
        <v>A1</v>
      </c>
      <c r="D4" s="37" t="str">
        <f>VLOOKUP(C4,'Asset Master'!A:B,2,FALSE)</f>
        <v>Heavy Machinery-Mumbai</v>
      </c>
      <c r="E4" s="42"/>
      <c r="F4" s="42"/>
      <c r="G4" s="42"/>
      <c r="H4" s="42"/>
      <c r="I4" s="42"/>
      <c r="J4" s="42"/>
      <c r="K4" s="42"/>
      <c r="L4" s="42"/>
      <c r="M4" s="42"/>
      <c r="N4" s="42"/>
    </row>
    <row r="5" spans="1:14" ht="15" customHeight="1" x14ac:dyDescent="0.25">
      <c r="A5" s="29" t="s">
        <v>304</v>
      </c>
      <c r="B5" s="37" t="str">
        <f>'Risk Master'!C5&amp;"-"&amp;'Risk Master'!D5</f>
        <v>Typhoon-Mumbai</v>
      </c>
      <c r="C5" s="29" t="str">
        <f>'Risk Master'!F5</f>
        <v>A1</v>
      </c>
      <c r="D5" s="37" t="str">
        <f>VLOOKUP(C5,'Asset Master'!A:B,2,FALSE)</f>
        <v>Heavy Machinery-Mumbai</v>
      </c>
      <c r="E5" s="42"/>
      <c r="F5" s="42"/>
      <c r="G5" s="42"/>
      <c r="H5" s="42"/>
      <c r="I5" s="42"/>
      <c r="J5" s="42"/>
      <c r="K5" s="42"/>
      <c r="L5" s="42"/>
      <c r="M5" s="42"/>
      <c r="N5" s="42"/>
    </row>
    <row r="6" spans="1:14" ht="15" customHeight="1" x14ac:dyDescent="0.25">
      <c r="A6" s="29" t="s">
        <v>305</v>
      </c>
      <c r="B6" s="37" t="str">
        <f>'Risk Master'!C6&amp;"-"&amp;'Risk Master'!D6</f>
        <v>Thunderstorms, Tornados &amp; Hail-Mumbai</v>
      </c>
      <c r="C6" s="29" t="str">
        <f>'Risk Master'!F6</f>
        <v>A1</v>
      </c>
      <c r="D6" s="37" t="str">
        <f>VLOOKUP(C6,'Asset Master'!A:B,2,FALSE)</f>
        <v>Heavy Machinery-Mumbai</v>
      </c>
      <c r="E6" s="42"/>
      <c r="F6" s="42"/>
      <c r="G6" s="42"/>
      <c r="H6" s="42"/>
      <c r="I6" s="42"/>
      <c r="J6" s="42"/>
      <c r="K6" s="42"/>
      <c r="L6" s="42"/>
      <c r="M6" s="42"/>
      <c r="N6" s="42"/>
    </row>
    <row r="7" spans="1:14" ht="15" customHeight="1" x14ac:dyDescent="0.25">
      <c r="A7" s="29" t="s">
        <v>306</v>
      </c>
      <c r="B7" s="37" t="str">
        <f>'Risk Master'!C7&amp;"-"&amp;'Risk Master'!D7</f>
        <v>Tsunami-Mumbai</v>
      </c>
      <c r="C7" s="29" t="str">
        <f>'Risk Master'!F7</f>
        <v>A1</v>
      </c>
      <c r="D7" s="37" t="str">
        <f>VLOOKUP(C7,'Asset Master'!A:B,2,FALSE)</f>
        <v>Heavy Machinery-Mumbai</v>
      </c>
      <c r="E7" s="42"/>
      <c r="F7" s="42"/>
      <c r="G7" s="42"/>
      <c r="H7" s="42"/>
      <c r="I7" s="42"/>
      <c r="J7" s="42"/>
      <c r="K7" s="42"/>
      <c r="L7" s="42"/>
      <c r="M7" s="42"/>
      <c r="N7" s="42"/>
    </row>
    <row r="8" spans="1:14" ht="15" customHeight="1" x14ac:dyDescent="0.25">
      <c r="A8" s="29" t="s">
        <v>307</v>
      </c>
      <c r="B8" s="37" t="str">
        <f>'Risk Master'!C8&amp;"-"&amp;'Risk Master'!D8</f>
        <v>Flood-Mumbai</v>
      </c>
      <c r="C8" s="29" t="str">
        <f>'Risk Master'!F8</f>
        <v>A2</v>
      </c>
      <c r="D8" s="37" t="str">
        <f>VLOOKUP(C8,'Asset Master'!A:B,2,FALSE)</f>
        <v>Heat Exchanger-Mumbai</v>
      </c>
      <c r="E8" s="42"/>
      <c r="F8" s="42"/>
      <c r="G8" s="42"/>
      <c r="H8" s="42"/>
      <c r="I8" s="42"/>
      <c r="J8" s="42"/>
      <c r="K8" s="42"/>
      <c r="L8" s="42"/>
      <c r="M8" s="42"/>
      <c r="N8" s="42"/>
    </row>
    <row r="9" spans="1:14" ht="15" customHeight="1" x14ac:dyDescent="0.25">
      <c r="A9" s="29" t="s">
        <v>308</v>
      </c>
      <c r="B9" s="37" t="str">
        <f>'Risk Master'!C9&amp;"-"&amp;'Risk Master'!D9</f>
        <v>Earthquake-Mumbai</v>
      </c>
      <c r="C9" s="29" t="str">
        <f>'Risk Master'!F9</f>
        <v>A2</v>
      </c>
      <c r="D9" s="37" t="str">
        <f>VLOOKUP(C9,'Asset Master'!A:B,2,FALSE)</f>
        <v>Heat Exchanger-Mumbai</v>
      </c>
      <c r="E9" s="42"/>
      <c r="F9" s="42"/>
      <c r="G9" s="42"/>
      <c r="H9" s="42"/>
      <c r="I9" s="42"/>
      <c r="J9" s="42"/>
      <c r="K9" s="42"/>
      <c r="L9" s="42"/>
      <c r="M9" s="42"/>
      <c r="N9" s="42"/>
    </row>
    <row r="10" spans="1:14" ht="15" customHeight="1" x14ac:dyDescent="0.25">
      <c r="A10" s="29" t="s">
        <v>309</v>
      </c>
      <c r="B10" s="37" t="str">
        <f>'Risk Master'!C10&amp;"-"&amp;'Risk Master'!D10</f>
        <v>Fire-Mumbai</v>
      </c>
      <c r="C10" s="29" t="str">
        <f>'Risk Master'!F10</f>
        <v>A2</v>
      </c>
      <c r="D10" s="37" t="str">
        <f>VLOOKUP(C10,'Asset Master'!A:B,2,FALSE)</f>
        <v>Heat Exchanger-Mumbai</v>
      </c>
      <c r="E10" s="42"/>
      <c r="F10" s="42"/>
      <c r="G10" s="42"/>
      <c r="H10" s="42"/>
      <c r="I10" s="42"/>
      <c r="J10" s="42"/>
      <c r="K10" s="42"/>
      <c r="L10" s="42"/>
      <c r="M10" s="42"/>
      <c r="N10" s="42"/>
    </row>
    <row r="11" spans="1:14" ht="15" customHeight="1" x14ac:dyDescent="0.25">
      <c r="A11" s="29" t="s">
        <v>310</v>
      </c>
      <c r="B11" s="37" t="str">
        <f>'Risk Master'!C11&amp;"-"&amp;'Risk Master'!D11</f>
        <v>Typhoon-Mumbai</v>
      </c>
      <c r="C11" s="29" t="str">
        <f>'Risk Master'!F11</f>
        <v>A2</v>
      </c>
      <c r="D11" s="37" t="str">
        <f>VLOOKUP(C11,'Asset Master'!A:B,2,FALSE)</f>
        <v>Heat Exchanger-Mumbai</v>
      </c>
      <c r="E11" s="42"/>
      <c r="F11" s="42"/>
      <c r="G11" s="42"/>
      <c r="H11" s="42"/>
      <c r="I11" s="42"/>
      <c r="J11" s="42"/>
      <c r="K11" s="42"/>
      <c r="L11" s="42"/>
      <c r="M11" s="42"/>
      <c r="N11" s="42"/>
    </row>
    <row r="12" spans="1:14" ht="15" customHeight="1" x14ac:dyDescent="0.25">
      <c r="A12" s="29" t="s">
        <v>311</v>
      </c>
      <c r="B12" s="37" t="str">
        <f>'Risk Master'!C12&amp;"-"&amp;'Risk Master'!D12</f>
        <v>Thunderstorms, Tornados &amp; Hail-Mumbai</v>
      </c>
      <c r="C12" s="29" t="str">
        <f>'Risk Master'!F12</f>
        <v>A4</v>
      </c>
      <c r="D12" s="37" t="str">
        <f>VLOOKUP(C12,'Asset Master'!A:B,2,FALSE)</f>
        <v>Property (Office Locations)-Mumbai</v>
      </c>
      <c r="E12" s="42"/>
      <c r="F12" s="42"/>
      <c r="G12" s="42"/>
      <c r="H12" s="42"/>
      <c r="I12" s="42"/>
      <c r="J12" s="42"/>
      <c r="K12" s="42"/>
      <c r="L12" s="42"/>
      <c r="M12" s="42"/>
      <c r="N12" s="42"/>
    </row>
    <row r="13" spans="1:14" ht="15" customHeight="1" x14ac:dyDescent="0.25">
      <c r="A13" s="29" t="s">
        <v>312</v>
      </c>
      <c r="B13" s="37" t="str">
        <f>'Risk Master'!C13&amp;"-"&amp;'Risk Master'!D13</f>
        <v>Tsunami-Mumbai</v>
      </c>
      <c r="C13" s="29" t="str">
        <f>'Risk Master'!F13</f>
        <v>A4</v>
      </c>
      <c r="D13" s="37" t="str">
        <f>VLOOKUP(C13,'Asset Master'!A:B,2,FALSE)</f>
        <v>Property (Office Locations)-Mumbai</v>
      </c>
      <c r="E13" s="42"/>
      <c r="F13" s="42"/>
      <c r="G13" s="42"/>
      <c r="H13" s="42"/>
      <c r="I13" s="42"/>
      <c r="J13" s="42"/>
      <c r="K13" s="42"/>
      <c r="L13" s="42"/>
      <c r="M13" s="42"/>
      <c r="N13" s="42"/>
    </row>
    <row r="14" spans="1:14" ht="15" customHeight="1" x14ac:dyDescent="0.25">
      <c r="A14" s="29" t="s">
        <v>313</v>
      </c>
      <c r="B14" s="37" t="str">
        <f>'Risk Master'!C14&amp;"-"&amp;'Risk Master'!D14</f>
        <v>Flood-Mumbai</v>
      </c>
      <c r="C14" s="29" t="str">
        <f>'Risk Master'!F14</f>
        <v>A6</v>
      </c>
      <c r="D14" s="37" t="str">
        <f>VLOOKUP(C14,'Asset Master'!A:B,2,FALSE)</f>
        <v>Warehouse &amp; Cold Storage-Mumbai</v>
      </c>
      <c r="E14" s="42"/>
      <c r="F14" s="42"/>
      <c r="G14" s="42"/>
      <c r="H14" s="42"/>
      <c r="I14" s="42"/>
      <c r="J14" s="42"/>
      <c r="K14" s="42"/>
      <c r="L14" s="42"/>
      <c r="M14" s="42"/>
      <c r="N14" s="42"/>
    </row>
    <row r="15" spans="1:14" ht="15" customHeight="1" x14ac:dyDescent="0.25">
      <c r="A15" s="29" t="s">
        <v>314</v>
      </c>
      <c r="B15" s="37" t="str">
        <f>'Risk Master'!C15&amp;"-"&amp;'Risk Master'!D15</f>
        <v>Earthquake-Mumbai</v>
      </c>
      <c r="C15" s="29" t="str">
        <f>'Risk Master'!F15</f>
        <v>A6</v>
      </c>
      <c r="D15" s="37" t="str">
        <f>VLOOKUP(C15,'Asset Master'!A:B,2,FALSE)</f>
        <v>Warehouse &amp; Cold Storage-Mumbai</v>
      </c>
      <c r="E15" s="42"/>
      <c r="F15" s="42"/>
      <c r="G15" s="42"/>
      <c r="H15" s="42"/>
      <c r="I15" s="42"/>
      <c r="J15" s="42"/>
      <c r="K15" s="42"/>
      <c r="L15" s="42"/>
      <c r="M15" s="42"/>
      <c r="N15" s="42"/>
    </row>
    <row r="16" spans="1:14" ht="15" customHeight="1" x14ac:dyDescent="0.25">
      <c r="A16" s="29" t="s">
        <v>315</v>
      </c>
      <c r="B16" s="37" t="str">
        <f>'Risk Master'!C16&amp;"-"&amp;'Risk Master'!D16</f>
        <v>Terror Attack-Mumbai</v>
      </c>
      <c r="C16" s="29" t="str">
        <f>'Risk Master'!F16</f>
        <v>A4</v>
      </c>
      <c r="D16" s="37" t="str">
        <f>VLOOKUP(C16,'Asset Master'!A:B,2,FALSE)</f>
        <v>Property (Office Locations)-Mumbai</v>
      </c>
      <c r="E16" s="42"/>
      <c r="F16" s="42"/>
      <c r="G16" s="42"/>
      <c r="H16" s="42"/>
      <c r="I16" s="42"/>
      <c r="J16" s="42"/>
      <c r="K16" s="42"/>
      <c r="L16" s="42"/>
      <c r="M16" s="42"/>
      <c r="N16" s="42"/>
    </row>
    <row r="17" spans="1:14" ht="15" customHeight="1" x14ac:dyDescent="0.25">
      <c r="A17" s="29" t="s">
        <v>316</v>
      </c>
      <c r="B17" s="37" t="str">
        <f>'Risk Master'!C17&amp;"-"&amp;'Risk Master'!D17</f>
        <v>Typhoon-Mumbai</v>
      </c>
      <c r="C17" s="29" t="str">
        <f>'Risk Master'!F17</f>
        <v>A6</v>
      </c>
      <c r="D17" s="37" t="str">
        <f>VLOOKUP(C17,'Asset Master'!A:B,2,FALSE)</f>
        <v>Warehouse &amp; Cold Storage-Mumbai</v>
      </c>
      <c r="E17" s="42"/>
      <c r="F17" s="42"/>
      <c r="G17" s="42"/>
      <c r="H17" s="42"/>
      <c r="I17" s="42"/>
      <c r="J17" s="42"/>
      <c r="K17" s="42"/>
      <c r="L17" s="42"/>
      <c r="M17" s="42"/>
      <c r="N17" s="42"/>
    </row>
    <row r="18" spans="1:14" ht="15" customHeight="1" x14ac:dyDescent="0.25">
      <c r="A18" s="29" t="s">
        <v>317</v>
      </c>
      <c r="B18" s="37" t="str">
        <f>'Risk Master'!C18&amp;"-"&amp;'Risk Master'!D18</f>
        <v>Thunderstorms, Tornados &amp; Hail-Mumbai</v>
      </c>
      <c r="C18" s="29" t="str">
        <f>'Risk Master'!F18</f>
        <v>A6</v>
      </c>
      <c r="D18" s="37" t="str">
        <f>VLOOKUP(C18,'Asset Master'!A:B,2,FALSE)</f>
        <v>Warehouse &amp; Cold Storage-Mumbai</v>
      </c>
      <c r="E18" s="42"/>
      <c r="F18" s="42"/>
      <c r="G18" s="42"/>
      <c r="H18" s="42"/>
      <c r="I18" s="42"/>
      <c r="J18" s="42"/>
      <c r="K18" s="42"/>
      <c r="L18" s="42"/>
      <c r="M18" s="42"/>
      <c r="N18" s="42"/>
    </row>
    <row r="19" spans="1:14" ht="15" customHeight="1" x14ac:dyDescent="0.25">
      <c r="A19" s="29" t="s">
        <v>318</v>
      </c>
      <c r="B19" s="37" t="str">
        <f>'Risk Master'!C19&amp;"-"&amp;'Risk Master'!D19</f>
        <v>Tsunami-Mumbai</v>
      </c>
      <c r="C19" s="29" t="str">
        <f>'Risk Master'!F19</f>
        <v>A6</v>
      </c>
      <c r="D19" s="37" t="str">
        <f>VLOOKUP(C19,'Asset Master'!A:B,2,FALSE)</f>
        <v>Warehouse &amp; Cold Storage-Mumbai</v>
      </c>
      <c r="E19" s="42"/>
      <c r="F19" s="42"/>
      <c r="G19" s="42"/>
      <c r="H19" s="42"/>
      <c r="I19" s="42"/>
      <c r="J19" s="42"/>
      <c r="K19" s="42"/>
      <c r="L19" s="42"/>
      <c r="M19" s="42"/>
      <c r="N19" s="42"/>
    </row>
    <row r="20" spans="1:14" ht="15" customHeight="1" x14ac:dyDescent="0.25">
      <c r="A20" s="29" t="s">
        <v>319</v>
      </c>
      <c r="B20" s="37" t="str">
        <f>'Risk Master'!C20&amp;"-"&amp;'Risk Master'!D20</f>
        <v>Flood-Mumbai</v>
      </c>
      <c r="C20" s="29" t="str">
        <f>'Risk Master'!F20</f>
        <v>A7</v>
      </c>
      <c r="D20" s="37" t="str">
        <f>VLOOKUP(C20,'Asset Master'!A:B,2,FALSE)</f>
        <v>Hotels &amp; Resorts-Mumbai</v>
      </c>
      <c r="E20" s="42"/>
      <c r="F20" s="42"/>
      <c r="G20" s="42"/>
      <c r="H20" s="42"/>
      <c r="I20" s="42"/>
      <c r="J20" s="42"/>
      <c r="K20" s="42"/>
      <c r="L20" s="42"/>
      <c r="M20" s="42"/>
      <c r="N20" s="42"/>
    </row>
    <row r="21" spans="1:14" ht="15" customHeight="1" x14ac:dyDescent="0.25">
      <c r="A21" s="29" t="s">
        <v>320</v>
      </c>
      <c r="B21" s="37" t="str">
        <f>'Risk Master'!C21&amp;"-"&amp;'Risk Master'!D21</f>
        <v>Earthquake-Mumbai</v>
      </c>
      <c r="C21" s="29" t="str">
        <f>'Risk Master'!F21</f>
        <v>A8</v>
      </c>
      <c r="D21" s="37" t="str">
        <f>VLOOKUP(C21,'Asset Master'!A:B,2,FALSE)</f>
        <v>Supermarkets &amp; Malls-Mumbai</v>
      </c>
      <c r="E21" s="42"/>
      <c r="F21" s="42"/>
      <c r="G21" s="42"/>
      <c r="H21" s="42"/>
      <c r="I21" s="42"/>
      <c r="J21" s="42"/>
      <c r="K21" s="42"/>
      <c r="L21" s="42"/>
      <c r="M21" s="42"/>
      <c r="N21" s="42"/>
    </row>
    <row r="22" spans="1:14" ht="15" customHeight="1" x14ac:dyDescent="0.25">
      <c r="A22" s="29" t="s">
        <v>321</v>
      </c>
      <c r="B22" s="37" t="str">
        <f>'Risk Master'!C22&amp;"-"&amp;'Risk Master'!D22</f>
        <v>Fire-Mumbai</v>
      </c>
      <c r="C22" s="29" t="str">
        <f>'Risk Master'!F22</f>
        <v>A7</v>
      </c>
      <c r="D22" s="37" t="str">
        <f>VLOOKUP(C22,'Asset Master'!A:B,2,FALSE)</f>
        <v>Hotels &amp; Resorts-Mumbai</v>
      </c>
      <c r="E22" s="42"/>
      <c r="F22" s="42"/>
      <c r="G22" s="42"/>
      <c r="H22" s="42"/>
      <c r="I22" s="42"/>
      <c r="J22" s="42"/>
      <c r="K22" s="42"/>
      <c r="L22" s="42"/>
      <c r="M22" s="42"/>
      <c r="N22" s="42"/>
    </row>
    <row r="23" spans="1:14" ht="15" customHeight="1" x14ac:dyDescent="0.25">
      <c r="A23" s="29" t="s">
        <v>322</v>
      </c>
      <c r="B23" s="37" t="str">
        <f>'Risk Master'!C23&amp;"-"&amp;'Risk Master'!D23</f>
        <v>Typhoon-Mumbai</v>
      </c>
      <c r="C23" s="29" t="str">
        <f>'Risk Master'!F23</f>
        <v>A8</v>
      </c>
      <c r="D23" s="37" t="str">
        <f>VLOOKUP(C23,'Asset Master'!A:B,2,FALSE)</f>
        <v>Supermarkets &amp; Malls-Mumbai</v>
      </c>
      <c r="E23" s="42"/>
      <c r="F23" s="42"/>
      <c r="G23" s="42"/>
      <c r="H23" s="42"/>
      <c r="I23" s="42"/>
      <c r="J23" s="42"/>
      <c r="K23" s="42"/>
      <c r="L23" s="42"/>
      <c r="M23" s="42"/>
      <c r="N23" s="42"/>
    </row>
    <row r="24" spans="1:14" ht="15" customHeight="1" x14ac:dyDescent="0.25">
      <c r="A24" s="29" t="s">
        <v>323</v>
      </c>
      <c r="B24" s="37" t="str">
        <f>'Risk Master'!C24&amp;"-"&amp;'Risk Master'!D24</f>
        <v>Thunderstorms, Tornados &amp; Hail-Mumbai</v>
      </c>
      <c r="C24" s="29" t="str">
        <f>'Risk Master'!F24</f>
        <v>A8</v>
      </c>
      <c r="D24" s="37" t="str">
        <f>VLOOKUP(C24,'Asset Master'!A:B,2,FALSE)</f>
        <v>Supermarkets &amp; Malls-Mumbai</v>
      </c>
      <c r="E24" s="42"/>
      <c r="F24" s="42"/>
      <c r="G24" s="42"/>
      <c r="H24" s="42"/>
      <c r="I24" s="42"/>
      <c r="J24" s="42"/>
      <c r="K24" s="42"/>
      <c r="L24" s="42"/>
      <c r="M24" s="42"/>
      <c r="N24" s="42"/>
    </row>
    <row r="25" spans="1:14" ht="15" customHeight="1" x14ac:dyDescent="0.25">
      <c r="A25" s="29" t="s">
        <v>324</v>
      </c>
      <c r="B25" s="37" t="str">
        <f>'Risk Master'!C25&amp;"-"&amp;'Risk Master'!D25</f>
        <v>Tsunami-Mumbai</v>
      </c>
      <c r="C25" s="29" t="str">
        <f>'Risk Master'!F25</f>
        <v>A8</v>
      </c>
      <c r="D25" s="37" t="str">
        <f>VLOOKUP(C25,'Asset Master'!A:B,2,FALSE)</f>
        <v>Supermarkets &amp; Malls-Mumbai</v>
      </c>
      <c r="E25" s="42"/>
      <c r="F25" s="42"/>
      <c r="G25" s="42"/>
      <c r="H25" s="42"/>
      <c r="I25" s="42"/>
      <c r="J25" s="42"/>
      <c r="K25" s="42"/>
      <c r="L25" s="42"/>
      <c r="M25" s="42"/>
      <c r="N25" s="42"/>
    </row>
    <row r="26" spans="1:14" ht="15" customHeight="1" x14ac:dyDescent="0.25">
      <c r="A26" s="29" t="s">
        <v>325</v>
      </c>
      <c r="B26" s="37" t="str">
        <f>'Risk Master'!C26&amp;"-"&amp;'Risk Master'!D26</f>
        <v>Flood-Mumbai</v>
      </c>
      <c r="C26" s="29" t="str">
        <f>'Risk Master'!F26</f>
        <v>A9</v>
      </c>
      <c r="D26" s="37" t="str">
        <f>VLOOKUP(C26,'Asset Master'!A:B,2,FALSE)</f>
        <v>Mines-Mumbai</v>
      </c>
      <c r="E26" s="42"/>
      <c r="F26" s="42"/>
      <c r="G26" s="42"/>
      <c r="H26" s="42"/>
      <c r="I26" s="42"/>
      <c r="J26" s="42"/>
      <c r="K26" s="42"/>
      <c r="L26" s="42"/>
      <c r="M26" s="42"/>
      <c r="N26" s="42"/>
    </row>
    <row r="27" spans="1:14" ht="15" customHeight="1" x14ac:dyDescent="0.25">
      <c r="A27" s="29" t="s">
        <v>326</v>
      </c>
      <c r="B27" s="37" t="str">
        <f>'Risk Master'!C27&amp;"-"&amp;'Risk Master'!D27</f>
        <v>Earthquake-Mumbai</v>
      </c>
      <c r="C27" s="29" t="str">
        <f>'Risk Master'!F27</f>
        <v>A9</v>
      </c>
      <c r="D27" s="37" t="str">
        <f>VLOOKUP(C27,'Asset Master'!A:B,2,FALSE)</f>
        <v>Mines-Mumbai</v>
      </c>
      <c r="E27" s="42"/>
      <c r="F27" s="42"/>
      <c r="G27" s="42"/>
      <c r="H27" s="42"/>
      <c r="I27" s="42"/>
      <c r="J27" s="42"/>
      <c r="K27" s="42"/>
      <c r="L27" s="42"/>
      <c r="M27" s="42"/>
      <c r="N27" s="42"/>
    </row>
    <row r="28" spans="1:14" ht="15" customHeight="1" x14ac:dyDescent="0.25">
      <c r="A28" s="29" t="s">
        <v>327</v>
      </c>
      <c r="B28" s="37" t="str">
        <f>'Risk Master'!C28&amp;"-"&amp;'Risk Master'!D28</f>
        <v>Fire-Mumbai</v>
      </c>
      <c r="C28" s="29" t="str">
        <f>'Risk Master'!F28</f>
        <v>A9</v>
      </c>
      <c r="D28" s="37" t="str">
        <f>VLOOKUP(C28,'Asset Master'!A:B,2,FALSE)</f>
        <v>Mines-Mumbai</v>
      </c>
      <c r="E28" s="42"/>
      <c r="F28" s="42"/>
      <c r="G28" s="42"/>
      <c r="H28" s="42"/>
      <c r="I28" s="42"/>
      <c r="J28" s="42"/>
      <c r="K28" s="42"/>
      <c r="L28" s="42"/>
      <c r="M28" s="42"/>
      <c r="N28" s="42"/>
    </row>
    <row r="29" spans="1:14" ht="15" customHeight="1" x14ac:dyDescent="0.25">
      <c r="A29" s="29" t="s">
        <v>328</v>
      </c>
      <c r="B29" s="37" t="str">
        <f>'Risk Master'!C29&amp;"-"&amp;'Risk Master'!D29</f>
        <v>Typhoon-Mumbai</v>
      </c>
      <c r="C29" s="29" t="str">
        <f>'Risk Master'!F29</f>
        <v>A9</v>
      </c>
      <c r="D29" s="37" t="str">
        <f>VLOOKUP(C29,'Asset Master'!A:B,2,FALSE)</f>
        <v>Mines-Mumbai</v>
      </c>
      <c r="E29" s="42"/>
      <c r="F29" s="42"/>
      <c r="G29" s="42"/>
      <c r="H29" s="42"/>
      <c r="I29" s="42"/>
      <c r="J29" s="42"/>
      <c r="K29" s="42"/>
      <c r="L29" s="42"/>
      <c r="M29" s="42"/>
      <c r="N29" s="42"/>
    </row>
    <row r="30" spans="1:14" ht="15" customHeight="1" x14ac:dyDescent="0.25">
      <c r="A30" s="29" t="s">
        <v>329</v>
      </c>
      <c r="B30" s="37" t="str">
        <f>'Risk Master'!C30&amp;"-"&amp;'Risk Master'!D30</f>
        <v>Thunderstorms, Tornados &amp; Hail-Mumbai</v>
      </c>
      <c r="C30" s="29" t="str">
        <f>'Risk Master'!F30</f>
        <v>A9</v>
      </c>
      <c r="D30" s="37" t="str">
        <f>VLOOKUP(C30,'Asset Master'!A:B,2,FALSE)</f>
        <v>Mines-Mumbai</v>
      </c>
      <c r="E30" s="42"/>
      <c r="F30" s="42"/>
      <c r="G30" s="42"/>
      <c r="H30" s="42"/>
      <c r="I30" s="42"/>
      <c r="J30" s="42"/>
      <c r="K30" s="42"/>
      <c r="L30" s="42"/>
      <c r="M30" s="42"/>
      <c r="N30" s="42"/>
    </row>
    <row r="31" spans="1:14" ht="15" customHeight="1" x14ac:dyDescent="0.25">
      <c r="A31" s="29" t="s">
        <v>330</v>
      </c>
      <c r="B31" s="37" t="str">
        <f>'Risk Master'!C31&amp;"-"&amp;'Risk Master'!D31</f>
        <v>Tsunami-Mumbai</v>
      </c>
      <c r="C31" s="29" t="str">
        <f>'Risk Master'!F31</f>
        <v>A9</v>
      </c>
      <c r="D31" s="37" t="str">
        <f>VLOOKUP(C31,'Asset Master'!A:B,2,FALSE)</f>
        <v>Mines-Mumbai</v>
      </c>
      <c r="E31" s="42"/>
      <c r="F31" s="42"/>
      <c r="G31" s="42"/>
      <c r="H31" s="42"/>
      <c r="I31" s="42"/>
      <c r="J31" s="42"/>
      <c r="K31" s="42"/>
      <c r="L31" s="42"/>
      <c r="M31" s="42"/>
      <c r="N31" s="42"/>
    </row>
    <row r="32" spans="1:14" ht="15" customHeight="1" x14ac:dyDescent="0.25">
      <c r="A32" s="29" t="s">
        <v>331</v>
      </c>
      <c r="B32" s="37" t="str">
        <f>'Risk Master'!C32&amp;"-"&amp;'Risk Master'!D32</f>
        <v>Flood-Mumbai</v>
      </c>
      <c r="C32" s="29" t="str">
        <f>'Risk Master'!F32</f>
        <v>A10</v>
      </c>
      <c r="D32" s="37" t="str">
        <f>VLOOKUP(C32,'Asset Master'!A:B,2,FALSE)</f>
        <v>Power Plants-Mumbai</v>
      </c>
      <c r="E32" s="42"/>
      <c r="F32" s="42"/>
      <c r="G32" s="42"/>
      <c r="H32" s="42"/>
      <c r="I32" s="42"/>
      <c r="J32" s="42"/>
      <c r="K32" s="42"/>
      <c r="L32" s="42"/>
      <c r="M32" s="42"/>
      <c r="N32" s="42"/>
    </row>
    <row r="33" spans="1:14" ht="15" customHeight="1" x14ac:dyDescent="0.25">
      <c r="A33" s="29" t="s">
        <v>332</v>
      </c>
      <c r="B33" s="37" t="str">
        <f>'Risk Master'!C33&amp;"-"&amp;'Risk Master'!D33</f>
        <v>Earthquake-Mumbai</v>
      </c>
      <c r="C33" s="29" t="str">
        <f>'Risk Master'!F33</f>
        <v>A10</v>
      </c>
      <c r="D33" s="37" t="str">
        <f>VLOOKUP(C33,'Asset Master'!A:B,2,FALSE)</f>
        <v>Power Plants-Mumbai</v>
      </c>
      <c r="E33" s="42"/>
      <c r="F33" s="42"/>
      <c r="G33" s="42"/>
      <c r="H33" s="42"/>
      <c r="I33" s="42"/>
      <c r="J33" s="42"/>
      <c r="K33" s="42"/>
      <c r="L33" s="42"/>
      <c r="M33" s="42"/>
      <c r="N33" s="42"/>
    </row>
    <row r="34" spans="1:14" ht="15" customHeight="1" x14ac:dyDescent="0.25">
      <c r="A34" s="29" t="s">
        <v>333</v>
      </c>
      <c r="B34" s="37" t="str">
        <f>'Risk Master'!C34&amp;"-"&amp;'Risk Master'!D34</f>
        <v>Fire-Mumbai</v>
      </c>
      <c r="C34" s="29" t="str">
        <f>'Risk Master'!F34</f>
        <v>A10</v>
      </c>
      <c r="D34" s="37" t="str">
        <f>VLOOKUP(C34,'Asset Master'!A:B,2,FALSE)</f>
        <v>Power Plants-Mumbai</v>
      </c>
      <c r="E34" s="42"/>
      <c r="F34" s="42"/>
      <c r="G34" s="42"/>
      <c r="H34" s="42"/>
      <c r="I34" s="42"/>
      <c r="J34" s="42"/>
      <c r="K34" s="42"/>
      <c r="L34" s="42"/>
      <c r="M34" s="42"/>
      <c r="N34" s="42"/>
    </row>
    <row r="35" spans="1:14" ht="15" customHeight="1" x14ac:dyDescent="0.25">
      <c r="A35" s="29" t="s">
        <v>334</v>
      </c>
      <c r="B35" s="37" t="str">
        <f>'Risk Master'!C35&amp;"-"&amp;'Risk Master'!D35</f>
        <v>Terror Attack-Mumbai</v>
      </c>
      <c r="C35" s="29" t="str">
        <f>'Risk Master'!F35</f>
        <v>A10</v>
      </c>
      <c r="D35" s="37" t="str">
        <f>VLOOKUP(C35,'Asset Master'!A:B,2,FALSE)</f>
        <v>Power Plants-Mumbai</v>
      </c>
      <c r="E35" s="42"/>
      <c r="F35" s="42"/>
      <c r="G35" s="42"/>
      <c r="H35" s="42"/>
      <c r="I35" s="42"/>
      <c r="J35" s="42"/>
      <c r="K35" s="42"/>
      <c r="L35" s="42"/>
      <c r="M35" s="42"/>
      <c r="N35" s="42"/>
    </row>
    <row r="36" spans="1:14" ht="15" customHeight="1" x14ac:dyDescent="0.25">
      <c r="A36" s="29" t="s">
        <v>335</v>
      </c>
      <c r="B36" s="37" t="str">
        <f>'Risk Master'!C36&amp;"-"&amp;'Risk Master'!D36</f>
        <v>Thunderstorms, Tornados &amp; Hail-Mumbai</v>
      </c>
      <c r="C36" s="29" t="str">
        <f>'Risk Master'!F36</f>
        <v>A10</v>
      </c>
      <c r="D36" s="37" t="str">
        <f>VLOOKUP(C36,'Asset Master'!A:B,2,FALSE)</f>
        <v>Power Plants-Mumbai</v>
      </c>
      <c r="E36" s="42"/>
      <c r="F36" s="42"/>
      <c r="G36" s="42"/>
      <c r="H36" s="42"/>
      <c r="I36" s="42"/>
      <c r="J36" s="42"/>
      <c r="K36" s="42"/>
      <c r="L36" s="42"/>
      <c r="M36" s="42"/>
      <c r="N36" s="42"/>
    </row>
    <row r="37" spans="1:14" ht="15" customHeight="1" x14ac:dyDescent="0.25">
      <c r="A37" s="29" t="s">
        <v>336</v>
      </c>
      <c r="B37" s="37" t="str">
        <f>'Risk Master'!C37&amp;"-"&amp;'Risk Master'!D37</f>
        <v>Tsunami-Mumbai</v>
      </c>
      <c r="C37" s="29" t="str">
        <f>'Risk Master'!F37</f>
        <v>A10</v>
      </c>
      <c r="D37" s="37" t="str">
        <f>VLOOKUP(C37,'Asset Master'!A:B,2,FALSE)</f>
        <v>Power Plants-Mumbai</v>
      </c>
      <c r="E37" s="42"/>
      <c r="F37" s="42"/>
      <c r="G37" s="42"/>
      <c r="H37" s="42"/>
      <c r="I37" s="42"/>
      <c r="J37" s="42"/>
      <c r="K37" s="42"/>
      <c r="L37" s="42"/>
      <c r="M37" s="42"/>
      <c r="N37" s="42"/>
    </row>
    <row r="38" spans="1:14" ht="15" customHeight="1" x14ac:dyDescent="0.25">
      <c r="A38" s="29" t="s">
        <v>337</v>
      </c>
      <c r="B38" s="37" t="str">
        <f>'Risk Master'!C38&amp;"-"&amp;'Risk Master'!D38</f>
        <v>Flood-Mumbai</v>
      </c>
      <c r="C38" s="29" t="str">
        <f>'Risk Master'!F38</f>
        <v>A11</v>
      </c>
      <c r="D38" s="37" t="str">
        <f>VLOOKUP(C38,'Asset Master'!A:B,2,FALSE)</f>
        <v>Oil Refineries-Mumbai</v>
      </c>
      <c r="E38" s="42"/>
      <c r="F38" s="42"/>
      <c r="G38" s="42"/>
      <c r="H38" s="42"/>
      <c r="I38" s="42"/>
      <c r="J38" s="42"/>
      <c r="K38" s="42"/>
      <c r="L38" s="42"/>
      <c r="M38" s="42"/>
      <c r="N38" s="42"/>
    </row>
    <row r="39" spans="1:14" ht="15" customHeight="1" x14ac:dyDescent="0.25">
      <c r="A39" s="29" t="s">
        <v>338</v>
      </c>
      <c r="B39" s="37" t="str">
        <f>'Risk Master'!C39&amp;"-"&amp;'Risk Master'!D39</f>
        <v>Earthquake-Mumbai</v>
      </c>
      <c r="C39" s="29" t="str">
        <f>'Risk Master'!F39</f>
        <v>A11</v>
      </c>
      <c r="D39" s="37" t="str">
        <f>VLOOKUP(C39,'Asset Master'!A:B,2,FALSE)</f>
        <v>Oil Refineries-Mumbai</v>
      </c>
      <c r="E39" s="42"/>
      <c r="F39" s="42"/>
      <c r="G39" s="42"/>
      <c r="H39" s="42"/>
      <c r="I39" s="42"/>
      <c r="J39" s="42"/>
      <c r="K39" s="42"/>
      <c r="L39" s="42"/>
      <c r="M39" s="42"/>
      <c r="N39" s="42"/>
    </row>
    <row r="40" spans="1:14" ht="15" customHeight="1" x14ac:dyDescent="0.25">
      <c r="A40" s="29" t="s">
        <v>339</v>
      </c>
      <c r="B40" s="37" t="str">
        <f>'Risk Master'!C40&amp;"-"&amp;'Risk Master'!D40</f>
        <v>Fire-Mumbai</v>
      </c>
      <c r="C40" s="29" t="str">
        <f>'Risk Master'!F40</f>
        <v>A11</v>
      </c>
      <c r="D40" s="37" t="str">
        <f>VLOOKUP(C40,'Asset Master'!A:B,2,FALSE)</f>
        <v>Oil Refineries-Mumbai</v>
      </c>
      <c r="E40" s="42"/>
      <c r="F40" s="42"/>
      <c r="G40" s="42"/>
      <c r="H40" s="42"/>
      <c r="I40" s="42"/>
      <c r="J40" s="42"/>
      <c r="K40" s="42"/>
      <c r="L40" s="42"/>
      <c r="M40" s="42"/>
      <c r="N40" s="42"/>
    </row>
    <row r="41" spans="1:14" ht="15" customHeight="1" x14ac:dyDescent="0.25">
      <c r="A41" s="29" t="s">
        <v>340</v>
      </c>
      <c r="B41" s="37" t="str">
        <f>'Risk Master'!C41&amp;"-"&amp;'Risk Master'!D41</f>
        <v>Typhoon-Mumbai</v>
      </c>
      <c r="C41" s="29" t="str">
        <f>'Risk Master'!F41</f>
        <v>A11</v>
      </c>
      <c r="D41" s="37" t="str">
        <f>VLOOKUP(C41,'Asset Master'!A:B,2,FALSE)</f>
        <v>Oil Refineries-Mumbai</v>
      </c>
      <c r="E41" s="42"/>
      <c r="F41" s="42"/>
      <c r="G41" s="42"/>
      <c r="H41" s="42"/>
      <c r="I41" s="42"/>
      <c r="J41" s="42"/>
      <c r="K41" s="42"/>
      <c r="L41" s="42"/>
      <c r="M41" s="42"/>
      <c r="N41" s="42"/>
    </row>
    <row r="42" spans="1:14" ht="15" customHeight="1" x14ac:dyDescent="0.25">
      <c r="A42" s="29" t="s">
        <v>341</v>
      </c>
      <c r="B42" s="37" t="str">
        <f>'Risk Master'!C42&amp;"-"&amp;'Risk Master'!D42</f>
        <v>Thunderstorms, Tornados &amp; Hail-Mumbai</v>
      </c>
      <c r="C42" s="29" t="str">
        <f>'Risk Master'!F42</f>
        <v>A11</v>
      </c>
      <c r="D42" s="37" t="str">
        <f>VLOOKUP(C42,'Asset Master'!A:B,2,FALSE)</f>
        <v>Oil Refineries-Mumbai</v>
      </c>
      <c r="E42" s="42"/>
      <c r="F42" s="42"/>
      <c r="G42" s="42"/>
      <c r="H42" s="42"/>
      <c r="I42" s="42"/>
      <c r="J42" s="42"/>
      <c r="K42" s="42"/>
      <c r="L42" s="42"/>
      <c r="M42" s="42"/>
      <c r="N42" s="42"/>
    </row>
    <row r="43" spans="1:14" ht="15" customHeight="1" x14ac:dyDescent="0.25">
      <c r="A43" s="29" t="s">
        <v>342</v>
      </c>
      <c r="B43" s="37" t="str">
        <f>'Risk Master'!C43&amp;"-"&amp;'Risk Master'!D43</f>
        <v>Tsunami-Mumbai</v>
      </c>
      <c r="C43" s="29" t="str">
        <f>'Risk Master'!F43</f>
        <v>A11</v>
      </c>
      <c r="D43" s="37" t="str">
        <f>VLOOKUP(C43,'Asset Master'!A:B,2,FALSE)</f>
        <v>Oil Refineries-Mumbai</v>
      </c>
      <c r="E43" s="42"/>
      <c r="F43" s="42"/>
      <c r="G43" s="42"/>
      <c r="H43" s="42"/>
      <c r="I43" s="42"/>
      <c r="J43" s="42"/>
      <c r="K43" s="42"/>
      <c r="L43" s="42"/>
      <c r="M43" s="42"/>
      <c r="N43" s="42"/>
    </row>
    <row r="44" spans="1:14" ht="15" customHeight="1" x14ac:dyDescent="0.25">
      <c r="A44" s="29" t="s">
        <v>343</v>
      </c>
      <c r="B44" s="37" t="str">
        <f>'Risk Master'!C44&amp;"-"&amp;'Risk Master'!D44</f>
        <v>Flood-Mumbai</v>
      </c>
      <c r="C44" s="29" t="str">
        <f>'Risk Master'!F44</f>
        <v>A12</v>
      </c>
      <c r="D44" s="37" t="str">
        <f>VLOOKUP(C44,'Asset Master'!A:B,2,FALSE)</f>
        <v>Telecom Towers-Mumbai</v>
      </c>
      <c r="E44" s="42"/>
      <c r="F44" s="42"/>
      <c r="G44" s="42"/>
      <c r="H44" s="42"/>
      <c r="I44" s="42"/>
      <c r="J44" s="42"/>
      <c r="K44" s="42"/>
      <c r="L44" s="42"/>
      <c r="M44" s="42"/>
      <c r="N44" s="42"/>
    </row>
    <row r="45" spans="1:14" ht="15" customHeight="1" x14ac:dyDescent="0.25">
      <c r="A45" s="29" t="s">
        <v>344</v>
      </c>
      <c r="B45" s="37" t="str">
        <f>'Risk Master'!C45&amp;"-"&amp;'Risk Master'!D45</f>
        <v>Earthquake-Mumbai</v>
      </c>
      <c r="C45" s="29" t="str">
        <f>'Risk Master'!F45</f>
        <v>A12</v>
      </c>
      <c r="D45" s="37" t="str">
        <f>VLOOKUP(C45,'Asset Master'!A:B,2,FALSE)</f>
        <v>Telecom Towers-Mumbai</v>
      </c>
      <c r="E45" s="42"/>
      <c r="F45" s="42"/>
      <c r="G45" s="42"/>
      <c r="H45" s="42"/>
      <c r="I45" s="42"/>
      <c r="J45" s="42"/>
      <c r="K45" s="42"/>
      <c r="L45" s="42"/>
      <c r="M45" s="42"/>
      <c r="N45" s="42"/>
    </row>
    <row r="46" spans="1:14" ht="15" customHeight="1" x14ac:dyDescent="0.25">
      <c r="A46" s="29" t="s">
        <v>345</v>
      </c>
      <c r="B46" s="37" t="str">
        <f>'Risk Master'!C46&amp;"-"&amp;'Risk Master'!D46</f>
        <v>Fire-Mumbai</v>
      </c>
      <c r="C46" s="29" t="str">
        <f>'Risk Master'!F46</f>
        <v>A12</v>
      </c>
      <c r="D46" s="37" t="str">
        <f>VLOOKUP(C46,'Asset Master'!A:B,2,FALSE)</f>
        <v>Telecom Towers-Mumbai</v>
      </c>
      <c r="E46" s="42"/>
      <c r="F46" s="42"/>
      <c r="G46" s="42"/>
      <c r="H46" s="42"/>
      <c r="I46" s="42"/>
      <c r="J46" s="42"/>
      <c r="K46" s="42"/>
      <c r="L46" s="42"/>
      <c r="M46" s="42"/>
      <c r="N46" s="42"/>
    </row>
    <row r="47" spans="1:14" ht="15" customHeight="1" x14ac:dyDescent="0.25">
      <c r="A47" s="29" t="s">
        <v>346</v>
      </c>
      <c r="B47" s="37" t="str">
        <f>'Risk Master'!C47&amp;"-"&amp;'Risk Master'!D47</f>
        <v>Typhoon-Mumbai</v>
      </c>
      <c r="C47" s="29" t="str">
        <f>'Risk Master'!F47</f>
        <v>A12</v>
      </c>
      <c r="D47" s="37" t="str">
        <f>VLOOKUP(C47,'Asset Master'!A:B,2,FALSE)</f>
        <v>Telecom Towers-Mumbai</v>
      </c>
      <c r="E47" s="42"/>
      <c r="F47" s="42"/>
      <c r="G47" s="42"/>
      <c r="H47" s="42"/>
      <c r="I47" s="42"/>
      <c r="J47" s="42"/>
      <c r="K47" s="42"/>
      <c r="L47" s="42"/>
      <c r="M47" s="42"/>
      <c r="N47" s="42"/>
    </row>
    <row r="48" spans="1:14" ht="15" customHeight="1" x14ac:dyDescent="0.25">
      <c r="A48" s="29" t="s">
        <v>347</v>
      </c>
      <c r="B48" s="37" t="str">
        <f>'Risk Master'!C48&amp;"-"&amp;'Risk Master'!D48</f>
        <v>Thunderstorms, Tornados &amp; Hail-Mumbai</v>
      </c>
      <c r="C48" s="29" t="str">
        <f>'Risk Master'!F48</f>
        <v>A12</v>
      </c>
      <c r="D48" s="37" t="str">
        <f>VLOOKUP(C48,'Asset Master'!A:B,2,FALSE)</f>
        <v>Telecom Towers-Mumbai</v>
      </c>
      <c r="E48" s="42"/>
      <c r="F48" s="42"/>
      <c r="G48" s="42"/>
      <c r="H48" s="42"/>
      <c r="I48" s="42"/>
      <c r="J48" s="42"/>
      <c r="K48" s="42"/>
      <c r="L48" s="42"/>
      <c r="M48" s="42"/>
      <c r="N48" s="42"/>
    </row>
    <row r="49" spans="1:14" ht="15" customHeight="1" x14ac:dyDescent="0.25">
      <c r="A49" s="29" t="s">
        <v>348</v>
      </c>
      <c r="B49" s="37" t="str">
        <f>'Risk Master'!C49&amp;"-"&amp;'Risk Master'!D49</f>
        <v>Tsunami-Mumbai</v>
      </c>
      <c r="C49" s="29" t="str">
        <f>'Risk Master'!F49</f>
        <v>A12</v>
      </c>
      <c r="D49" s="37" t="str">
        <f>VLOOKUP(C49,'Asset Master'!A:B,2,FALSE)</f>
        <v>Telecom Towers-Mumbai</v>
      </c>
      <c r="E49" s="42"/>
      <c r="F49" s="42"/>
      <c r="G49" s="42"/>
      <c r="H49" s="42"/>
      <c r="I49" s="42"/>
      <c r="J49" s="42"/>
      <c r="K49" s="42"/>
      <c r="L49" s="42"/>
      <c r="M49" s="42"/>
      <c r="N49" s="42"/>
    </row>
    <row r="50" spans="1:14" ht="15" customHeight="1" x14ac:dyDescent="0.25">
      <c r="A50" s="29" t="s">
        <v>349</v>
      </c>
      <c r="B50" s="37" t="str">
        <f>'Risk Master'!C50&amp;"-"&amp;'Risk Master'!D50</f>
        <v>Flood-Mumbai</v>
      </c>
      <c r="C50" s="29" t="str">
        <f>'Risk Master'!F50</f>
        <v>A13</v>
      </c>
      <c r="D50" s="37" t="str">
        <f>VLOOKUP(C50,'Asset Master'!A:B,2,FALSE)</f>
        <v>Aircrafts-Mumbai</v>
      </c>
      <c r="E50" s="42"/>
      <c r="F50" s="42"/>
      <c r="G50" s="42"/>
      <c r="H50" s="42"/>
      <c r="I50" s="42"/>
      <c r="J50" s="42"/>
      <c r="K50" s="42"/>
      <c r="L50" s="42"/>
      <c r="M50" s="42"/>
      <c r="N50" s="42"/>
    </row>
    <row r="51" spans="1:14" ht="15" customHeight="1" x14ac:dyDescent="0.25">
      <c r="A51" s="29" t="s">
        <v>350</v>
      </c>
      <c r="B51" s="37" t="str">
        <f>'Risk Master'!C51&amp;"-"&amp;'Risk Master'!D51</f>
        <v>Earthquake-Mumbai</v>
      </c>
      <c r="C51" s="29" t="str">
        <f>'Risk Master'!F51</f>
        <v>A13</v>
      </c>
      <c r="D51" s="37" t="str">
        <f>VLOOKUP(C51,'Asset Master'!A:B,2,FALSE)</f>
        <v>Aircrafts-Mumbai</v>
      </c>
      <c r="E51" s="42"/>
      <c r="F51" s="42"/>
      <c r="G51" s="42"/>
      <c r="H51" s="42"/>
      <c r="I51" s="42"/>
      <c r="J51" s="42"/>
      <c r="K51" s="42"/>
      <c r="L51" s="42"/>
      <c r="M51" s="42"/>
      <c r="N51" s="42"/>
    </row>
    <row r="52" spans="1:14" ht="15" customHeight="1" x14ac:dyDescent="0.25">
      <c r="A52" s="29" t="s">
        <v>351</v>
      </c>
      <c r="B52" s="37" t="str">
        <f>'Risk Master'!C52&amp;"-"&amp;'Risk Master'!D52</f>
        <v>Fire-Mumbai</v>
      </c>
      <c r="C52" s="29" t="str">
        <f>'Risk Master'!F52</f>
        <v>A13</v>
      </c>
      <c r="D52" s="37" t="str">
        <f>VLOOKUP(C52,'Asset Master'!A:B,2,FALSE)</f>
        <v>Aircrafts-Mumbai</v>
      </c>
      <c r="E52" s="42"/>
      <c r="F52" s="42"/>
      <c r="G52" s="42"/>
      <c r="H52" s="42"/>
      <c r="I52" s="42"/>
      <c r="J52" s="42"/>
      <c r="K52" s="42"/>
      <c r="L52" s="42"/>
      <c r="M52" s="42"/>
      <c r="N52" s="42"/>
    </row>
    <row r="53" spans="1:14" ht="15" customHeight="1" x14ac:dyDescent="0.25">
      <c r="A53" s="29" t="s">
        <v>352</v>
      </c>
      <c r="B53" s="37" t="str">
        <f>'Risk Master'!C53&amp;"-"&amp;'Risk Master'!D53</f>
        <v>Typhoon-Mumbai</v>
      </c>
      <c r="C53" s="29" t="str">
        <f>'Risk Master'!F53</f>
        <v>A13</v>
      </c>
      <c r="D53" s="37" t="str">
        <f>VLOOKUP(C53,'Asset Master'!A:B,2,FALSE)</f>
        <v>Aircrafts-Mumbai</v>
      </c>
      <c r="E53" s="42"/>
      <c r="F53" s="42"/>
      <c r="G53" s="42"/>
      <c r="H53" s="42"/>
      <c r="I53" s="42"/>
      <c r="J53" s="42"/>
      <c r="K53" s="42"/>
      <c r="L53" s="42"/>
      <c r="M53" s="42"/>
      <c r="N53" s="42"/>
    </row>
    <row r="54" spans="1:14" ht="15" customHeight="1" x14ac:dyDescent="0.25">
      <c r="A54" s="29" t="s">
        <v>353</v>
      </c>
      <c r="B54" s="37" t="str">
        <f>'Risk Master'!C54&amp;"-"&amp;'Risk Master'!D54</f>
        <v>Thunderstorms, Tornados &amp; Hail-Mumbai</v>
      </c>
      <c r="C54" s="29" t="str">
        <f>'Risk Master'!F54</f>
        <v>A13</v>
      </c>
      <c r="D54" s="37" t="str">
        <f>VLOOKUP(C54,'Asset Master'!A:B,2,FALSE)</f>
        <v>Aircrafts-Mumbai</v>
      </c>
      <c r="E54" s="42"/>
      <c r="F54" s="42"/>
      <c r="G54" s="42"/>
      <c r="H54" s="42"/>
      <c r="I54" s="42"/>
      <c r="J54" s="42"/>
      <c r="K54" s="42"/>
      <c r="L54" s="42"/>
      <c r="M54" s="42"/>
      <c r="N54" s="42"/>
    </row>
    <row r="55" spans="1:14" ht="15" customHeight="1" x14ac:dyDescent="0.25">
      <c r="A55" s="29" t="s">
        <v>354</v>
      </c>
      <c r="B55" s="37" t="str">
        <f>'Risk Master'!C55&amp;"-"&amp;'Risk Master'!D55</f>
        <v>Tsunami-Mumbai</v>
      </c>
      <c r="C55" s="29" t="str">
        <f>'Risk Master'!F55</f>
        <v>A13</v>
      </c>
      <c r="D55" s="37" t="str">
        <f>VLOOKUP(C55,'Asset Master'!A:B,2,FALSE)</f>
        <v>Aircrafts-Mumbai</v>
      </c>
      <c r="E55" s="42"/>
      <c r="F55" s="42"/>
      <c r="G55" s="42"/>
      <c r="H55" s="42"/>
      <c r="I55" s="42"/>
      <c r="J55" s="42"/>
      <c r="K55" s="42"/>
      <c r="L55" s="42"/>
      <c r="M55" s="42"/>
      <c r="N55" s="42"/>
    </row>
    <row r="56" spans="1:14" ht="15" customHeight="1" x14ac:dyDescent="0.25">
      <c r="A56" s="29" t="s">
        <v>355</v>
      </c>
      <c r="B56" s="37" t="str">
        <f>'Risk Master'!C56&amp;"-"&amp;'Risk Master'!D56</f>
        <v>Flood-Mumbai</v>
      </c>
      <c r="C56" s="29" t="str">
        <f>'Risk Master'!F56</f>
        <v>A14</v>
      </c>
      <c r="D56" s="37" t="str">
        <f>VLOOKUP(C56,'Asset Master'!A:B,2,FALSE)</f>
        <v>Ships &amp; Cargo-Mumbai</v>
      </c>
      <c r="E56" s="42"/>
      <c r="F56" s="42"/>
      <c r="G56" s="42"/>
      <c r="H56" s="42"/>
      <c r="I56" s="42"/>
      <c r="J56" s="42"/>
      <c r="K56" s="42"/>
      <c r="L56" s="42"/>
      <c r="M56" s="42"/>
      <c r="N56" s="42"/>
    </row>
    <row r="57" spans="1:14" ht="15" customHeight="1" x14ac:dyDescent="0.25">
      <c r="A57" s="29" t="s">
        <v>356</v>
      </c>
      <c r="B57" s="37" t="str">
        <f>'Risk Master'!C57&amp;"-"&amp;'Risk Master'!D57</f>
        <v>Earthquake-Mumbai</v>
      </c>
      <c r="C57" s="29" t="str">
        <f>'Risk Master'!F57</f>
        <v>A14</v>
      </c>
      <c r="D57" s="37" t="str">
        <f>VLOOKUP(C57,'Asset Master'!A:B,2,FALSE)</f>
        <v>Ships &amp; Cargo-Mumbai</v>
      </c>
      <c r="E57" s="42"/>
      <c r="F57" s="42"/>
      <c r="G57" s="42"/>
      <c r="H57" s="42"/>
      <c r="I57" s="42"/>
      <c r="J57" s="42"/>
      <c r="K57" s="42"/>
      <c r="L57" s="42"/>
      <c r="M57" s="42"/>
      <c r="N57" s="42"/>
    </row>
    <row r="58" spans="1:14" ht="15" customHeight="1" x14ac:dyDescent="0.25">
      <c r="A58" s="29" t="s">
        <v>357</v>
      </c>
      <c r="B58" s="37" t="str">
        <f>'Risk Master'!C58&amp;"-"&amp;'Risk Master'!D58</f>
        <v>Fire-Mumbai</v>
      </c>
      <c r="C58" s="29" t="str">
        <f>'Risk Master'!F58</f>
        <v>A14</v>
      </c>
      <c r="D58" s="37" t="str">
        <f>VLOOKUP(C58,'Asset Master'!A:B,2,FALSE)</f>
        <v>Ships &amp; Cargo-Mumbai</v>
      </c>
      <c r="E58" s="42"/>
      <c r="F58" s="42"/>
      <c r="G58" s="42"/>
      <c r="H58" s="42"/>
      <c r="I58" s="42"/>
      <c r="J58" s="42"/>
      <c r="K58" s="42"/>
      <c r="L58" s="42"/>
      <c r="M58" s="42"/>
      <c r="N58" s="42"/>
    </row>
    <row r="59" spans="1:14" ht="15" customHeight="1" x14ac:dyDescent="0.25">
      <c r="A59" s="29" t="s">
        <v>358</v>
      </c>
      <c r="B59" s="37" t="str">
        <f>'Risk Master'!C59&amp;"-"&amp;'Risk Master'!D59</f>
        <v>Typhoon-Mumbai</v>
      </c>
      <c r="C59" s="29" t="str">
        <f>'Risk Master'!F59</f>
        <v>A14</v>
      </c>
      <c r="D59" s="37" t="str">
        <f>VLOOKUP(C59,'Asset Master'!A:B,2,FALSE)</f>
        <v>Ships &amp; Cargo-Mumbai</v>
      </c>
      <c r="E59" s="42"/>
      <c r="F59" s="42"/>
      <c r="G59" s="42"/>
      <c r="H59" s="42"/>
      <c r="I59" s="42"/>
      <c r="J59" s="42"/>
      <c r="K59" s="42"/>
      <c r="L59" s="42"/>
      <c r="M59" s="42"/>
      <c r="N59" s="42"/>
    </row>
    <row r="60" spans="1:14" ht="15" customHeight="1" x14ac:dyDescent="0.25">
      <c r="A60" s="29" t="s">
        <v>359</v>
      </c>
      <c r="B60" s="37" t="str">
        <f>'Risk Master'!C60&amp;"-"&amp;'Risk Master'!D60</f>
        <v>Thunderstorms, Tornados &amp; Hail-Mumbai</v>
      </c>
      <c r="C60" s="29" t="str">
        <f>'Risk Master'!F60</f>
        <v>A14</v>
      </c>
      <c r="D60" s="37" t="str">
        <f>VLOOKUP(C60,'Asset Master'!A:B,2,FALSE)</f>
        <v>Ships &amp; Cargo-Mumbai</v>
      </c>
      <c r="E60" s="42"/>
      <c r="F60" s="42"/>
      <c r="G60" s="42"/>
      <c r="H60" s="42"/>
      <c r="I60" s="42"/>
      <c r="J60" s="42"/>
      <c r="K60" s="42"/>
      <c r="L60" s="42"/>
      <c r="M60" s="42"/>
      <c r="N60" s="42"/>
    </row>
    <row r="61" spans="1:14" ht="15" customHeight="1" x14ac:dyDescent="0.25">
      <c r="A61" s="29" t="s">
        <v>360</v>
      </c>
      <c r="B61" s="37" t="str">
        <f>'Risk Master'!C61&amp;"-"&amp;'Risk Master'!D61</f>
        <v>Tsunami-Mumbai</v>
      </c>
      <c r="C61" s="29" t="str">
        <f>'Risk Master'!F61</f>
        <v>A14</v>
      </c>
      <c r="D61" s="37" t="str">
        <f>VLOOKUP(C61,'Asset Master'!A:B,2,FALSE)</f>
        <v>Ships &amp; Cargo-Mumbai</v>
      </c>
      <c r="E61" s="42"/>
      <c r="F61" s="42"/>
      <c r="G61" s="42"/>
      <c r="H61" s="42"/>
      <c r="I61" s="42"/>
      <c r="J61" s="42"/>
      <c r="K61" s="42"/>
      <c r="L61" s="42"/>
      <c r="M61" s="42"/>
      <c r="N61" s="42"/>
    </row>
    <row r="62" spans="1:14" ht="15" customHeight="1" x14ac:dyDescent="0.25">
      <c r="A62" s="29" t="s">
        <v>361</v>
      </c>
      <c r="B62" s="37" t="str">
        <f>'Risk Master'!C62&amp;"-"&amp;'Risk Master'!D62</f>
        <v>Flood-Mumbai</v>
      </c>
      <c r="C62" s="29" t="str">
        <f>'Risk Master'!F62</f>
        <v>A15</v>
      </c>
      <c r="D62" s="37" t="str">
        <f>VLOOKUP(C62,'Asset Master'!A:B,2,FALSE)</f>
        <v>Fleets &amp; Cars-Mumbai</v>
      </c>
      <c r="E62" s="42"/>
      <c r="F62" s="42"/>
      <c r="G62" s="42"/>
      <c r="H62" s="42"/>
      <c r="I62" s="42"/>
      <c r="J62" s="42"/>
      <c r="K62" s="42"/>
      <c r="L62" s="42"/>
      <c r="M62" s="42"/>
      <c r="N62" s="42"/>
    </row>
    <row r="63" spans="1:14" ht="15" customHeight="1" x14ac:dyDescent="0.25">
      <c r="A63" s="29" t="s">
        <v>362</v>
      </c>
      <c r="B63" s="37" t="str">
        <f>'Risk Master'!C63&amp;"-"&amp;'Risk Master'!D63</f>
        <v>Earthquake-Mumbai</v>
      </c>
      <c r="C63" s="29" t="str">
        <f>'Risk Master'!F63</f>
        <v>A15</v>
      </c>
      <c r="D63" s="37" t="str">
        <f>VLOOKUP(C63,'Asset Master'!A:B,2,FALSE)</f>
        <v>Fleets &amp; Cars-Mumbai</v>
      </c>
      <c r="E63" s="42"/>
      <c r="F63" s="42"/>
      <c r="G63" s="42"/>
      <c r="H63" s="42"/>
      <c r="I63" s="42"/>
      <c r="J63" s="42"/>
      <c r="K63" s="42"/>
      <c r="L63" s="42"/>
      <c r="M63" s="42"/>
      <c r="N63" s="42"/>
    </row>
    <row r="64" spans="1:14" ht="15" customHeight="1" x14ac:dyDescent="0.25">
      <c r="A64" s="29" t="s">
        <v>363</v>
      </c>
      <c r="B64" s="37" t="str">
        <f>'Risk Master'!C64&amp;"-"&amp;'Risk Master'!D64</f>
        <v>Fire-Mumbai</v>
      </c>
      <c r="C64" s="29" t="str">
        <f>'Risk Master'!F64</f>
        <v>A15</v>
      </c>
      <c r="D64" s="37" t="str">
        <f>VLOOKUP(C64,'Asset Master'!A:B,2,FALSE)</f>
        <v>Fleets &amp; Cars-Mumbai</v>
      </c>
      <c r="E64" s="42"/>
      <c r="F64" s="42"/>
      <c r="G64" s="42"/>
      <c r="H64" s="42"/>
      <c r="I64" s="42"/>
      <c r="J64" s="42"/>
      <c r="K64" s="42"/>
      <c r="L64" s="42"/>
      <c r="M64" s="42"/>
      <c r="N64" s="42"/>
    </row>
    <row r="65" spans="1:14" ht="15" customHeight="1" x14ac:dyDescent="0.25">
      <c r="A65" s="29" t="s">
        <v>364</v>
      </c>
      <c r="B65" s="37" t="str">
        <f>'Risk Master'!C65&amp;"-"&amp;'Risk Master'!D65</f>
        <v>Typhoon-Mumbai</v>
      </c>
      <c r="C65" s="29" t="str">
        <f>'Risk Master'!F65</f>
        <v>A15</v>
      </c>
      <c r="D65" s="37" t="str">
        <f>VLOOKUP(C65,'Asset Master'!A:B,2,FALSE)</f>
        <v>Fleets &amp; Cars-Mumbai</v>
      </c>
      <c r="E65" s="42"/>
      <c r="F65" s="42"/>
      <c r="G65" s="42"/>
      <c r="H65" s="42"/>
      <c r="I65" s="42"/>
      <c r="J65" s="42"/>
      <c r="K65" s="42"/>
      <c r="L65" s="42"/>
      <c r="M65" s="42"/>
      <c r="N65" s="42"/>
    </row>
    <row r="66" spans="1:14" ht="15" customHeight="1" x14ac:dyDescent="0.25">
      <c r="A66" s="29" t="s">
        <v>365</v>
      </c>
      <c r="B66" s="37" t="str">
        <f>'Risk Master'!C66&amp;"-"&amp;'Risk Master'!D66</f>
        <v>Thunderstorms, Tornados &amp; Hail-Mumbai</v>
      </c>
      <c r="C66" s="29" t="str">
        <f>'Risk Master'!F66</f>
        <v>A15</v>
      </c>
      <c r="D66" s="37" t="str">
        <f>VLOOKUP(C66,'Asset Master'!A:B,2,FALSE)</f>
        <v>Fleets &amp; Cars-Mumbai</v>
      </c>
      <c r="E66" s="42"/>
      <c r="F66" s="42"/>
      <c r="G66" s="42"/>
      <c r="H66" s="42"/>
      <c r="I66" s="42"/>
      <c r="J66" s="42"/>
      <c r="K66" s="42"/>
      <c r="L66" s="42"/>
      <c r="M66" s="42"/>
      <c r="N66" s="42"/>
    </row>
    <row r="67" spans="1:14" ht="15" customHeight="1" x14ac:dyDescent="0.25">
      <c r="A67" s="29" t="s">
        <v>366</v>
      </c>
      <c r="B67" s="37" t="str">
        <f>'Risk Master'!C67&amp;"-"&amp;'Risk Master'!D67</f>
        <v>Tsunami-Mumbai</v>
      </c>
      <c r="C67" s="29" t="str">
        <f>'Risk Master'!F67</f>
        <v>A15</v>
      </c>
      <c r="D67" s="37" t="str">
        <f>VLOOKUP(C67,'Asset Master'!A:B,2,FALSE)</f>
        <v>Fleets &amp; Cars-Mumbai</v>
      </c>
      <c r="E67" s="42"/>
      <c r="F67" s="42"/>
      <c r="G67" s="42"/>
      <c r="H67" s="42"/>
      <c r="I67" s="42"/>
      <c r="J67" s="42"/>
      <c r="K67" s="42"/>
      <c r="L67" s="42"/>
      <c r="M67" s="42"/>
      <c r="N67" s="42"/>
    </row>
    <row r="68" spans="1:14" ht="15" customHeight="1" x14ac:dyDescent="0.25">
      <c r="A68" s="29" t="s">
        <v>367</v>
      </c>
      <c r="B68" s="37" t="str">
        <f>'Risk Master'!C68&amp;"-"&amp;'Risk Master'!D68</f>
        <v>Hurricane-Typhoon -Germany</v>
      </c>
      <c r="C68" s="29" t="str">
        <f>'Risk Master'!F68</f>
        <v>A16</v>
      </c>
      <c r="D68" s="37" t="str">
        <f>VLOOKUP(C68,'Asset Master'!A:B,2,FALSE)</f>
        <v>Heavy Machinery-Germany</v>
      </c>
      <c r="E68" s="42"/>
      <c r="F68" s="42"/>
      <c r="G68" s="42"/>
      <c r="H68" s="42"/>
      <c r="I68" s="42"/>
      <c r="J68" s="42"/>
      <c r="K68" s="42"/>
      <c r="L68" s="42"/>
      <c r="M68" s="42"/>
      <c r="N68" s="42"/>
    </row>
    <row r="69" spans="1:14" ht="15" customHeight="1" x14ac:dyDescent="0.25">
      <c r="A69" s="29" t="s">
        <v>368</v>
      </c>
      <c r="B69" s="37" t="str">
        <f>'Risk Master'!C69&amp;"-"&amp;'Risk Master'!D69</f>
        <v>Earthquake-Germany</v>
      </c>
      <c r="C69" s="29" t="str">
        <f>'Risk Master'!F69</f>
        <v>A16</v>
      </c>
      <c r="D69" s="37" t="str">
        <f>VLOOKUP(C69,'Asset Master'!A:B,2,FALSE)</f>
        <v>Heavy Machinery-Germany</v>
      </c>
      <c r="E69" s="42"/>
      <c r="F69" s="42"/>
      <c r="G69" s="42"/>
      <c r="H69" s="42"/>
      <c r="I69" s="42"/>
      <c r="J69" s="42"/>
      <c r="K69" s="42"/>
      <c r="L69" s="42"/>
      <c r="M69" s="42"/>
      <c r="N69" s="42"/>
    </row>
    <row r="70" spans="1:14" ht="15" customHeight="1" x14ac:dyDescent="0.25">
      <c r="A70" s="29" t="s">
        <v>369</v>
      </c>
      <c r="B70" s="37" t="str">
        <f>'Risk Master'!C70&amp;"-"&amp;'Risk Master'!D70</f>
        <v>Fire-Germany</v>
      </c>
      <c r="C70" s="29" t="str">
        <f>'Risk Master'!F70</f>
        <v>A16</v>
      </c>
      <c r="D70" s="37" t="str">
        <f>VLOOKUP(C70,'Asset Master'!A:B,2,FALSE)</f>
        <v>Heavy Machinery-Germany</v>
      </c>
      <c r="E70" s="42"/>
      <c r="F70" s="42"/>
      <c r="G70" s="42"/>
      <c r="H70" s="42"/>
      <c r="I70" s="42"/>
      <c r="J70" s="42"/>
      <c r="K70" s="42"/>
      <c r="L70" s="42"/>
      <c r="M70" s="42"/>
      <c r="N70" s="42"/>
    </row>
    <row r="71" spans="1:14" ht="15" customHeight="1" x14ac:dyDescent="0.25">
      <c r="A71" s="29" t="s">
        <v>370</v>
      </c>
      <c r="B71" s="37" t="str">
        <f>'Risk Master'!C71&amp;"-"&amp;'Risk Master'!D71</f>
        <v>Thunderstorms, Tornados &amp; Hail-Germany</v>
      </c>
      <c r="C71" s="29" t="str">
        <f>'Risk Master'!F71</f>
        <v>A16</v>
      </c>
      <c r="D71" s="37" t="str">
        <f>VLOOKUP(C71,'Asset Master'!A:B,2,FALSE)</f>
        <v>Heavy Machinery-Germany</v>
      </c>
      <c r="E71" s="42"/>
      <c r="F71" s="42"/>
      <c r="G71" s="42"/>
      <c r="H71" s="42"/>
      <c r="I71" s="42"/>
      <c r="J71" s="42"/>
      <c r="K71" s="42"/>
      <c r="L71" s="42"/>
      <c r="M71" s="42"/>
      <c r="N71" s="42"/>
    </row>
    <row r="72" spans="1:14" ht="15" customHeight="1" x14ac:dyDescent="0.25">
      <c r="A72" s="29" t="s">
        <v>371</v>
      </c>
      <c r="B72" s="37" t="str">
        <f>'Risk Master'!C72&amp;"-"&amp;'Risk Master'!D72</f>
        <v>Hurricane-Typhoon -Germany</v>
      </c>
      <c r="C72" s="29" t="str">
        <f>'Risk Master'!F72</f>
        <v>A19</v>
      </c>
      <c r="D72" s="37" t="str">
        <f>VLOOKUP(C72,'Asset Master'!A:B,2,FALSE)</f>
        <v>Property (Office Locations)-Germany</v>
      </c>
      <c r="E72" s="42"/>
      <c r="F72" s="42"/>
      <c r="G72" s="42"/>
      <c r="H72" s="42"/>
      <c r="I72" s="42"/>
      <c r="J72" s="42"/>
      <c r="K72" s="42"/>
      <c r="L72" s="42"/>
      <c r="M72" s="42"/>
      <c r="N72" s="42"/>
    </row>
    <row r="73" spans="1:14" ht="15" customHeight="1" x14ac:dyDescent="0.25">
      <c r="A73" s="29" t="s">
        <v>372</v>
      </c>
      <c r="B73" s="37" t="str">
        <f>'Risk Master'!C73&amp;"-"&amp;'Risk Master'!D73</f>
        <v>Earthquake-Germany</v>
      </c>
      <c r="C73" s="29" t="str">
        <f>'Risk Master'!F73</f>
        <v>A19</v>
      </c>
      <c r="D73" s="37" t="str">
        <f>VLOOKUP(C73,'Asset Master'!A:B,2,FALSE)</f>
        <v>Property (Office Locations)-Germany</v>
      </c>
      <c r="E73" s="42"/>
      <c r="F73" s="42"/>
      <c r="G73" s="42"/>
      <c r="H73" s="42"/>
      <c r="I73" s="42"/>
      <c r="J73" s="42"/>
      <c r="K73" s="42"/>
      <c r="L73" s="42"/>
      <c r="M73" s="42"/>
      <c r="N73" s="42"/>
    </row>
    <row r="74" spans="1:14" ht="15" customHeight="1" x14ac:dyDescent="0.25">
      <c r="A74" s="29" t="s">
        <v>373</v>
      </c>
      <c r="B74" s="37" t="str">
        <f>'Risk Master'!C74&amp;"-"&amp;'Risk Master'!D74</f>
        <v>Fire-Germany</v>
      </c>
      <c r="C74" s="29" t="str">
        <f>'Risk Master'!F74</f>
        <v>A19</v>
      </c>
      <c r="D74" s="37" t="str">
        <f>VLOOKUP(C74,'Asset Master'!A:B,2,FALSE)</f>
        <v>Property (Office Locations)-Germany</v>
      </c>
      <c r="E74" s="42"/>
      <c r="F74" s="42"/>
      <c r="G74" s="42"/>
      <c r="H74" s="42"/>
      <c r="I74" s="42"/>
      <c r="J74" s="42"/>
      <c r="K74" s="42"/>
      <c r="L74" s="42"/>
      <c r="M74" s="42"/>
      <c r="N74" s="42"/>
    </row>
    <row r="75" spans="1:14" ht="15" customHeight="1" x14ac:dyDescent="0.25">
      <c r="A75" s="29" t="s">
        <v>374</v>
      </c>
      <c r="B75" s="37" t="str">
        <f>'Risk Master'!C75&amp;"-"&amp;'Risk Master'!D75</f>
        <v>Thunderstorms, Tornados &amp; Hail-Germany</v>
      </c>
      <c r="C75" s="29" t="str">
        <f>'Risk Master'!F75</f>
        <v>A19</v>
      </c>
      <c r="D75" s="37" t="str">
        <f>VLOOKUP(C75,'Asset Master'!A:B,2,FALSE)</f>
        <v>Property (Office Locations)-Germany</v>
      </c>
      <c r="E75" s="42"/>
      <c r="F75" s="42"/>
      <c r="G75" s="42"/>
      <c r="H75" s="42"/>
      <c r="I75" s="42"/>
      <c r="J75" s="42"/>
      <c r="K75" s="42"/>
      <c r="L75" s="42"/>
      <c r="M75" s="42"/>
      <c r="N75" s="42"/>
    </row>
    <row r="76" spans="1:14" ht="15" customHeight="1" x14ac:dyDescent="0.25">
      <c r="A76" s="29" t="s">
        <v>375</v>
      </c>
      <c r="B76" s="37" t="str">
        <f>'Risk Master'!C76&amp;"-"&amp;'Risk Master'!D76</f>
        <v>Hurricane-Typhoon -Germany</v>
      </c>
      <c r="C76" s="29" t="str">
        <f>'Risk Master'!F76</f>
        <v>A22</v>
      </c>
      <c r="D76" s="37" t="str">
        <f>VLOOKUP(C76,'Asset Master'!A:B,2,FALSE)</f>
        <v>Hotels &amp; Resorts-Germany</v>
      </c>
      <c r="E76" s="42"/>
      <c r="F76" s="42"/>
      <c r="G76" s="42"/>
      <c r="H76" s="42"/>
      <c r="I76" s="42"/>
      <c r="J76" s="42"/>
      <c r="K76" s="42"/>
      <c r="L76" s="42"/>
      <c r="M76" s="42"/>
      <c r="N76" s="42"/>
    </row>
    <row r="77" spans="1:14" ht="15" customHeight="1" x14ac:dyDescent="0.25">
      <c r="A77" s="29" t="s">
        <v>376</v>
      </c>
      <c r="B77" s="37" t="str">
        <f>'Risk Master'!C77&amp;"-"&amp;'Risk Master'!D77</f>
        <v>Earthquake-Germany</v>
      </c>
      <c r="C77" s="29" t="str">
        <f>'Risk Master'!F77</f>
        <v>A22</v>
      </c>
      <c r="D77" s="37" t="str">
        <f>VLOOKUP(C77,'Asset Master'!A:B,2,FALSE)</f>
        <v>Hotels &amp; Resorts-Germany</v>
      </c>
      <c r="E77" s="42"/>
      <c r="F77" s="42"/>
      <c r="G77" s="42"/>
      <c r="H77" s="42"/>
      <c r="I77" s="42"/>
      <c r="J77" s="42"/>
      <c r="K77" s="42"/>
      <c r="L77" s="42"/>
      <c r="M77" s="42"/>
      <c r="N77" s="42"/>
    </row>
    <row r="78" spans="1:14" ht="15" customHeight="1" x14ac:dyDescent="0.25">
      <c r="A78" s="29" t="s">
        <v>377</v>
      </c>
      <c r="B78" s="37" t="str">
        <f>'Risk Master'!C78&amp;"-"&amp;'Risk Master'!D78</f>
        <v>Fire-Germany</v>
      </c>
      <c r="C78" s="29" t="str">
        <f>'Risk Master'!F78</f>
        <v>A22</v>
      </c>
      <c r="D78" s="37" t="str">
        <f>VLOOKUP(C78,'Asset Master'!A:B,2,FALSE)</f>
        <v>Hotels &amp; Resorts-Germany</v>
      </c>
      <c r="E78" s="42"/>
      <c r="F78" s="42"/>
      <c r="G78" s="42"/>
      <c r="H78" s="42"/>
      <c r="I78" s="42"/>
      <c r="J78" s="42"/>
      <c r="K78" s="42"/>
      <c r="L78" s="42"/>
      <c r="M78" s="42"/>
      <c r="N78" s="42"/>
    </row>
    <row r="79" spans="1:14" ht="15" customHeight="1" x14ac:dyDescent="0.25">
      <c r="A79" s="29" t="s">
        <v>378</v>
      </c>
      <c r="B79" s="37" t="str">
        <f>'Risk Master'!C79&amp;"-"&amp;'Risk Master'!D79</f>
        <v>Thunderstorms, Tornados &amp; Hail-Germany</v>
      </c>
      <c r="C79" s="29" t="str">
        <f>'Risk Master'!F79</f>
        <v>A22</v>
      </c>
      <c r="D79" s="37" t="str">
        <f>VLOOKUP(C79,'Asset Master'!A:B,2,FALSE)</f>
        <v>Hotels &amp; Resorts-Germany</v>
      </c>
      <c r="E79" s="42"/>
      <c r="F79" s="42"/>
      <c r="G79" s="42"/>
      <c r="H79" s="42"/>
      <c r="I79" s="42"/>
      <c r="J79" s="42"/>
      <c r="K79" s="42"/>
      <c r="L79" s="42"/>
      <c r="M79" s="42"/>
      <c r="N79" s="42"/>
    </row>
    <row r="80" spans="1:14" ht="15" customHeight="1" x14ac:dyDescent="0.25">
      <c r="A80" s="29" t="s">
        <v>379</v>
      </c>
      <c r="B80" s="37" t="str">
        <f>'Risk Master'!C80&amp;"-"&amp;'Risk Master'!D80</f>
        <v>Hurricane-Typhoon -Germany</v>
      </c>
      <c r="C80" s="29" t="str">
        <f>'Risk Master'!F80</f>
        <v>A23</v>
      </c>
      <c r="D80" s="37" t="str">
        <f>VLOOKUP(C80,'Asset Master'!A:B,2,FALSE)</f>
        <v>Supermarkets &amp; Malls-Germany</v>
      </c>
      <c r="E80" s="42"/>
      <c r="F80" s="42"/>
      <c r="G80" s="42"/>
      <c r="H80" s="42"/>
      <c r="I80" s="42"/>
      <c r="J80" s="42"/>
      <c r="K80" s="42"/>
      <c r="L80" s="42"/>
      <c r="M80" s="42"/>
      <c r="N80" s="42"/>
    </row>
    <row r="81" spans="1:14" ht="15" customHeight="1" x14ac:dyDescent="0.25">
      <c r="A81" s="29" t="s">
        <v>380</v>
      </c>
      <c r="B81" s="37" t="str">
        <f>'Risk Master'!C81&amp;"-"&amp;'Risk Master'!D81</f>
        <v>Earthquake-Germany</v>
      </c>
      <c r="C81" s="29" t="str">
        <f>'Risk Master'!F81</f>
        <v>A23</v>
      </c>
      <c r="D81" s="37" t="str">
        <f>VLOOKUP(C81,'Asset Master'!A:B,2,FALSE)</f>
        <v>Supermarkets &amp; Malls-Germany</v>
      </c>
      <c r="E81" s="42"/>
      <c r="F81" s="42"/>
      <c r="G81" s="42"/>
      <c r="H81" s="42"/>
      <c r="I81" s="42"/>
      <c r="J81" s="42"/>
      <c r="K81" s="42"/>
      <c r="L81" s="42"/>
      <c r="M81" s="42"/>
      <c r="N81" s="42"/>
    </row>
    <row r="82" spans="1:14" ht="15" customHeight="1" x14ac:dyDescent="0.25">
      <c r="A82" s="29" t="s">
        <v>381</v>
      </c>
      <c r="B82" s="37" t="str">
        <f>'Risk Master'!C82&amp;"-"&amp;'Risk Master'!D82</f>
        <v>Fire-Germany</v>
      </c>
      <c r="C82" s="29" t="str">
        <f>'Risk Master'!F82</f>
        <v>A23</v>
      </c>
      <c r="D82" s="37" t="str">
        <f>VLOOKUP(C82,'Asset Master'!A:B,2,FALSE)</f>
        <v>Supermarkets &amp; Malls-Germany</v>
      </c>
      <c r="E82" s="42"/>
      <c r="F82" s="42"/>
      <c r="G82" s="42"/>
      <c r="H82" s="42"/>
      <c r="I82" s="42"/>
      <c r="J82" s="42"/>
      <c r="K82" s="42"/>
      <c r="L82" s="42"/>
      <c r="M82" s="42"/>
      <c r="N82" s="42"/>
    </row>
    <row r="83" spans="1:14" ht="15" customHeight="1" x14ac:dyDescent="0.25">
      <c r="A83" s="29" t="s">
        <v>382</v>
      </c>
      <c r="B83" s="37" t="str">
        <f>'Risk Master'!C83&amp;"-"&amp;'Risk Master'!D83</f>
        <v>Thunderstorms, Tornados &amp; Hail-Germany</v>
      </c>
      <c r="C83" s="29" t="str">
        <f>'Risk Master'!F83</f>
        <v>A23</v>
      </c>
      <c r="D83" s="37" t="str">
        <f>VLOOKUP(C83,'Asset Master'!A:B,2,FALSE)</f>
        <v>Supermarkets &amp; Malls-Germany</v>
      </c>
      <c r="E83" s="42"/>
      <c r="F83" s="42"/>
      <c r="G83" s="42"/>
      <c r="H83" s="42"/>
      <c r="I83" s="42"/>
      <c r="J83" s="42"/>
      <c r="K83" s="42"/>
      <c r="L83" s="42"/>
      <c r="M83" s="42"/>
      <c r="N83" s="42"/>
    </row>
    <row r="84" spans="1:14" ht="15" customHeight="1" x14ac:dyDescent="0.25">
      <c r="A84" s="29" t="s">
        <v>383</v>
      </c>
      <c r="B84" s="37" t="str">
        <f>'Risk Master'!C84&amp;"-"&amp;'Risk Master'!D84</f>
        <v>Hurricane-Typhoon -Germany</v>
      </c>
      <c r="C84" s="29" t="str">
        <f>'Risk Master'!F84</f>
        <v>A25</v>
      </c>
      <c r="D84" s="37" t="str">
        <f>VLOOKUP(C84,'Asset Master'!A:B,2,FALSE)</f>
        <v>Power Plants-Germany</v>
      </c>
      <c r="E84" s="42"/>
      <c r="F84" s="42"/>
      <c r="G84" s="42"/>
      <c r="H84" s="42"/>
      <c r="I84" s="42"/>
      <c r="J84" s="42"/>
      <c r="K84" s="42"/>
      <c r="L84" s="42"/>
      <c r="M84" s="42"/>
      <c r="N84" s="42"/>
    </row>
    <row r="85" spans="1:14" ht="15" customHeight="1" x14ac:dyDescent="0.25">
      <c r="A85" s="29" t="s">
        <v>384</v>
      </c>
      <c r="B85" s="37" t="str">
        <f>'Risk Master'!C85&amp;"-"&amp;'Risk Master'!D85</f>
        <v>Earthquake-Germany</v>
      </c>
      <c r="C85" s="29" t="str">
        <f>'Risk Master'!F85</f>
        <v>A25</v>
      </c>
      <c r="D85" s="37" t="str">
        <f>VLOOKUP(C85,'Asset Master'!A:B,2,FALSE)</f>
        <v>Power Plants-Germany</v>
      </c>
      <c r="E85" s="42"/>
      <c r="F85" s="42"/>
      <c r="G85" s="42"/>
      <c r="H85" s="42"/>
      <c r="I85" s="42"/>
      <c r="J85" s="42"/>
      <c r="K85" s="42"/>
      <c r="L85" s="42"/>
      <c r="M85" s="42"/>
      <c r="N85" s="42"/>
    </row>
    <row r="86" spans="1:14" ht="15" customHeight="1" x14ac:dyDescent="0.25">
      <c r="A86" s="29" t="s">
        <v>385</v>
      </c>
      <c r="B86" s="37" t="str">
        <f>'Risk Master'!C86&amp;"-"&amp;'Risk Master'!D86</f>
        <v>Fire-Germany</v>
      </c>
      <c r="C86" s="29" t="str">
        <f>'Risk Master'!F86</f>
        <v>A25</v>
      </c>
      <c r="D86" s="37" t="str">
        <f>VLOOKUP(C86,'Asset Master'!A:B,2,FALSE)</f>
        <v>Power Plants-Germany</v>
      </c>
      <c r="E86" s="42"/>
      <c r="F86" s="42"/>
      <c r="G86" s="42"/>
      <c r="H86" s="42"/>
      <c r="I86" s="42"/>
      <c r="J86" s="42"/>
      <c r="K86" s="42"/>
      <c r="L86" s="42"/>
      <c r="M86" s="42"/>
      <c r="N86" s="42"/>
    </row>
    <row r="87" spans="1:14" ht="15" customHeight="1" x14ac:dyDescent="0.25">
      <c r="A87" s="29" t="s">
        <v>386</v>
      </c>
      <c r="B87" s="37" t="str">
        <f>'Risk Master'!C87&amp;"-"&amp;'Risk Master'!D87</f>
        <v>Thunderstorms, Tornados &amp; Hail-Germany</v>
      </c>
      <c r="C87" s="29" t="str">
        <f>'Risk Master'!F87</f>
        <v>A25</v>
      </c>
      <c r="D87" s="37" t="str">
        <f>VLOOKUP(C87,'Asset Master'!A:B,2,FALSE)</f>
        <v>Power Plants-Germany</v>
      </c>
      <c r="E87" s="42"/>
      <c r="F87" s="42"/>
      <c r="G87" s="42"/>
      <c r="H87" s="42"/>
      <c r="I87" s="42"/>
      <c r="J87" s="42"/>
      <c r="K87" s="42"/>
      <c r="L87" s="42"/>
      <c r="M87" s="42"/>
      <c r="N87" s="42"/>
    </row>
    <row r="88" spans="1:14" ht="15" customHeight="1" x14ac:dyDescent="0.25">
      <c r="A88" s="29" t="s">
        <v>387</v>
      </c>
      <c r="B88" s="37" t="str">
        <f>'Risk Master'!C88&amp;"-"&amp;'Risk Master'!D88</f>
        <v>Hurricane-Typhoon -Germany</v>
      </c>
      <c r="C88" s="29" t="str">
        <f>'Risk Master'!F88</f>
        <v>A28</v>
      </c>
      <c r="D88" s="37" t="str">
        <f>VLOOKUP(C88,'Asset Master'!A:B,2,FALSE)</f>
        <v>Aircrafts-Germany</v>
      </c>
      <c r="E88" s="42"/>
      <c r="F88" s="42"/>
      <c r="G88" s="42"/>
      <c r="H88" s="42"/>
      <c r="I88" s="42"/>
      <c r="J88" s="42"/>
      <c r="K88" s="42"/>
      <c r="L88" s="42"/>
      <c r="M88" s="42"/>
      <c r="N88" s="42"/>
    </row>
    <row r="89" spans="1:14" ht="15" customHeight="1" x14ac:dyDescent="0.25">
      <c r="A89" s="29" t="s">
        <v>388</v>
      </c>
      <c r="B89" s="37" t="str">
        <f>'Risk Master'!C89&amp;"-"&amp;'Risk Master'!D89</f>
        <v>Earthquake-Germany</v>
      </c>
      <c r="C89" s="29" t="str">
        <f>'Risk Master'!F89</f>
        <v>A28</v>
      </c>
      <c r="D89" s="37" t="str">
        <f>VLOOKUP(C89,'Asset Master'!A:B,2,FALSE)</f>
        <v>Aircrafts-Germany</v>
      </c>
      <c r="E89" s="42"/>
      <c r="F89" s="42"/>
      <c r="G89" s="42"/>
      <c r="H89" s="42"/>
      <c r="I89" s="42"/>
      <c r="J89" s="42"/>
      <c r="K89" s="42"/>
      <c r="L89" s="42"/>
      <c r="M89" s="42"/>
      <c r="N89" s="42"/>
    </row>
    <row r="90" spans="1:14" ht="15" customHeight="1" x14ac:dyDescent="0.25">
      <c r="A90" s="29" t="s">
        <v>389</v>
      </c>
      <c r="B90" s="37" t="str">
        <f>'Risk Master'!C90&amp;"-"&amp;'Risk Master'!D90</f>
        <v>Fire-Germany</v>
      </c>
      <c r="C90" s="29" t="str">
        <f>'Risk Master'!F90</f>
        <v>A28</v>
      </c>
      <c r="D90" s="37" t="str">
        <f>VLOOKUP(C90,'Asset Master'!A:B,2,FALSE)</f>
        <v>Aircrafts-Germany</v>
      </c>
      <c r="E90" s="42"/>
      <c r="F90" s="42"/>
      <c r="G90" s="42"/>
      <c r="H90" s="42"/>
      <c r="I90" s="42"/>
      <c r="J90" s="42"/>
      <c r="K90" s="42"/>
      <c r="L90" s="42"/>
      <c r="M90" s="42"/>
      <c r="N90" s="42"/>
    </row>
    <row r="91" spans="1:14" ht="15" customHeight="1" x14ac:dyDescent="0.25">
      <c r="A91" s="29" t="s">
        <v>390</v>
      </c>
      <c r="B91" s="37" t="str">
        <f>'Risk Master'!C91&amp;"-"&amp;'Risk Master'!D91</f>
        <v>Thunderstorms, Tornados &amp; Hail-Germany</v>
      </c>
      <c r="C91" s="29" t="str">
        <f>'Risk Master'!F91</f>
        <v>A28</v>
      </c>
      <c r="D91" s="37" t="str">
        <f>VLOOKUP(C91,'Asset Master'!A:B,2,FALSE)</f>
        <v>Aircrafts-Germany</v>
      </c>
      <c r="E91" s="42"/>
      <c r="F91" s="42"/>
      <c r="G91" s="42"/>
      <c r="H91" s="42"/>
      <c r="I91" s="42"/>
      <c r="J91" s="42"/>
      <c r="K91" s="42"/>
      <c r="L91" s="42"/>
      <c r="M91" s="42"/>
      <c r="N91" s="42"/>
    </row>
    <row r="92" spans="1:14" ht="15" customHeight="1" x14ac:dyDescent="0.25">
      <c r="A92" s="29" t="s">
        <v>391</v>
      </c>
      <c r="B92" s="37" t="str">
        <f>'Risk Master'!C92&amp;"-"&amp;'Risk Master'!D92</f>
        <v>Hurricane-Typhoon -Germany</v>
      </c>
      <c r="C92" s="29" t="str">
        <f>'Risk Master'!F92</f>
        <v>A30</v>
      </c>
      <c r="D92" s="37" t="str">
        <f>VLOOKUP(C92,'Asset Master'!A:B,2,FALSE)</f>
        <v>Fleets &amp; Cars-Germany</v>
      </c>
      <c r="E92" s="42"/>
      <c r="F92" s="42"/>
      <c r="G92" s="42"/>
      <c r="H92" s="42"/>
      <c r="I92" s="42"/>
      <c r="J92" s="42"/>
      <c r="K92" s="42"/>
      <c r="L92" s="42"/>
      <c r="M92" s="42"/>
      <c r="N92" s="42"/>
    </row>
    <row r="93" spans="1:14" ht="15" customHeight="1" x14ac:dyDescent="0.25">
      <c r="A93" s="29" t="s">
        <v>392</v>
      </c>
      <c r="B93" s="37" t="str">
        <f>'Risk Master'!C93&amp;"-"&amp;'Risk Master'!D93</f>
        <v>Earthquake-Germany</v>
      </c>
      <c r="C93" s="29" t="str">
        <f>'Risk Master'!F93</f>
        <v>A30</v>
      </c>
      <c r="D93" s="37" t="str">
        <f>VLOOKUP(C93,'Asset Master'!A:B,2,FALSE)</f>
        <v>Fleets &amp; Cars-Germany</v>
      </c>
      <c r="E93" s="42"/>
      <c r="F93" s="42"/>
      <c r="G93" s="42"/>
      <c r="H93" s="42"/>
      <c r="I93" s="42"/>
      <c r="J93" s="42"/>
      <c r="K93" s="42"/>
      <c r="L93" s="42"/>
      <c r="M93" s="42"/>
      <c r="N93" s="42"/>
    </row>
    <row r="94" spans="1:14" ht="15" customHeight="1" x14ac:dyDescent="0.25">
      <c r="A94" s="29" t="s">
        <v>393</v>
      </c>
      <c r="B94" s="37" t="str">
        <f>'Risk Master'!C94&amp;"-"&amp;'Risk Master'!D94</f>
        <v>Fire-Germany</v>
      </c>
      <c r="C94" s="29" t="str">
        <f>'Risk Master'!F94</f>
        <v>A30</v>
      </c>
      <c r="D94" s="37" t="str">
        <f>VLOOKUP(C94,'Asset Master'!A:B,2,FALSE)</f>
        <v>Fleets &amp; Cars-Germany</v>
      </c>
      <c r="E94" s="42"/>
      <c r="F94" s="42"/>
      <c r="G94" s="42"/>
      <c r="H94" s="42"/>
      <c r="I94" s="42"/>
      <c r="J94" s="42"/>
      <c r="K94" s="42"/>
      <c r="L94" s="42"/>
      <c r="M94" s="42"/>
      <c r="N94" s="42"/>
    </row>
    <row r="95" spans="1:14" ht="15" customHeight="1" x14ac:dyDescent="0.25">
      <c r="A95" s="29" t="s">
        <v>394</v>
      </c>
      <c r="B95" s="37" t="str">
        <f>'Risk Master'!C95&amp;"-"&amp;'Risk Master'!D95</f>
        <v>Thunderstorms, Tornados &amp; Hail-Germany</v>
      </c>
      <c r="C95" s="29" t="str">
        <f>'Risk Master'!F95</f>
        <v>A30</v>
      </c>
      <c r="D95" s="37" t="str">
        <f>VLOOKUP(C95,'Asset Master'!A:B,2,FALSE)</f>
        <v>Fleets &amp; Cars-Germany</v>
      </c>
      <c r="E95" s="42"/>
      <c r="F95" s="42"/>
      <c r="G95" s="42"/>
      <c r="H95" s="42"/>
      <c r="I95" s="42"/>
      <c r="J95" s="42"/>
      <c r="K95" s="42"/>
      <c r="L95" s="42"/>
      <c r="M95" s="42"/>
      <c r="N95" s="42"/>
    </row>
    <row r="96" spans="1:14" ht="15" customHeight="1" x14ac:dyDescent="0.25">
      <c r="A96" s="29" t="s">
        <v>395</v>
      </c>
      <c r="B96" s="37" t="str">
        <f>'Risk Master'!C96&amp;"-"&amp;'Risk Master'!D96</f>
        <v>Hurricane-Typhoon -Manila</v>
      </c>
      <c r="C96" s="29" t="str">
        <f>'Risk Master'!F96</f>
        <v>A34</v>
      </c>
      <c r="D96" s="37" t="str">
        <f>VLOOKUP(C96,'Asset Master'!A:B,2,FALSE)</f>
        <v>Property (Office Locations)-Manila</v>
      </c>
      <c r="E96" s="42"/>
      <c r="F96" s="42"/>
      <c r="G96" s="42"/>
      <c r="H96" s="42"/>
      <c r="I96" s="42"/>
      <c r="J96" s="42"/>
      <c r="K96" s="42"/>
      <c r="L96" s="42"/>
      <c r="M96" s="42"/>
      <c r="N96" s="42"/>
    </row>
    <row r="97" spans="1:14" ht="15" customHeight="1" x14ac:dyDescent="0.25">
      <c r="A97" s="29" t="s">
        <v>396</v>
      </c>
      <c r="B97" s="37" t="str">
        <f>'Risk Master'!C97&amp;"-"&amp;'Risk Master'!D97</f>
        <v>Earthquake-Manila</v>
      </c>
      <c r="C97" s="29" t="str">
        <f>'Risk Master'!F97</f>
        <v>A34</v>
      </c>
      <c r="D97" s="37" t="str">
        <f>VLOOKUP(C97,'Asset Master'!A:B,2,FALSE)</f>
        <v>Property (Office Locations)-Manila</v>
      </c>
      <c r="E97" s="42"/>
      <c r="F97" s="42"/>
      <c r="G97" s="42"/>
      <c r="H97" s="42"/>
      <c r="I97" s="42"/>
      <c r="J97" s="42"/>
      <c r="K97" s="42"/>
      <c r="L97" s="42"/>
      <c r="M97" s="42"/>
      <c r="N97" s="42"/>
    </row>
    <row r="98" spans="1:14" ht="15" customHeight="1" x14ac:dyDescent="0.25">
      <c r="A98" s="29" t="s">
        <v>397</v>
      </c>
      <c r="B98" s="37" t="str">
        <f>'Risk Master'!C98&amp;"-"&amp;'Risk Master'!D98</f>
        <v>Fire-Manila</v>
      </c>
      <c r="C98" s="29" t="str">
        <f>'Risk Master'!F98</f>
        <v>A34</v>
      </c>
      <c r="D98" s="37" t="str">
        <f>VLOOKUP(C98,'Asset Master'!A:B,2,FALSE)</f>
        <v>Property (Office Locations)-Manila</v>
      </c>
      <c r="E98" s="42"/>
      <c r="F98" s="42"/>
      <c r="G98" s="42"/>
      <c r="H98" s="42"/>
      <c r="I98" s="42"/>
      <c r="J98" s="42"/>
      <c r="K98" s="42"/>
      <c r="L98" s="42"/>
      <c r="M98" s="42"/>
      <c r="N98" s="42"/>
    </row>
    <row r="99" spans="1:14" ht="15" customHeight="1" x14ac:dyDescent="0.25">
      <c r="A99" s="29" t="s">
        <v>398</v>
      </c>
      <c r="B99" s="37" t="str">
        <f>'Risk Master'!C99&amp;"-"&amp;'Risk Master'!D99</f>
        <v>Earthquake-Manila</v>
      </c>
      <c r="C99" s="29" t="str">
        <f>'Risk Master'!F99</f>
        <v>A33</v>
      </c>
      <c r="D99" s="37" t="str">
        <f>VLOOKUP(C99,'Asset Master'!A:B,2,FALSE)</f>
        <v>Pipelines-Manila</v>
      </c>
      <c r="E99" s="42"/>
      <c r="F99" s="42"/>
      <c r="G99" s="42"/>
      <c r="H99" s="42"/>
      <c r="I99" s="42"/>
      <c r="J99" s="42"/>
      <c r="K99" s="42"/>
      <c r="L99" s="42"/>
      <c r="M99" s="42"/>
      <c r="N99" s="42"/>
    </row>
    <row r="100" spans="1:14" ht="15" customHeight="1" x14ac:dyDescent="0.25">
      <c r="A100" s="29" t="s">
        <v>399</v>
      </c>
      <c r="B100" s="37" t="str">
        <f>'Risk Master'!C100&amp;"-"&amp;'Risk Master'!D100</f>
        <v>Fire-Manila</v>
      </c>
      <c r="C100" s="29" t="str">
        <f>'Risk Master'!F100</f>
        <v>A33</v>
      </c>
      <c r="D100" s="37" t="str">
        <f>VLOOKUP(C100,'Asset Master'!A:B,2,FALSE)</f>
        <v>Pipelines-Manila</v>
      </c>
      <c r="E100" s="42"/>
      <c r="F100" s="42"/>
      <c r="G100" s="42"/>
      <c r="H100" s="42"/>
      <c r="I100" s="42"/>
      <c r="J100" s="42"/>
      <c r="K100" s="42"/>
      <c r="L100" s="42"/>
      <c r="M100" s="42"/>
      <c r="N100" s="42"/>
    </row>
    <row r="101" spans="1:14" ht="15" customHeight="1" x14ac:dyDescent="0.25">
      <c r="A101" s="29" t="s">
        <v>400</v>
      </c>
      <c r="B101" s="37" t="str">
        <f>'Risk Master'!C101&amp;"-"&amp;'Risk Master'!D101</f>
        <v>Hurricane-Typhoon -Manila</v>
      </c>
      <c r="C101" s="29" t="str">
        <f>'Risk Master'!F101</f>
        <v>A36</v>
      </c>
      <c r="D101" s="37" t="str">
        <f>VLOOKUP(C101,'Asset Master'!A:B,2,FALSE)</f>
        <v>Warehouse &amp; Cold Storage-Manila</v>
      </c>
      <c r="E101" s="42"/>
      <c r="F101" s="42"/>
      <c r="G101" s="42"/>
      <c r="H101" s="42"/>
      <c r="I101" s="42"/>
      <c r="J101" s="42"/>
      <c r="K101" s="42"/>
      <c r="L101" s="42"/>
      <c r="M101" s="42"/>
      <c r="N101" s="42"/>
    </row>
    <row r="102" spans="1:14" ht="15" customHeight="1" x14ac:dyDescent="0.25">
      <c r="A102" s="29" t="s">
        <v>404</v>
      </c>
      <c r="B102" s="37" t="str">
        <f>'Risk Master'!C102&amp;"-"&amp;'Risk Master'!D102</f>
        <v>Earthquake-Manila</v>
      </c>
      <c r="C102" s="29" t="str">
        <f>'Risk Master'!F102</f>
        <v>A38</v>
      </c>
      <c r="D102" s="37" t="str">
        <f>VLOOKUP(C102,'Asset Master'!A:B,2,FALSE)</f>
        <v>Supermarkets &amp; Malls-Manila</v>
      </c>
      <c r="E102" s="42"/>
      <c r="F102" s="42"/>
      <c r="G102" s="42"/>
      <c r="H102" s="42"/>
      <c r="I102" s="42"/>
      <c r="J102" s="42"/>
      <c r="K102" s="42"/>
      <c r="L102" s="42"/>
      <c r="M102" s="42"/>
      <c r="N102" s="42"/>
    </row>
    <row r="103" spans="1:14" ht="15" customHeight="1" x14ac:dyDescent="0.25">
      <c r="A103" s="29" t="s">
        <v>406</v>
      </c>
      <c r="B103" s="37" t="str">
        <f>'Risk Master'!C103&amp;"-"&amp;'Risk Master'!D103</f>
        <v>Fire-Manila</v>
      </c>
      <c r="C103" s="29" t="str">
        <f>'Risk Master'!F103</f>
        <v>A40</v>
      </c>
      <c r="D103" s="37" t="str">
        <f>VLOOKUP(C103,'Asset Master'!A:B,2,FALSE)</f>
        <v>Power Plants-Manila</v>
      </c>
      <c r="E103" s="42"/>
      <c r="F103" s="42"/>
      <c r="G103" s="42"/>
      <c r="H103" s="42"/>
      <c r="I103" s="42"/>
      <c r="J103" s="42"/>
      <c r="K103" s="42"/>
      <c r="L103" s="42"/>
      <c r="M103" s="42"/>
      <c r="N103" s="42"/>
    </row>
    <row r="104" spans="1:14" ht="15" customHeight="1" x14ac:dyDescent="0.25">
      <c r="A104" s="29" t="s">
        <v>408</v>
      </c>
      <c r="B104" s="37" t="str">
        <f>'Risk Master'!C104&amp;"-"&amp;'Risk Master'!D104</f>
        <v>Hurricane-Typhoon -Manila</v>
      </c>
      <c r="C104" s="29" t="str">
        <f>'Risk Master'!F104</f>
        <v>A43</v>
      </c>
      <c r="D104" s="37" t="str">
        <f>VLOOKUP(C104,'Asset Master'!A:B,2,FALSE)</f>
        <v>Aircrafts-Manila</v>
      </c>
      <c r="E104" s="42"/>
      <c r="F104" s="42"/>
      <c r="G104" s="42"/>
      <c r="H104" s="42"/>
      <c r="I104" s="42"/>
      <c r="J104" s="42"/>
      <c r="K104" s="42"/>
      <c r="L104" s="42"/>
      <c r="M104" s="42"/>
      <c r="N104" s="42"/>
    </row>
    <row r="105" spans="1:14" ht="15" customHeight="1" x14ac:dyDescent="0.25">
      <c r="A105" s="29" t="s">
        <v>410</v>
      </c>
      <c r="B105" s="37" t="str">
        <f>'Risk Master'!C105&amp;"-"&amp;'Risk Master'!D105</f>
        <v>Earthquake-Manila</v>
      </c>
      <c r="C105" s="29" t="str">
        <f>'Risk Master'!F105</f>
        <v>A43</v>
      </c>
      <c r="D105" s="37" t="str">
        <f>VLOOKUP(C105,'Asset Master'!A:B,2,FALSE)</f>
        <v>Aircrafts-Manila</v>
      </c>
      <c r="E105" s="42"/>
      <c r="F105" s="42"/>
      <c r="G105" s="42"/>
      <c r="H105" s="42"/>
      <c r="I105" s="42"/>
      <c r="J105" s="42"/>
      <c r="K105" s="42"/>
      <c r="L105" s="42"/>
      <c r="M105" s="42"/>
      <c r="N105" s="42"/>
    </row>
    <row r="106" spans="1:14" ht="15" customHeight="1" x14ac:dyDescent="0.25">
      <c r="A106" s="29" t="s">
        <v>412</v>
      </c>
      <c r="B106" s="37" t="str">
        <f>'Risk Master'!C106&amp;"-"&amp;'Risk Master'!D106</f>
        <v>Fire-Manila</v>
      </c>
      <c r="C106" s="29" t="str">
        <f>'Risk Master'!F106</f>
        <v>A43</v>
      </c>
      <c r="D106" s="37" t="str">
        <f>VLOOKUP(C106,'Asset Master'!A:B,2,FALSE)</f>
        <v>Aircrafts-Manila</v>
      </c>
      <c r="E106" s="42"/>
      <c r="F106" s="42"/>
      <c r="G106" s="42"/>
      <c r="H106" s="42"/>
      <c r="I106" s="42"/>
      <c r="J106" s="42"/>
      <c r="K106" s="42"/>
      <c r="L106" s="42"/>
      <c r="M106" s="42"/>
      <c r="N106" s="42"/>
    </row>
    <row r="107" spans="1:14" ht="15" customHeight="1" x14ac:dyDescent="0.25">
      <c r="A107" s="29" t="s">
        <v>414</v>
      </c>
      <c r="B107" s="37" t="str">
        <f>'Risk Master'!C107&amp;"-"&amp;'Risk Master'!D107</f>
        <v>Hurricane-Typhoon -Manila</v>
      </c>
      <c r="C107" s="29" t="str">
        <f>'Risk Master'!F107</f>
        <v>A45</v>
      </c>
      <c r="D107" s="37" t="str">
        <f>VLOOKUP(C107,'Asset Master'!A:B,2,FALSE)</f>
        <v>Fleets &amp; Cars-Manila</v>
      </c>
      <c r="E107" s="42"/>
      <c r="F107" s="42"/>
      <c r="G107" s="42"/>
      <c r="H107" s="42"/>
      <c r="I107" s="42"/>
      <c r="J107" s="42"/>
      <c r="K107" s="42"/>
      <c r="L107" s="42"/>
      <c r="M107" s="42"/>
      <c r="N107" s="42"/>
    </row>
    <row r="108" spans="1:14" ht="15" customHeight="1" x14ac:dyDescent="0.25">
      <c r="A108" s="29" t="s">
        <v>416</v>
      </c>
      <c r="B108" s="37" t="str">
        <f>'Risk Master'!C108&amp;"-"&amp;'Risk Master'!D108</f>
        <v>Thunderstorms, Tornados &amp; Hail-San Francisco</v>
      </c>
      <c r="C108" s="29" t="str">
        <f>'Risk Master'!F108</f>
        <v>A47</v>
      </c>
      <c r="D108" s="37" t="str">
        <f>VLOOKUP(C108,'Asset Master'!A:B,2,FALSE)</f>
        <v>Heat Exchanger-San Francisco</v>
      </c>
      <c r="E108" s="42"/>
      <c r="F108" s="42"/>
      <c r="G108" s="42"/>
      <c r="H108" s="42"/>
      <c r="I108" s="42"/>
      <c r="J108" s="42"/>
      <c r="K108" s="42"/>
      <c r="L108" s="42"/>
      <c r="M108" s="42"/>
      <c r="N108" s="42"/>
    </row>
    <row r="109" spans="1:14" ht="15" customHeight="1" x14ac:dyDescent="0.25">
      <c r="A109" s="29" t="s">
        <v>418</v>
      </c>
      <c r="B109" s="37" t="str">
        <f>'Risk Master'!C109&amp;"-"&amp;'Risk Master'!D109</f>
        <v>Hurricane-Typhoon -San Francisco</v>
      </c>
      <c r="C109" s="29" t="str">
        <f>'Risk Master'!F109</f>
        <v>A47</v>
      </c>
      <c r="D109" s="37" t="str">
        <f>VLOOKUP(C109,'Asset Master'!A:B,2,FALSE)</f>
        <v>Heat Exchanger-San Francisco</v>
      </c>
      <c r="E109" s="42"/>
      <c r="F109" s="42"/>
      <c r="G109" s="42"/>
      <c r="H109" s="42"/>
      <c r="I109" s="42"/>
      <c r="J109" s="42"/>
      <c r="K109" s="42"/>
      <c r="L109" s="42"/>
      <c r="M109" s="42"/>
      <c r="N109" s="42"/>
    </row>
    <row r="110" spans="1:14" ht="15" customHeight="1" x14ac:dyDescent="0.25">
      <c r="A110" s="29" t="s">
        <v>420</v>
      </c>
      <c r="B110" s="37" t="str">
        <f>'Risk Master'!C110&amp;"-"&amp;'Risk Master'!D110</f>
        <v>Earthquake-San Francisco</v>
      </c>
      <c r="C110" s="29" t="str">
        <f>'Risk Master'!F110</f>
        <v>A47</v>
      </c>
      <c r="D110" s="37" t="str">
        <f>VLOOKUP(C110,'Asset Master'!A:B,2,FALSE)</f>
        <v>Heat Exchanger-San Francisco</v>
      </c>
      <c r="E110" s="42"/>
      <c r="F110" s="42"/>
      <c r="G110" s="42"/>
      <c r="H110" s="42"/>
      <c r="I110" s="42"/>
      <c r="J110" s="42"/>
      <c r="K110" s="42"/>
      <c r="L110" s="42"/>
      <c r="M110" s="42"/>
      <c r="N110" s="42"/>
    </row>
    <row r="111" spans="1:14" ht="15" customHeight="1" x14ac:dyDescent="0.25">
      <c r="A111" s="29" t="s">
        <v>422</v>
      </c>
      <c r="B111" s="37" t="str">
        <f>'Risk Master'!C111&amp;"-"&amp;'Risk Master'!D111</f>
        <v>Thunderstorms, Tornados &amp; Hail-San Francisco</v>
      </c>
      <c r="C111" s="29" t="str">
        <f>'Risk Master'!F111</f>
        <v>A49</v>
      </c>
      <c r="D111" s="37" t="str">
        <f>VLOOKUP(C111,'Asset Master'!A:B,2,FALSE)</f>
        <v>Property (Office Locations)-San Francisco</v>
      </c>
      <c r="E111" s="42"/>
      <c r="F111" s="42"/>
      <c r="G111" s="42"/>
      <c r="H111" s="42"/>
      <c r="I111" s="42"/>
      <c r="J111" s="42"/>
      <c r="K111" s="42"/>
      <c r="L111" s="42"/>
      <c r="M111" s="42"/>
      <c r="N111" s="42"/>
    </row>
    <row r="112" spans="1:14" ht="15" customHeight="1" x14ac:dyDescent="0.25">
      <c r="A112" s="29" t="s">
        <v>424</v>
      </c>
      <c r="B112" s="37" t="str">
        <f>'Risk Master'!C112&amp;"-"&amp;'Risk Master'!D112</f>
        <v>Hurricane-Typhoon -San Francisco</v>
      </c>
      <c r="C112" s="29" t="str">
        <f>'Risk Master'!F112</f>
        <v>A49</v>
      </c>
      <c r="D112" s="37" t="str">
        <f>VLOOKUP(C112,'Asset Master'!A:B,2,FALSE)</f>
        <v>Property (Office Locations)-San Francisco</v>
      </c>
      <c r="E112" s="42"/>
      <c r="F112" s="42"/>
      <c r="G112" s="42"/>
      <c r="H112" s="42"/>
      <c r="I112" s="42"/>
      <c r="J112" s="42"/>
      <c r="K112" s="42"/>
      <c r="L112" s="42"/>
      <c r="M112" s="42"/>
      <c r="N112" s="42"/>
    </row>
    <row r="113" spans="1:14" ht="15" customHeight="1" x14ac:dyDescent="0.25">
      <c r="A113" s="29" t="s">
        <v>426</v>
      </c>
      <c r="B113" s="37" t="str">
        <f>'Risk Master'!C113&amp;"-"&amp;'Risk Master'!D113</f>
        <v>Earthquake-San Francisco</v>
      </c>
      <c r="C113" s="29" t="str">
        <f>'Risk Master'!F113</f>
        <v>A49</v>
      </c>
      <c r="D113" s="37" t="str">
        <f>VLOOKUP(C113,'Asset Master'!A:B,2,FALSE)</f>
        <v>Property (Office Locations)-San Francisco</v>
      </c>
      <c r="E113" s="42"/>
      <c r="F113" s="42"/>
      <c r="G113" s="42"/>
      <c r="H113" s="42"/>
      <c r="I113" s="42"/>
      <c r="J113" s="42"/>
      <c r="K113" s="42"/>
      <c r="L113" s="42"/>
      <c r="M113" s="42"/>
      <c r="N113" s="42"/>
    </row>
    <row r="114" spans="1:14" ht="15" customHeight="1" x14ac:dyDescent="0.25">
      <c r="A114" s="29" t="s">
        <v>428</v>
      </c>
      <c r="B114" s="37" t="str">
        <f>'Risk Master'!C114&amp;"-"&amp;'Risk Master'!D114</f>
        <v>Thunderstorms, Tornados &amp; Hail-San Francisco</v>
      </c>
      <c r="C114" s="29" t="str">
        <f>'Risk Master'!F114</f>
        <v>A53</v>
      </c>
      <c r="D114" s="37" t="str">
        <f>VLOOKUP(C114,'Asset Master'!A:B,2,FALSE)</f>
        <v>Supermarkets &amp; Malls-San Francisco</v>
      </c>
      <c r="E114" s="42"/>
      <c r="F114" s="42"/>
      <c r="G114" s="42"/>
      <c r="H114" s="42"/>
      <c r="I114" s="42"/>
      <c r="J114" s="42"/>
      <c r="K114" s="42"/>
      <c r="L114" s="42"/>
      <c r="M114" s="42"/>
      <c r="N114" s="42"/>
    </row>
    <row r="115" spans="1:14" ht="15" customHeight="1" x14ac:dyDescent="0.25">
      <c r="A115" s="29" t="s">
        <v>430</v>
      </c>
      <c r="B115" s="37" t="str">
        <f>'Risk Master'!C115&amp;"-"&amp;'Risk Master'!D115</f>
        <v>Hurricane-Typhoon -San Francisco</v>
      </c>
      <c r="C115" s="29" t="str">
        <f>'Risk Master'!F115</f>
        <v>A53</v>
      </c>
      <c r="D115" s="37" t="str">
        <f>VLOOKUP(C115,'Asset Master'!A:B,2,FALSE)</f>
        <v>Supermarkets &amp; Malls-San Francisco</v>
      </c>
      <c r="E115" s="42"/>
      <c r="F115" s="42"/>
      <c r="G115" s="42"/>
      <c r="H115" s="42"/>
      <c r="I115" s="42"/>
      <c r="J115" s="42"/>
      <c r="K115" s="42"/>
      <c r="L115" s="42"/>
      <c r="M115" s="42"/>
      <c r="N115" s="42"/>
    </row>
    <row r="116" spans="1:14" ht="15" customHeight="1" x14ac:dyDescent="0.25">
      <c r="A116" s="29" t="s">
        <v>432</v>
      </c>
      <c r="B116" s="37" t="str">
        <f>'Risk Master'!C116&amp;"-"&amp;'Risk Master'!D116</f>
        <v>Earthquake-San Francisco</v>
      </c>
      <c r="C116" s="29" t="str">
        <f>'Risk Master'!F116</f>
        <v>A53</v>
      </c>
      <c r="D116" s="37" t="str">
        <f>VLOOKUP(C116,'Asset Master'!A:B,2,FALSE)</f>
        <v>Supermarkets &amp; Malls-San Francisco</v>
      </c>
      <c r="E116" s="42"/>
      <c r="F116" s="42"/>
      <c r="G116" s="42"/>
      <c r="H116" s="42"/>
      <c r="I116" s="42"/>
      <c r="J116" s="42"/>
      <c r="K116" s="42"/>
      <c r="L116" s="42"/>
      <c r="M116" s="42"/>
      <c r="N116" s="42"/>
    </row>
    <row r="117" spans="1:14" ht="15" customHeight="1" x14ac:dyDescent="0.25">
      <c r="A117" s="29" t="s">
        <v>434</v>
      </c>
      <c r="B117" s="37" t="str">
        <f>'Risk Master'!C117&amp;"-"&amp;'Risk Master'!D117</f>
        <v>Thunderstorms, Tornados &amp; Hail-San Francisco</v>
      </c>
      <c r="C117" s="29" t="str">
        <f>'Risk Master'!F117</f>
        <v>A54</v>
      </c>
      <c r="D117" s="37" t="str">
        <f>VLOOKUP(C117,'Asset Master'!A:B,2,FALSE)</f>
        <v>Mines-San Francisco</v>
      </c>
      <c r="E117" s="42"/>
      <c r="F117" s="42"/>
      <c r="G117" s="42"/>
      <c r="H117" s="42"/>
      <c r="I117" s="42"/>
      <c r="J117" s="42"/>
      <c r="K117" s="42"/>
      <c r="L117" s="42"/>
      <c r="M117" s="42"/>
      <c r="N117" s="42"/>
    </row>
    <row r="118" spans="1:14" ht="15" customHeight="1" x14ac:dyDescent="0.25">
      <c r="A118" s="29" t="s">
        <v>436</v>
      </c>
      <c r="B118" s="37" t="str">
        <f>'Risk Master'!C118&amp;"-"&amp;'Risk Master'!D118</f>
        <v>Hurricane-Typhoon -San Francisco</v>
      </c>
      <c r="C118" s="29" t="str">
        <f>'Risk Master'!F118</f>
        <v>A55</v>
      </c>
      <c r="D118" s="37" t="str">
        <f>VLOOKUP(C118,'Asset Master'!A:B,2,FALSE)</f>
        <v>Power Plants-San Francisco</v>
      </c>
      <c r="E118" s="42"/>
      <c r="F118" s="42"/>
      <c r="G118" s="42"/>
      <c r="H118" s="42"/>
      <c r="I118" s="42"/>
      <c r="J118" s="42"/>
      <c r="K118" s="42"/>
      <c r="L118" s="42"/>
      <c r="M118" s="42"/>
      <c r="N118" s="42"/>
    </row>
    <row r="119" spans="1:14" ht="15" customHeight="1" x14ac:dyDescent="0.25">
      <c r="A119" s="29" t="s">
        <v>438</v>
      </c>
      <c r="B119" s="37" t="str">
        <f>'Risk Master'!C119&amp;"-"&amp;'Risk Master'!D119</f>
        <v>Earthquake-San Francisco</v>
      </c>
      <c r="C119" s="29" t="str">
        <f>'Risk Master'!F119</f>
        <v>A60</v>
      </c>
      <c r="D119" s="37" t="str">
        <f>VLOOKUP(C119,'Asset Master'!A:B,2,FALSE)</f>
        <v>Fleets &amp; Cars-San Francisco</v>
      </c>
      <c r="E119" s="42"/>
      <c r="F119" s="42"/>
      <c r="G119" s="42"/>
      <c r="H119" s="42"/>
      <c r="I119" s="42"/>
      <c r="J119" s="42"/>
      <c r="K119" s="42"/>
      <c r="L119" s="42"/>
      <c r="M119" s="42"/>
      <c r="N119" s="42"/>
    </row>
    <row r="120" spans="1:14" ht="15" customHeight="1" x14ac:dyDescent="0.25">
      <c r="A120" s="29" t="s">
        <v>440</v>
      </c>
      <c r="B120" s="37" t="str">
        <f>'Risk Master'!C120&amp;"-"&amp;'Risk Master'!D120</f>
        <v>Hurricane-Typhoon -San Francisco</v>
      </c>
      <c r="C120" s="29" t="str">
        <f>'Risk Master'!F120</f>
        <v>A58</v>
      </c>
      <c r="D120" s="37" t="str">
        <f>VLOOKUP(C120,'Asset Master'!A:B,2,FALSE)</f>
        <v>Aircrafts-San Francisco</v>
      </c>
      <c r="E120" s="42"/>
      <c r="F120" s="42"/>
      <c r="G120" s="42"/>
      <c r="H120" s="42"/>
      <c r="I120" s="42"/>
      <c r="J120" s="42"/>
      <c r="K120" s="42"/>
      <c r="L120" s="42"/>
      <c r="M120" s="42"/>
      <c r="N120" s="42"/>
    </row>
    <row r="121" spans="1:14" ht="15" customHeight="1" x14ac:dyDescent="0.25">
      <c r="A121" s="29" t="s">
        <v>442</v>
      </c>
      <c r="B121" s="37" t="str">
        <f>'Risk Master'!C121&amp;"-"&amp;'Risk Master'!D121</f>
        <v>Thunderstorms, Tornados &amp; Hail-Calgary</v>
      </c>
      <c r="C121" s="29" t="str">
        <f>'Risk Master'!F121</f>
        <v>A64</v>
      </c>
      <c r="D121" s="37" t="str">
        <f>VLOOKUP(C121,'Asset Master'!A:B,2,FALSE)</f>
        <v>Property (Office Locations)-Calgary</v>
      </c>
      <c r="E121" s="42"/>
      <c r="F121" s="42"/>
      <c r="G121" s="42"/>
      <c r="H121" s="42"/>
      <c r="I121" s="42"/>
      <c r="J121" s="42"/>
      <c r="K121" s="42"/>
      <c r="L121" s="42"/>
      <c r="M121" s="42"/>
      <c r="N121" s="42"/>
    </row>
    <row r="122" spans="1:14" ht="15" customHeight="1" x14ac:dyDescent="0.25">
      <c r="A122" s="29" t="s">
        <v>444</v>
      </c>
      <c r="B122" s="37" t="str">
        <f>'Risk Master'!C122&amp;"-"&amp;'Risk Master'!D122</f>
        <v>Hurricane-Typhoon -Calgary</v>
      </c>
      <c r="C122" s="29" t="str">
        <f>'Risk Master'!F122</f>
        <v>A64</v>
      </c>
      <c r="D122" s="37" t="str">
        <f>VLOOKUP(C122,'Asset Master'!A:B,2,FALSE)</f>
        <v>Property (Office Locations)-Calgary</v>
      </c>
      <c r="E122" s="42"/>
      <c r="F122" s="42"/>
      <c r="G122" s="42"/>
      <c r="H122" s="42"/>
      <c r="I122" s="42"/>
      <c r="J122" s="42"/>
      <c r="K122" s="42"/>
      <c r="L122" s="42"/>
      <c r="M122" s="42"/>
      <c r="N122" s="42"/>
    </row>
    <row r="123" spans="1:14" ht="15" customHeight="1" x14ac:dyDescent="0.25">
      <c r="A123" s="29" t="s">
        <v>446</v>
      </c>
      <c r="B123" s="37" t="str">
        <f>'Risk Master'!C123&amp;"-"&amp;'Risk Master'!D123</f>
        <v>Earthquake-Calgary</v>
      </c>
      <c r="C123" s="29" t="str">
        <f>'Risk Master'!F123</f>
        <v>A64</v>
      </c>
      <c r="D123" s="37" t="str">
        <f>VLOOKUP(C123,'Asset Master'!A:B,2,FALSE)</f>
        <v>Property (Office Locations)-Calgary</v>
      </c>
      <c r="E123" s="42"/>
      <c r="F123" s="42"/>
      <c r="G123" s="42"/>
      <c r="H123" s="42"/>
      <c r="I123" s="42"/>
      <c r="J123" s="42"/>
      <c r="K123" s="42"/>
      <c r="L123" s="42"/>
      <c r="M123" s="42"/>
      <c r="N123" s="42"/>
    </row>
    <row r="124" spans="1:14" ht="15" customHeight="1" x14ac:dyDescent="0.25">
      <c r="A124" s="29" t="s">
        <v>448</v>
      </c>
      <c r="B124" s="37" t="str">
        <f>'Risk Master'!C124&amp;"-"&amp;'Risk Master'!D124</f>
        <v>Thunderstorms, Tornados &amp; Hail-Calgary</v>
      </c>
      <c r="C124" s="29" t="str">
        <f>'Risk Master'!F124</f>
        <v>A67</v>
      </c>
      <c r="D124" s="37" t="str">
        <f>VLOOKUP(C124,'Asset Master'!A:B,2,FALSE)</f>
        <v>Hotels &amp; Resorts-Calgary</v>
      </c>
      <c r="E124" s="42"/>
      <c r="F124" s="42"/>
      <c r="G124" s="42"/>
      <c r="H124" s="42"/>
      <c r="I124" s="42"/>
      <c r="J124" s="42"/>
      <c r="K124" s="42"/>
      <c r="L124" s="42"/>
      <c r="M124" s="42"/>
      <c r="N124" s="42"/>
    </row>
    <row r="125" spans="1:14" ht="15" customHeight="1" x14ac:dyDescent="0.25">
      <c r="A125" s="29" t="s">
        <v>450</v>
      </c>
      <c r="B125" s="37" t="str">
        <f>'Risk Master'!C125&amp;"-"&amp;'Risk Master'!D125</f>
        <v>Hurricane-Typhoon -Calgary</v>
      </c>
      <c r="C125" s="29" t="str">
        <f>'Risk Master'!F125</f>
        <v>A68</v>
      </c>
      <c r="D125" s="37" t="str">
        <f>VLOOKUP(C125,'Asset Master'!A:B,2,FALSE)</f>
        <v>Supermarkets &amp; Malls-Calgary</v>
      </c>
      <c r="E125" s="42"/>
      <c r="F125" s="42"/>
      <c r="G125" s="42"/>
      <c r="H125" s="42"/>
      <c r="I125" s="42"/>
      <c r="J125" s="42"/>
      <c r="K125" s="42"/>
      <c r="L125" s="42"/>
      <c r="M125" s="42"/>
      <c r="N125" s="42"/>
    </row>
    <row r="126" spans="1:14" ht="15" customHeight="1" x14ac:dyDescent="0.25">
      <c r="A126" s="29" t="s">
        <v>452</v>
      </c>
      <c r="B126" s="37" t="str">
        <f>'Risk Master'!C126&amp;"-"&amp;'Risk Master'!D126</f>
        <v>Earthquake-Calgary</v>
      </c>
      <c r="C126" s="29" t="str">
        <f>'Risk Master'!F126</f>
        <v>A69</v>
      </c>
      <c r="D126" s="37" t="str">
        <f>VLOOKUP(C126,'Asset Master'!A:B,2,FALSE)</f>
        <v>Mines-Calgary</v>
      </c>
      <c r="E126" s="42"/>
      <c r="F126" s="42"/>
      <c r="G126" s="42"/>
      <c r="H126" s="42"/>
      <c r="I126" s="42"/>
      <c r="J126" s="42"/>
      <c r="K126" s="42"/>
      <c r="L126" s="42"/>
      <c r="M126" s="42"/>
      <c r="N126" s="42"/>
    </row>
    <row r="127" spans="1:14" ht="15" customHeight="1" x14ac:dyDescent="0.25">
      <c r="A127" s="29" t="s">
        <v>454</v>
      </c>
      <c r="B127" s="37" t="str">
        <f>'Risk Master'!C127&amp;"-"&amp;'Risk Master'!D127</f>
        <v>Thunderstorms, Tornados &amp; Hail-Calgary</v>
      </c>
      <c r="C127" s="29" t="str">
        <f>'Risk Master'!F127</f>
        <v>A71</v>
      </c>
      <c r="D127" s="37" t="str">
        <f>VLOOKUP(C127,'Asset Master'!A:B,2,FALSE)</f>
        <v>Oil Refineries-Calgary</v>
      </c>
      <c r="E127" s="42"/>
      <c r="F127" s="42"/>
      <c r="G127" s="42"/>
      <c r="H127" s="42"/>
      <c r="I127" s="42"/>
      <c r="J127" s="42"/>
      <c r="K127" s="42"/>
      <c r="L127" s="42"/>
      <c r="M127" s="42"/>
      <c r="N127" s="42"/>
    </row>
    <row r="128" spans="1:14" ht="15" customHeight="1" x14ac:dyDescent="0.25">
      <c r="A128" s="29" t="s">
        <v>456</v>
      </c>
      <c r="B128" s="37" t="str">
        <f>'Risk Master'!C128&amp;"-"&amp;'Risk Master'!D128</f>
        <v>Hurricane-Typhoon -Calgary</v>
      </c>
      <c r="C128" s="29" t="str">
        <f>'Risk Master'!F128</f>
        <v>A72</v>
      </c>
      <c r="D128" s="37" t="str">
        <f>VLOOKUP(C128,'Asset Master'!A:B,2,FALSE)</f>
        <v>Telecom Towers-Calgary</v>
      </c>
      <c r="E128" s="42"/>
      <c r="F128" s="42"/>
      <c r="G128" s="42"/>
      <c r="H128" s="42"/>
      <c r="I128" s="42"/>
      <c r="J128" s="42"/>
      <c r="K128" s="42"/>
      <c r="L128" s="42"/>
      <c r="M128" s="42"/>
      <c r="N128" s="42"/>
    </row>
    <row r="129" spans="1:14" ht="15" customHeight="1" x14ac:dyDescent="0.25">
      <c r="A129" s="29" t="s">
        <v>458</v>
      </c>
      <c r="B129" s="37" t="str">
        <f>'Risk Master'!C129&amp;"-"&amp;'Risk Master'!D129</f>
        <v>Earthquake-Calgary</v>
      </c>
      <c r="C129" s="29" t="str">
        <f>'Risk Master'!F129</f>
        <v>A73</v>
      </c>
      <c r="D129" s="37" t="str">
        <f>VLOOKUP(C129,'Asset Master'!A:B,2,FALSE)</f>
        <v>Aircrafts-Calgary</v>
      </c>
      <c r="E129" s="42"/>
      <c r="F129" s="42"/>
      <c r="G129" s="42"/>
      <c r="H129" s="42"/>
      <c r="I129" s="42"/>
      <c r="J129" s="42"/>
      <c r="K129" s="42"/>
      <c r="L129" s="42"/>
      <c r="M129" s="42"/>
      <c r="N129" s="42"/>
    </row>
    <row r="130" spans="1:14" ht="15" customHeight="1" x14ac:dyDescent="0.25">
      <c r="A130" s="29" t="s">
        <v>460</v>
      </c>
      <c r="B130" s="37" t="str">
        <f>'Risk Master'!C130&amp;"-"&amp;'Risk Master'!D130</f>
        <v>Thunderstorms, Tornados &amp; Hail-Calgary</v>
      </c>
      <c r="C130" s="29" t="str">
        <f>'Risk Master'!F130</f>
        <v>A75</v>
      </c>
      <c r="D130" s="37" t="str">
        <f>VLOOKUP(C130,'Asset Master'!A:B,2,FALSE)</f>
        <v>Fleets &amp; Cars-Calgary</v>
      </c>
      <c r="E130" s="42"/>
      <c r="F130" s="42"/>
      <c r="G130" s="42"/>
      <c r="H130" s="42"/>
      <c r="I130" s="42"/>
      <c r="J130" s="42"/>
      <c r="K130" s="42"/>
      <c r="L130" s="42"/>
      <c r="M130" s="42"/>
      <c r="N130" s="42"/>
    </row>
    <row r="131" spans="1:14" ht="15" customHeight="1" x14ac:dyDescent="0.25">
      <c r="A131" s="29" t="s">
        <v>462</v>
      </c>
      <c r="B131" s="37" t="str">
        <f>'Risk Master'!C131&amp;"-"&amp;'Risk Master'!D131</f>
        <v>Hurricane-Typhoon -Calgary</v>
      </c>
      <c r="C131" s="29" t="str">
        <f>'Risk Master'!F131</f>
        <v>A67</v>
      </c>
      <c r="D131" s="37" t="str">
        <f>VLOOKUP(C131,'Asset Master'!A:B,2,FALSE)</f>
        <v>Hotels &amp; Resorts-Calgary</v>
      </c>
      <c r="E131" s="42"/>
      <c r="F131" s="42"/>
      <c r="G131" s="42"/>
      <c r="H131" s="42"/>
      <c r="I131" s="42"/>
      <c r="J131" s="42"/>
      <c r="K131" s="42"/>
      <c r="L131" s="42"/>
      <c r="M131" s="42"/>
      <c r="N131" s="42"/>
    </row>
    <row r="132" spans="1:14" ht="15" customHeight="1" x14ac:dyDescent="0.25">
      <c r="A132" s="29" t="s">
        <v>464</v>
      </c>
      <c r="B132" s="37" t="str">
        <f>'Risk Master'!C132&amp;"-"&amp;'Risk Master'!D132</f>
        <v>Earthquake-Calgary</v>
      </c>
      <c r="C132" s="29" t="str">
        <f>'Risk Master'!F132</f>
        <v>A68</v>
      </c>
      <c r="D132" s="37" t="str">
        <f>VLOOKUP(C132,'Asset Master'!A:B,2,FALSE)</f>
        <v>Supermarkets &amp; Malls-Calgary</v>
      </c>
      <c r="E132" s="42"/>
      <c r="F132" s="42"/>
      <c r="G132" s="42"/>
      <c r="H132" s="42"/>
      <c r="I132" s="42"/>
      <c r="J132" s="42"/>
      <c r="K132" s="42"/>
      <c r="L132" s="42"/>
      <c r="M132" s="42"/>
      <c r="N132" s="42"/>
    </row>
    <row r="133" spans="1:14" ht="15" customHeight="1" x14ac:dyDescent="0.25">
      <c r="A133" s="29" t="s">
        <v>466</v>
      </c>
      <c r="B133" s="37" t="str">
        <f>'Risk Master'!C133&amp;"-"&amp;'Risk Master'!D133</f>
        <v>Hurricane-Typhoon -Calgary</v>
      </c>
      <c r="C133" s="29" t="str">
        <f>'Risk Master'!F133</f>
        <v>A73</v>
      </c>
      <c r="D133" s="37" t="str">
        <f>VLOOKUP(C133,'Asset Master'!A:B,2,FALSE)</f>
        <v>Aircrafts-Calgary</v>
      </c>
      <c r="E133" s="42"/>
      <c r="F133" s="42"/>
      <c r="G133" s="42"/>
      <c r="H133" s="42"/>
      <c r="I133" s="42"/>
      <c r="J133" s="42"/>
      <c r="K133" s="42"/>
      <c r="L133" s="42"/>
      <c r="M133" s="42"/>
      <c r="N133" s="42"/>
    </row>
    <row r="134" spans="1:14" ht="15" customHeight="1" x14ac:dyDescent="0.25">
      <c r="A134" s="29" t="s">
        <v>468</v>
      </c>
      <c r="B134" s="37" t="str">
        <f>'Risk Master'!C134&amp;"-"&amp;'Risk Master'!D134</f>
        <v>Thunderstorms, Tornados &amp; Tropical storms-Gulf of Mexico</v>
      </c>
      <c r="C134" s="29" t="str">
        <f>'Risk Master'!F134</f>
        <v>A78</v>
      </c>
      <c r="D134" s="37" t="str">
        <f>VLOOKUP(C134,'Asset Master'!A:B,2,FALSE)</f>
        <v>Pipelines-Gulf of Mexico</v>
      </c>
      <c r="E134" s="42"/>
      <c r="F134" s="42"/>
      <c r="G134" s="42"/>
      <c r="H134" s="42"/>
      <c r="I134" s="42"/>
      <c r="J134" s="42"/>
      <c r="K134" s="42"/>
      <c r="L134" s="42"/>
      <c r="M134" s="42"/>
      <c r="N134" s="42"/>
    </row>
    <row r="135" spans="1:14" ht="15" customHeight="1" x14ac:dyDescent="0.25">
      <c r="A135" s="29" t="s">
        <v>470</v>
      </c>
      <c r="B135" s="37" t="str">
        <f>'Risk Master'!C135&amp;"-"&amp;'Risk Master'!D135</f>
        <v>Hurricane-Typhoon -Gulf of Mexico</v>
      </c>
      <c r="C135" s="29" t="str">
        <f>'Risk Master'!F135</f>
        <v>A79</v>
      </c>
      <c r="D135" s="37" t="str">
        <f>VLOOKUP(C135,'Asset Master'!A:B,2,FALSE)</f>
        <v>Property (Office Locations)-Gulf of Mexico</v>
      </c>
      <c r="E135" s="42"/>
      <c r="F135" s="42"/>
      <c r="G135" s="42"/>
      <c r="H135" s="42"/>
      <c r="I135" s="42"/>
      <c r="J135" s="42"/>
      <c r="K135" s="42"/>
      <c r="L135" s="42"/>
      <c r="M135" s="42"/>
      <c r="N135" s="42"/>
    </row>
    <row r="136" spans="1:14" ht="15" customHeight="1" x14ac:dyDescent="0.25">
      <c r="A136" s="29" t="s">
        <v>472</v>
      </c>
      <c r="B136" s="37" t="str">
        <f>'Risk Master'!C136&amp;"-"&amp;'Risk Master'!D136</f>
        <v>Thunderstorms, Tornados &amp; Tropical storms-Gulf of Mexico</v>
      </c>
      <c r="C136" s="29" t="str">
        <f>'Risk Master'!F136</f>
        <v>A81</v>
      </c>
      <c r="D136" s="37" t="str">
        <f>VLOOKUP(C136,'Asset Master'!A:B,2,FALSE)</f>
        <v>Warehouse &amp; Cold Storage-Gulf of Mexico</v>
      </c>
      <c r="E136" s="42"/>
      <c r="F136" s="42"/>
      <c r="G136" s="42"/>
      <c r="H136" s="42"/>
      <c r="I136" s="42"/>
      <c r="J136" s="42"/>
      <c r="K136" s="42"/>
      <c r="L136" s="42"/>
      <c r="M136" s="42"/>
      <c r="N136" s="42"/>
    </row>
    <row r="137" spans="1:14" ht="15" customHeight="1" x14ac:dyDescent="0.25">
      <c r="A137" s="29" t="s">
        <v>474</v>
      </c>
      <c r="B137" s="37" t="str">
        <f>'Risk Master'!C137&amp;"-"&amp;'Risk Master'!D137</f>
        <v>Thunderstorms, Tornados &amp; Tropical storms-Gulf of Mexico</v>
      </c>
      <c r="C137" s="29" t="str">
        <f>'Risk Master'!F137</f>
        <v>A83</v>
      </c>
      <c r="D137" s="37" t="str">
        <f>VLOOKUP(C137,'Asset Master'!A:B,2,FALSE)</f>
        <v>Supermarkets &amp; Malls-Gulf of Mexico</v>
      </c>
      <c r="E137" s="42"/>
      <c r="F137" s="42"/>
      <c r="G137" s="42"/>
      <c r="H137" s="42"/>
      <c r="I137" s="42"/>
      <c r="J137" s="42"/>
      <c r="K137" s="42"/>
      <c r="L137" s="42"/>
      <c r="M137" s="42"/>
      <c r="N137" s="42"/>
    </row>
    <row r="138" spans="1:14" ht="15" customHeight="1" x14ac:dyDescent="0.25">
      <c r="A138" s="29" t="s">
        <v>476</v>
      </c>
      <c r="B138" s="37" t="str">
        <f>'Risk Master'!C138&amp;"-"&amp;'Risk Master'!D138</f>
        <v>Thunderstorms, Tornados &amp; Tropical storms-Gulf of Mexico</v>
      </c>
      <c r="C138" s="29" t="str">
        <f>'Risk Master'!F138</f>
        <v>A88</v>
      </c>
      <c r="D138" s="37" t="str">
        <f>VLOOKUP(C138,'Asset Master'!A:B,2,FALSE)</f>
        <v>Aircrafts-Gulf of Mexico</v>
      </c>
      <c r="E138" s="42"/>
      <c r="F138" s="42"/>
      <c r="G138" s="42"/>
      <c r="H138" s="42"/>
      <c r="I138" s="42"/>
      <c r="J138" s="42"/>
      <c r="K138" s="42"/>
      <c r="L138" s="42"/>
      <c r="M138" s="42"/>
      <c r="N138" s="42"/>
    </row>
    <row r="139" spans="1:14" ht="15" customHeight="1" x14ac:dyDescent="0.25">
      <c r="A139" s="29" t="s">
        <v>671</v>
      </c>
      <c r="B139" s="37" t="str">
        <f>'Risk Master'!C139&amp;"-"&amp;'Risk Master'!D139</f>
        <v>Earthquake-Gulf of Mexico</v>
      </c>
      <c r="C139" s="29" t="str">
        <f>'Risk Master'!F139</f>
        <v>A90</v>
      </c>
      <c r="D139" s="37" t="str">
        <f>VLOOKUP(C139,'Asset Master'!A:B,2,FALSE)</f>
        <v>Fleets &amp; Cars-Gulf of Mexico</v>
      </c>
      <c r="E139" s="42"/>
      <c r="F139" s="42"/>
      <c r="G139" s="42"/>
      <c r="H139" s="42"/>
      <c r="I139" s="42"/>
      <c r="J139" s="42"/>
      <c r="K139" s="42"/>
      <c r="L139" s="42"/>
      <c r="M139" s="42"/>
      <c r="N139" s="42"/>
    </row>
    <row r="140" spans="1:14" ht="15" customHeight="1" x14ac:dyDescent="0.25">
      <c r="A140" s="29" t="s">
        <v>672</v>
      </c>
      <c r="B140" s="37" t="str">
        <f>'Risk Master'!C140&amp;"-"&amp;'Risk Master'!D140</f>
        <v>Thunderstorms, Tornados &amp; Hail-Tokyo</v>
      </c>
      <c r="C140" s="29" t="str">
        <f>'Risk Master'!F140</f>
        <v>A93</v>
      </c>
      <c r="D140" s="37" t="str">
        <f>VLOOKUP(C140,'Asset Master'!A:B,2,FALSE)</f>
        <v>Pipelines-Tokyo</v>
      </c>
      <c r="E140" s="42"/>
      <c r="F140" s="42"/>
      <c r="G140" s="42"/>
      <c r="H140" s="42"/>
      <c r="I140" s="42"/>
      <c r="J140" s="42"/>
      <c r="K140" s="42"/>
      <c r="L140" s="42"/>
      <c r="M140" s="42"/>
      <c r="N140" s="42"/>
    </row>
    <row r="141" spans="1:14" ht="15" customHeight="1" x14ac:dyDescent="0.25">
      <c r="A141" s="29" t="s">
        <v>673</v>
      </c>
      <c r="B141" s="37" t="str">
        <f>'Risk Master'!C141&amp;"-"&amp;'Risk Master'!D141</f>
        <v>Hurricane-Typhoon -Tokyo</v>
      </c>
      <c r="C141" s="29" t="str">
        <f>'Risk Master'!F141</f>
        <v>A93</v>
      </c>
      <c r="D141" s="37" t="str">
        <f>VLOOKUP(C141,'Asset Master'!A:B,2,FALSE)</f>
        <v>Pipelines-Tokyo</v>
      </c>
      <c r="E141" s="42"/>
      <c r="F141" s="42"/>
      <c r="G141" s="42"/>
      <c r="H141" s="42"/>
      <c r="I141" s="42"/>
      <c r="J141" s="42"/>
      <c r="K141" s="42"/>
      <c r="L141" s="42"/>
      <c r="M141" s="42"/>
      <c r="N141" s="42"/>
    </row>
    <row r="142" spans="1:14" ht="15" customHeight="1" x14ac:dyDescent="0.25">
      <c r="A142" s="29" t="s">
        <v>674</v>
      </c>
      <c r="B142" s="37" t="str">
        <f>'Risk Master'!C142&amp;"-"&amp;'Risk Master'!D142</f>
        <v>Earthquake-Tokyo</v>
      </c>
      <c r="C142" s="29" t="str">
        <f>'Risk Master'!F142</f>
        <v>A93</v>
      </c>
      <c r="D142" s="37" t="str">
        <f>VLOOKUP(C142,'Asset Master'!A:B,2,FALSE)</f>
        <v>Pipelines-Tokyo</v>
      </c>
      <c r="E142" s="42"/>
      <c r="F142" s="42"/>
      <c r="G142" s="42"/>
      <c r="H142" s="42"/>
      <c r="I142" s="42"/>
      <c r="J142" s="42"/>
      <c r="K142" s="42"/>
      <c r="L142" s="42"/>
      <c r="M142" s="42"/>
      <c r="N142" s="42"/>
    </row>
    <row r="143" spans="1:14" ht="15" customHeight="1" x14ac:dyDescent="0.25">
      <c r="A143" s="29" t="s">
        <v>675</v>
      </c>
      <c r="B143" s="37" t="str">
        <f>'Risk Master'!C143&amp;"-"&amp;'Risk Master'!D143</f>
        <v>Thunderstorms, Tornados &amp; Hail-Tokyo</v>
      </c>
      <c r="C143" s="29" t="str">
        <f>'Risk Master'!F143</f>
        <v>A94</v>
      </c>
      <c r="D143" s="37" t="str">
        <f>VLOOKUP(C143,'Asset Master'!A:B,2,FALSE)</f>
        <v>Property (Office Locations)-Tokyo</v>
      </c>
      <c r="E143" s="42"/>
      <c r="F143" s="42"/>
      <c r="G143" s="42"/>
      <c r="H143" s="42"/>
      <c r="I143" s="42"/>
      <c r="J143" s="42"/>
      <c r="K143" s="42"/>
      <c r="L143" s="42"/>
      <c r="M143" s="42"/>
      <c r="N143" s="42"/>
    </row>
    <row r="144" spans="1:14" ht="15" customHeight="1" x14ac:dyDescent="0.25">
      <c r="A144" s="29" t="s">
        <v>676</v>
      </c>
      <c r="B144" s="37" t="str">
        <f>'Risk Master'!C144&amp;"-"&amp;'Risk Master'!D144</f>
        <v>Hurricane-Typhoon -Tokyo</v>
      </c>
      <c r="C144" s="29" t="str">
        <f>'Risk Master'!F144</f>
        <v>A94</v>
      </c>
      <c r="D144" s="37" t="str">
        <f>VLOOKUP(C144,'Asset Master'!A:B,2,FALSE)</f>
        <v>Property (Office Locations)-Tokyo</v>
      </c>
      <c r="E144" s="42"/>
      <c r="F144" s="42"/>
      <c r="G144" s="42"/>
      <c r="H144" s="42"/>
      <c r="I144" s="42"/>
      <c r="J144" s="42"/>
      <c r="K144" s="42"/>
      <c r="L144" s="42"/>
      <c r="M144" s="42"/>
      <c r="N144" s="42"/>
    </row>
    <row r="145" spans="1:14" ht="15" customHeight="1" x14ac:dyDescent="0.25">
      <c r="A145" s="29" t="s">
        <v>677</v>
      </c>
      <c r="B145" s="37" t="str">
        <f>'Risk Master'!C145&amp;"-"&amp;'Risk Master'!D145</f>
        <v>Earthquake-Tokyo</v>
      </c>
      <c r="C145" s="29" t="str">
        <f>'Risk Master'!F145</f>
        <v>A98</v>
      </c>
      <c r="D145" s="37" t="str">
        <f>VLOOKUP(C145,'Asset Master'!A:B,2,FALSE)</f>
        <v>Supermarkets &amp; Malls-Tokyo</v>
      </c>
      <c r="E145" s="42"/>
      <c r="F145" s="42"/>
      <c r="G145" s="42"/>
      <c r="H145" s="42"/>
      <c r="I145" s="42"/>
      <c r="J145" s="42"/>
      <c r="K145" s="42"/>
      <c r="L145" s="42"/>
      <c r="M145" s="42"/>
      <c r="N145" s="42"/>
    </row>
    <row r="146" spans="1:14" ht="15" customHeight="1" x14ac:dyDescent="0.25">
      <c r="A146" s="29" t="s">
        <v>678</v>
      </c>
      <c r="B146" s="37" t="str">
        <f>'Risk Master'!C146&amp;"-"&amp;'Risk Master'!D146</f>
        <v>Thunderstorms, Tornados &amp; Hail-Tokyo</v>
      </c>
      <c r="C146" s="29" t="str">
        <f>'Risk Master'!F146</f>
        <v>A99</v>
      </c>
      <c r="D146" s="37" t="str">
        <f>VLOOKUP(C146,'Asset Master'!A:B,2,FALSE)</f>
        <v>Mines-Tokyo</v>
      </c>
      <c r="E146" s="42"/>
      <c r="F146" s="42"/>
      <c r="G146" s="42"/>
      <c r="H146" s="42"/>
      <c r="I146" s="42"/>
      <c r="J146" s="42"/>
      <c r="K146" s="42"/>
      <c r="L146" s="42"/>
      <c r="M146" s="42"/>
      <c r="N146" s="42"/>
    </row>
    <row r="147" spans="1:14" ht="15" customHeight="1" x14ac:dyDescent="0.25">
      <c r="A147" s="29" t="s">
        <v>679</v>
      </c>
      <c r="B147" s="37" t="str">
        <f>'Risk Master'!C147&amp;"-"&amp;'Risk Master'!D147</f>
        <v>Fire-Tokyo</v>
      </c>
      <c r="C147" s="29" t="str">
        <f>'Risk Master'!F147</f>
        <v>A103</v>
      </c>
      <c r="D147" s="37" t="str">
        <f>VLOOKUP(C147,'Asset Master'!A:B,2,FALSE)</f>
        <v>Aircrafts-Tokyo</v>
      </c>
      <c r="E147" s="42"/>
      <c r="F147" s="42"/>
      <c r="G147" s="42"/>
      <c r="H147" s="42"/>
      <c r="I147" s="42"/>
      <c r="J147" s="42"/>
      <c r="K147" s="42"/>
      <c r="L147" s="42"/>
      <c r="M147" s="42"/>
      <c r="N147" s="42"/>
    </row>
    <row r="148" spans="1:14" ht="15" customHeight="1" x14ac:dyDescent="0.25">
      <c r="A148" s="29" t="s">
        <v>680</v>
      </c>
      <c r="B148" s="37" t="str">
        <f>'Risk Master'!C148&amp;"-"&amp;'Risk Master'!D148</f>
        <v>Earthquake-Tokyo</v>
      </c>
      <c r="C148" s="29" t="str">
        <f>'Risk Master'!F148</f>
        <v>A103</v>
      </c>
      <c r="D148" s="37" t="str">
        <f>VLOOKUP(C148,'Asset Master'!A:B,2,FALSE)</f>
        <v>Aircrafts-Tokyo</v>
      </c>
      <c r="E148" s="42"/>
      <c r="F148" s="42"/>
      <c r="G148" s="42"/>
      <c r="H148" s="42"/>
      <c r="I148" s="42"/>
      <c r="J148" s="42"/>
      <c r="K148" s="42"/>
      <c r="L148" s="42"/>
      <c r="M148" s="42"/>
      <c r="N148" s="42"/>
    </row>
    <row r="149" spans="1:14" ht="15" customHeight="1" x14ac:dyDescent="0.25">
      <c r="A149" s="29" t="s">
        <v>681</v>
      </c>
      <c r="B149" s="37" t="str">
        <f>'Risk Master'!C149&amp;"-"&amp;'Risk Master'!D149</f>
        <v>Thunderstorms, Tornados &amp; Hail-Tokyo</v>
      </c>
      <c r="C149" s="29" t="str">
        <f>'Risk Master'!F149</f>
        <v>A105</v>
      </c>
      <c r="D149" s="37" t="str">
        <f>VLOOKUP(C149,'Asset Master'!A:B,2,FALSE)</f>
        <v>Fleets &amp; Cars-Tokyo</v>
      </c>
      <c r="E149" s="42"/>
      <c r="F149" s="42"/>
      <c r="G149" s="42"/>
      <c r="H149" s="42"/>
      <c r="I149" s="42"/>
      <c r="J149" s="42"/>
      <c r="K149" s="42"/>
      <c r="L149" s="42"/>
      <c r="M149" s="42"/>
      <c r="N149" s="42"/>
    </row>
    <row r="150" spans="1:14" ht="15" customHeight="1" x14ac:dyDescent="0.25">
      <c r="A150" s="29" t="s">
        <v>682</v>
      </c>
      <c r="B150" s="37" t="str">
        <f>'Risk Master'!C150&amp;"-"&amp;'Risk Master'!D150</f>
        <v>Hurricane-Typhoon -Tokyo</v>
      </c>
      <c r="C150" s="29" t="str">
        <f>'Risk Master'!F150</f>
        <v>A105</v>
      </c>
      <c r="D150" s="37" t="str">
        <f>VLOOKUP(C150,'Asset Master'!A:B,2,FALSE)</f>
        <v>Fleets &amp; Cars-Tokyo</v>
      </c>
      <c r="E150" s="42"/>
      <c r="F150" s="42"/>
      <c r="G150" s="42"/>
      <c r="H150" s="42"/>
      <c r="I150" s="42"/>
      <c r="J150" s="42"/>
      <c r="K150" s="42"/>
      <c r="L150" s="42"/>
      <c r="M150" s="42"/>
      <c r="N150" s="42"/>
    </row>
    <row r="151" spans="1:14" ht="15" customHeight="1" x14ac:dyDescent="0.25">
      <c r="A151" s="29" t="s">
        <v>683</v>
      </c>
      <c r="B151" s="37" t="str">
        <f>'Risk Master'!C151&amp;"-"&amp;'Risk Master'!D151</f>
        <v>Earthquake-Tokyo</v>
      </c>
      <c r="C151" s="29" t="str">
        <f>'Risk Master'!F151</f>
        <v>A105</v>
      </c>
      <c r="D151" s="37" t="str">
        <f>VLOOKUP(C151,'Asset Master'!A:B,2,FALSE)</f>
        <v>Fleets &amp; Cars-Tokyo</v>
      </c>
      <c r="E151" s="42"/>
      <c r="F151" s="42"/>
      <c r="G151" s="42"/>
      <c r="H151" s="42"/>
      <c r="I151" s="42"/>
      <c r="J151" s="42"/>
      <c r="K151" s="42"/>
      <c r="L151" s="42"/>
      <c r="M151" s="42"/>
      <c r="N151" s="42"/>
    </row>
    <row r="152" spans="1:14" ht="15" customHeight="1" x14ac:dyDescent="0.25">
      <c r="A152" s="29" t="s">
        <v>684</v>
      </c>
      <c r="B152" s="37" t="str">
        <f>'Risk Master'!C152&amp;"-"&amp;'Risk Master'!D152</f>
        <v>Fire-Tokyo</v>
      </c>
      <c r="C152" s="29" t="str">
        <f>'Risk Master'!F152</f>
        <v>A94</v>
      </c>
      <c r="D152" s="37" t="str">
        <f>VLOOKUP(C152,'Asset Master'!A:B,2,FALSE)</f>
        <v>Property (Office Locations)-Tokyo</v>
      </c>
      <c r="E152" s="42"/>
      <c r="F152" s="42"/>
      <c r="G152" s="42"/>
      <c r="H152" s="42"/>
      <c r="I152" s="42"/>
      <c r="J152" s="42"/>
      <c r="K152" s="42"/>
      <c r="L152" s="42"/>
      <c r="M152" s="42"/>
      <c r="N152" s="42"/>
    </row>
    <row r="153" spans="1:14" ht="15" customHeight="1" x14ac:dyDescent="0.25">
      <c r="A153" s="29" t="s">
        <v>685</v>
      </c>
      <c r="B153" s="37" t="str">
        <f>'Risk Master'!C153&amp;"-"&amp;'Risk Master'!D153</f>
        <v>Thunderstorms, Tornados &amp; Hail-Tokyo</v>
      </c>
      <c r="C153" s="29" t="str">
        <f>'Risk Master'!F153</f>
        <v>A98</v>
      </c>
      <c r="D153" s="37" t="str">
        <f>VLOOKUP(C153,'Asset Master'!A:B,2,FALSE)</f>
        <v>Supermarkets &amp; Malls-Tokyo</v>
      </c>
      <c r="E153" s="42"/>
      <c r="F153" s="42"/>
      <c r="G153" s="42"/>
      <c r="H153" s="42"/>
      <c r="I153" s="42"/>
      <c r="J153" s="42"/>
      <c r="K153" s="42"/>
      <c r="L153" s="42"/>
      <c r="M153" s="42"/>
      <c r="N153" s="42"/>
    </row>
    <row r="154" spans="1:14" ht="15" customHeight="1" x14ac:dyDescent="0.25">
      <c r="A154" s="29" t="s">
        <v>686</v>
      </c>
      <c r="B154" s="37" t="str">
        <f>'Risk Master'!C154&amp;"-"&amp;'Risk Master'!D154</f>
        <v>Tropical Storm-Tokyo</v>
      </c>
      <c r="C154" s="29" t="str">
        <f>'Risk Master'!F154</f>
        <v>A99</v>
      </c>
      <c r="D154" s="37" t="str">
        <f>VLOOKUP(C154,'Asset Master'!A:B,2,FALSE)</f>
        <v>Mines-Tokyo</v>
      </c>
      <c r="E154" s="42"/>
      <c r="F154" s="42"/>
      <c r="G154" s="42"/>
      <c r="H154" s="42"/>
      <c r="I154" s="42"/>
      <c r="J154" s="42"/>
      <c r="K154" s="42"/>
      <c r="L154" s="42"/>
      <c r="M154" s="42"/>
      <c r="N154" s="42"/>
    </row>
    <row r="155" spans="1:14" ht="15" customHeight="1" x14ac:dyDescent="0.25">
      <c r="A155" s="29" t="s">
        <v>687</v>
      </c>
      <c r="B155" s="37" t="str">
        <f>'Risk Master'!C155&amp;"-"&amp;'Risk Master'!D155</f>
        <v>Earthquake-Tokyo</v>
      </c>
      <c r="C155" s="29" t="str">
        <f>'Risk Master'!F155</f>
        <v>A98</v>
      </c>
      <c r="D155" s="37" t="str">
        <f>VLOOKUP(C155,'Asset Master'!A:B,2,FALSE)</f>
        <v>Supermarkets &amp; Malls-Tokyo</v>
      </c>
      <c r="E155" s="42"/>
      <c r="F155" s="42"/>
      <c r="G155" s="42"/>
      <c r="H155" s="42"/>
      <c r="I155" s="42"/>
      <c r="J155" s="42"/>
      <c r="K155" s="42"/>
      <c r="L155" s="42"/>
      <c r="M155" s="42"/>
      <c r="N155" s="42"/>
    </row>
    <row r="156" spans="1:14" ht="15" customHeight="1" x14ac:dyDescent="0.25">
      <c r="A156" s="29" t="s">
        <v>688</v>
      </c>
      <c r="B156" s="37" t="str">
        <f>'Risk Master'!C156&amp;"-"&amp;'Risk Master'!D156</f>
        <v>Fire-Tokyo</v>
      </c>
      <c r="C156" s="29" t="str">
        <f>'Risk Master'!F156</f>
        <v>A99</v>
      </c>
      <c r="D156" s="37" t="str">
        <f>VLOOKUP(C156,'Asset Master'!A:B,2,FALSE)</f>
        <v>Mines-Tokyo</v>
      </c>
      <c r="E156" s="42"/>
      <c r="F156" s="42"/>
      <c r="G156" s="42"/>
      <c r="H156" s="42"/>
      <c r="I156" s="42"/>
      <c r="J156" s="42"/>
      <c r="K156" s="42"/>
      <c r="L156" s="42"/>
      <c r="M156" s="42"/>
      <c r="N156" s="42"/>
    </row>
    <row r="157" spans="1:14" ht="15" customHeight="1" x14ac:dyDescent="0.25">
      <c r="A157" s="29" t="s">
        <v>689</v>
      </c>
      <c r="B157" s="37" t="str">
        <f>'Risk Master'!C157&amp;"-"&amp;'Risk Master'!D157</f>
        <v>Fire-Tokyo</v>
      </c>
      <c r="C157" s="29" t="str">
        <f>'Risk Master'!F157</f>
        <v>A98</v>
      </c>
      <c r="D157" s="37" t="str">
        <f>VLOOKUP(C157,'Asset Master'!A:B,2,FALSE)</f>
        <v>Supermarkets &amp; Malls-Tokyo</v>
      </c>
      <c r="E157" s="42"/>
      <c r="F157" s="42"/>
      <c r="G157" s="42"/>
      <c r="H157" s="42"/>
      <c r="I157" s="42"/>
      <c r="J157" s="42"/>
      <c r="K157" s="42"/>
      <c r="L157" s="42"/>
      <c r="M157" s="42"/>
      <c r="N157" s="42"/>
    </row>
    <row r="158" spans="1:14" ht="15" customHeight="1" x14ac:dyDescent="0.25">
      <c r="A158" s="29" t="s">
        <v>690</v>
      </c>
      <c r="B158" s="37" t="str">
        <f>'Risk Master'!C158&amp;"-"&amp;'Risk Master'!D158</f>
        <v>Thunderstorms, Tornados &amp; Tropical storms-Caribbean Islands</v>
      </c>
      <c r="C158" s="29" t="str">
        <f>'Risk Master'!F158</f>
        <v>A109</v>
      </c>
      <c r="D158" s="37" t="str">
        <f>VLOOKUP(C158,'Asset Master'!A:B,2,FALSE)</f>
        <v>Property (Office Locations)-Caribbean Islands</v>
      </c>
      <c r="E158" s="42"/>
      <c r="F158" s="42"/>
      <c r="G158" s="42"/>
      <c r="H158" s="42"/>
      <c r="I158" s="42"/>
      <c r="J158" s="42"/>
      <c r="K158" s="42"/>
      <c r="L158" s="42"/>
      <c r="M158" s="42"/>
      <c r="N158" s="42"/>
    </row>
    <row r="159" spans="1:14" ht="15" customHeight="1" x14ac:dyDescent="0.25">
      <c r="A159" s="29" t="s">
        <v>691</v>
      </c>
      <c r="B159" s="37" t="str">
        <f>'Risk Master'!C159&amp;"-"&amp;'Risk Master'!D159</f>
        <v>Thunderstorms, Tornados &amp; Tropical storms-Caribbean Islands</v>
      </c>
      <c r="C159" s="29" t="str">
        <f>'Risk Master'!F159</f>
        <v>A109</v>
      </c>
      <c r="D159" s="37" t="str">
        <f>VLOOKUP(C159,'Asset Master'!A:B,2,FALSE)</f>
        <v>Property (Office Locations)-Caribbean Islands</v>
      </c>
      <c r="E159" s="42"/>
      <c r="F159" s="42"/>
      <c r="G159" s="42"/>
      <c r="H159" s="42"/>
      <c r="I159" s="42"/>
      <c r="J159" s="42"/>
      <c r="K159" s="42"/>
      <c r="L159" s="42"/>
      <c r="M159" s="42"/>
      <c r="N159" s="42"/>
    </row>
    <row r="160" spans="1:14" ht="15" customHeight="1" x14ac:dyDescent="0.25">
      <c r="A160" s="29" t="s">
        <v>692</v>
      </c>
      <c r="B160" s="37" t="str">
        <f>'Risk Master'!C160&amp;"-"&amp;'Risk Master'!D160</f>
        <v>Thunderstorms, Tornados &amp; Tropical storms-Caribbean Islands</v>
      </c>
      <c r="C160" s="29" t="str">
        <f>'Risk Master'!F160</f>
        <v>A113</v>
      </c>
      <c r="D160" s="37" t="str">
        <f>VLOOKUP(C160,'Asset Master'!A:B,2,FALSE)</f>
        <v>Supermarkets &amp; Malls-Caribbean Islands</v>
      </c>
      <c r="E160" s="42"/>
      <c r="F160" s="42"/>
      <c r="G160" s="42"/>
      <c r="H160" s="42"/>
      <c r="I160" s="42"/>
      <c r="J160" s="42"/>
      <c r="K160" s="42"/>
      <c r="L160" s="42"/>
      <c r="M160" s="42"/>
      <c r="N160" s="42"/>
    </row>
    <row r="161" spans="1:14" ht="15" customHeight="1" x14ac:dyDescent="0.25">
      <c r="A161" s="29" t="s">
        <v>693</v>
      </c>
      <c r="B161" s="37" t="str">
        <f>'Risk Master'!C161&amp;"-"&amp;'Risk Master'!D161</f>
        <v>Earthquake-Caribbean Islands</v>
      </c>
      <c r="C161" s="29" t="str">
        <f>'Risk Master'!F161</f>
        <v>A113</v>
      </c>
      <c r="D161" s="37" t="str">
        <f>VLOOKUP(C161,'Asset Master'!A:B,2,FALSE)</f>
        <v>Supermarkets &amp; Malls-Caribbean Islands</v>
      </c>
      <c r="E161" s="42"/>
      <c r="F161" s="42"/>
      <c r="G161" s="42"/>
      <c r="H161" s="42"/>
      <c r="I161" s="42"/>
      <c r="J161" s="42"/>
      <c r="K161" s="42"/>
      <c r="L161" s="42"/>
      <c r="M161" s="42"/>
      <c r="N161" s="42"/>
    </row>
    <row r="162" spans="1:14" ht="15" customHeight="1" x14ac:dyDescent="0.25">
      <c r="A162" s="29" t="s">
        <v>694</v>
      </c>
      <c r="B162" s="37" t="str">
        <f>'Risk Master'!C162&amp;"-"&amp;'Risk Master'!D162</f>
        <v>Thunderstorms, Tornados &amp; Hail-Caribbean Islands</v>
      </c>
      <c r="C162" s="29" t="str">
        <f>'Risk Master'!F162</f>
        <v>A113</v>
      </c>
      <c r="D162" s="37" t="str">
        <f>VLOOKUP(C162,'Asset Master'!A:B,2,FALSE)</f>
        <v>Supermarkets &amp; Malls-Caribbean Islands</v>
      </c>
      <c r="E162" s="42"/>
      <c r="F162" s="42"/>
      <c r="G162" s="42"/>
      <c r="H162" s="42"/>
      <c r="I162" s="42"/>
      <c r="J162" s="42"/>
      <c r="K162" s="42"/>
      <c r="L162" s="42"/>
      <c r="M162" s="42"/>
      <c r="N162" s="42"/>
    </row>
    <row r="163" spans="1:14" ht="15" customHeight="1" x14ac:dyDescent="0.25">
      <c r="A163" s="29" t="s">
        <v>695</v>
      </c>
      <c r="B163" s="37" t="str">
        <f>'Risk Master'!C163&amp;"-"&amp;'Risk Master'!D163</f>
        <v>Thunderstorms, Tornados &amp; Tropical storms-Caribbean Islands</v>
      </c>
      <c r="C163" s="29" t="str">
        <f>'Risk Master'!F163</f>
        <v>A109</v>
      </c>
      <c r="D163" s="37" t="str">
        <f>VLOOKUP(C163,'Asset Master'!A:B,2,FALSE)</f>
        <v>Property (Office Locations)-Caribbean Islands</v>
      </c>
      <c r="E163" s="42"/>
      <c r="F163" s="42"/>
      <c r="G163" s="42"/>
      <c r="H163" s="42"/>
      <c r="I163" s="42"/>
      <c r="J163" s="42"/>
      <c r="K163" s="42"/>
      <c r="L163" s="42"/>
      <c r="M163" s="42"/>
      <c r="N163" s="42"/>
    </row>
    <row r="164" spans="1:14" ht="15" customHeight="1" x14ac:dyDescent="0.25">
      <c r="A164" s="29" t="s">
        <v>696</v>
      </c>
      <c r="B164" s="37" t="str">
        <f>'Risk Master'!C164&amp;"-"&amp;'Risk Master'!D164</f>
        <v>Earthquake-Caribbean Islands</v>
      </c>
      <c r="C164" s="29" t="str">
        <f>'Risk Master'!F164</f>
        <v>A118</v>
      </c>
      <c r="D164" s="37" t="str">
        <f>VLOOKUP(C164,'Asset Master'!A:B,2,FALSE)</f>
        <v>Aircrafts-Caribbean Islands</v>
      </c>
      <c r="E164" s="42"/>
      <c r="F164" s="42"/>
      <c r="G164" s="42"/>
      <c r="H164" s="42"/>
      <c r="I164" s="42"/>
      <c r="J164" s="42"/>
      <c r="K164" s="42"/>
      <c r="L164" s="42"/>
      <c r="M164" s="42"/>
      <c r="N164" s="42"/>
    </row>
    <row r="165" spans="1:14" ht="15" customHeight="1" x14ac:dyDescent="0.25">
      <c r="A165" s="29" t="s">
        <v>726</v>
      </c>
      <c r="B165" s="37" t="str">
        <f>'Risk Master'!C165&amp;"-"&amp;'Risk Master'!D165</f>
        <v>Hurricane-Typhoon -Caribbean Islands</v>
      </c>
      <c r="C165" s="29" t="str">
        <f>'Risk Master'!F165</f>
        <v>A118</v>
      </c>
      <c r="D165" s="37" t="str">
        <f>VLOOKUP(C165,'Asset Master'!A:B,2,FALSE)</f>
        <v>Aircrafts-Caribbean Islands</v>
      </c>
      <c r="E165" s="42"/>
      <c r="F165" s="42"/>
      <c r="G165" s="42"/>
      <c r="H165" s="42"/>
      <c r="I165" s="42"/>
      <c r="J165" s="42"/>
      <c r="K165" s="42"/>
      <c r="L165" s="42"/>
      <c r="M165" s="42"/>
      <c r="N165" s="42"/>
    </row>
    <row r="166" spans="1:14" ht="15" customHeight="1" x14ac:dyDescent="0.25">
      <c r="A166" s="29" t="s">
        <v>728</v>
      </c>
      <c r="B166" s="37" t="str">
        <f>'Risk Master'!C166&amp;"-"&amp;'Risk Master'!D166</f>
        <v>Thunderstorms, Tornados &amp; Hail-Caribbean Islands</v>
      </c>
      <c r="C166" s="29" t="str">
        <f>'Risk Master'!F166</f>
        <v>A118</v>
      </c>
      <c r="D166" s="37" t="str">
        <f>VLOOKUP(C166,'Asset Master'!A:B,2,FALSE)</f>
        <v>Aircrafts-Caribbean Islands</v>
      </c>
      <c r="E166" s="42"/>
      <c r="F166" s="42"/>
      <c r="G166" s="42"/>
      <c r="H166" s="42"/>
      <c r="I166" s="42"/>
      <c r="J166" s="42"/>
      <c r="K166" s="42"/>
      <c r="L166" s="42"/>
      <c r="M166" s="42"/>
      <c r="N166" s="42"/>
    </row>
    <row r="167" spans="1:14" ht="15" customHeight="1" x14ac:dyDescent="0.25">
      <c r="A167" s="29" t="s">
        <v>730</v>
      </c>
      <c r="B167" s="37" t="str">
        <f>'Risk Master'!C167&amp;"-"&amp;'Risk Master'!D167</f>
        <v>Hurricane-Typhoon -Caribbean Islands</v>
      </c>
      <c r="C167" s="29" t="str">
        <f>'Risk Master'!F167</f>
        <v>A120</v>
      </c>
      <c r="D167" s="37" t="str">
        <f>VLOOKUP(C167,'Asset Master'!A:B,2,FALSE)</f>
        <v>Fleets &amp; Cars-Caribbean Islands</v>
      </c>
      <c r="E167" s="42"/>
      <c r="F167" s="42"/>
      <c r="G167" s="42"/>
      <c r="H167" s="42"/>
      <c r="I167" s="42"/>
      <c r="J167" s="42"/>
      <c r="K167" s="42"/>
      <c r="L167" s="42"/>
      <c r="M167" s="42"/>
      <c r="N167" s="42"/>
    </row>
    <row r="168" spans="1:14" ht="15" customHeight="1" x14ac:dyDescent="0.25">
      <c r="A168" s="29" t="s">
        <v>732</v>
      </c>
      <c r="B168" s="37" t="str">
        <f>'Risk Master'!C168&amp;"-"&amp;'Risk Master'!D168</f>
        <v>Earthquake-Caribbean Islands</v>
      </c>
      <c r="C168" s="29" t="str">
        <f>'Risk Master'!F168</f>
        <v>A120</v>
      </c>
      <c r="D168" s="37" t="str">
        <f>VLOOKUP(C168,'Asset Master'!A:B,2,FALSE)</f>
        <v>Fleets &amp; Cars-Caribbean Islands</v>
      </c>
      <c r="E168" s="42"/>
      <c r="F168" s="42"/>
      <c r="G168" s="42"/>
      <c r="H168" s="42"/>
      <c r="I168" s="42"/>
      <c r="J168" s="42"/>
      <c r="K168" s="42"/>
      <c r="L168" s="42"/>
      <c r="M168" s="42"/>
      <c r="N168" s="42"/>
    </row>
    <row r="169" spans="1:14" ht="15" customHeight="1" x14ac:dyDescent="0.25">
      <c r="A169" s="29" t="s">
        <v>734</v>
      </c>
      <c r="B169" s="37" t="str">
        <f>'Risk Master'!C169&amp;"-"&amp;'Risk Master'!D169</f>
        <v>Fire-Caribbean Islands</v>
      </c>
      <c r="C169" s="29" t="str">
        <f>'Risk Master'!F169</f>
        <v>A120</v>
      </c>
      <c r="D169" s="37" t="str">
        <f>VLOOKUP(C169,'Asset Master'!A:B,2,FALSE)</f>
        <v>Fleets &amp; Cars-Caribbean Islands</v>
      </c>
      <c r="E169" s="42"/>
      <c r="F169" s="42"/>
      <c r="G169" s="42"/>
      <c r="H169" s="42"/>
      <c r="I169" s="42"/>
      <c r="J169" s="42"/>
      <c r="K169" s="42"/>
      <c r="L169" s="42"/>
      <c r="M169" s="42"/>
      <c r="N169" s="42"/>
    </row>
    <row r="170" spans="1:14" ht="15" customHeight="1" x14ac:dyDescent="0.25">
      <c r="A170" s="29" t="s">
        <v>736</v>
      </c>
      <c r="B170" s="37" t="str">
        <f>'Risk Master'!C170&amp;"-"&amp;'Risk Master'!D170</f>
        <v>Tropical Storm-Caribbean Islands</v>
      </c>
      <c r="C170" s="29" t="str">
        <f>'Risk Master'!F170</f>
        <v>A120</v>
      </c>
      <c r="D170" s="37" t="str">
        <f>VLOOKUP(C170,'Asset Master'!A:B,2,FALSE)</f>
        <v>Fleets &amp; Cars-Caribbean Islands</v>
      </c>
      <c r="E170" s="42"/>
      <c r="F170" s="42"/>
      <c r="G170" s="42"/>
      <c r="H170" s="42"/>
      <c r="I170" s="42"/>
      <c r="J170" s="42"/>
      <c r="K170" s="42"/>
      <c r="L170" s="42"/>
      <c r="M170" s="42"/>
      <c r="N170" s="42"/>
    </row>
    <row r="171" spans="1:14" ht="15" customHeight="1" x14ac:dyDescent="0.25">
      <c r="A171" s="29" t="s">
        <v>738</v>
      </c>
      <c r="B171" s="37" t="str">
        <f>'Risk Master'!C171&amp;"-"&amp;'Risk Master'!D171</f>
        <v>Earthquake-Texas</v>
      </c>
      <c r="C171" s="29" t="str">
        <f>'Risk Master'!F171</f>
        <v>A124</v>
      </c>
      <c r="D171" s="37" t="str">
        <f>VLOOKUP(C171,'Asset Master'!A:B,2,FALSE)</f>
        <v>Property (Office Locations)-Texas</v>
      </c>
      <c r="E171" s="42"/>
      <c r="F171" s="42"/>
      <c r="G171" s="42"/>
      <c r="H171" s="42"/>
      <c r="I171" s="42"/>
      <c r="J171" s="42"/>
      <c r="K171" s="42"/>
      <c r="L171" s="42"/>
      <c r="M171" s="42"/>
      <c r="N171" s="42"/>
    </row>
    <row r="172" spans="1:14" ht="15" customHeight="1" x14ac:dyDescent="0.25">
      <c r="A172" s="29" t="s">
        <v>740</v>
      </c>
      <c r="B172" s="37" t="str">
        <f>'Risk Master'!C172&amp;"-"&amp;'Risk Master'!D172</f>
        <v>Thunderstorms, Tornados &amp; Hail-Texas</v>
      </c>
      <c r="C172" s="29" t="str">
        <f>'Risk Master'!F172</f>
        <v>A124</v>
      </c>
      <c r="D172" s="37" t="str">
        <f>VLOOKUP(C172,'Asset Master'!A:B,2,FALSE)</f>
        <v>Property (Office Locations)-Texas</v>
      </c>
      <c r="E172" s="42"/>
      <c r="F172" s="42"/>
      <c r="G172" s="42"/>
      <c r="H172" s="42"/>
      <c r="I172" s="42"/>
      <c r="J172" s="42"/>
      <c r="K172" s="42"/>
      <c r="L172" s="42"/>
      <c r="M172" s="42"/>
      <c r="N172" s="42"/>
    </row>
    <row r="173" spans="1:14" ht="15" customHeight="1" x14ac:dyDescent="0.25">
      <c r="A173" s="29" t="s">
        <v>742</v>
      </c>
      <c r="B173" s="37" t="str">
        <f>'Risk Master'!C173&amp;"-"&amp;'Risk Master'!D173</f>
        <v>Hurricane-Typhoon -Texas</v>
      </c>
      <c r="C173" s="29" t="str">
        <f>'Risk Master'!F173</f>
        <v>A124</v>
      </c>
      <c r="D173" s="37" t="str">
        <f>VLOOKUP(C173,'Asset Master'!A:B,2,FALSE)</f>
        <v>Property (Office Locations)-Texas</v>
      </c>
      <c r="E173" s="42"/>
      <c r="F173" s="42"/>
      <c r="G173" s="42"/>
      <c r="H173" s="42"/>
      <c r="I173" s="42"/>
      <c r="J173" s="42"/>
      <c r="K173" s="42"/>
      <c r="L173" s="42"/>
      <c r="M173" s="42"/>
      <c r="N173" s="42"/>
    </row>
    <row r="174" spans="1:14" ht="15" customHeight="1" x14ac:dyDescent="0.25">
      <c r="A174" s="29" t="s">
        <v>744</v>
      </c>
      <c r="B174" s="37" t="str">
        <f>'Risk Master'!C174&amp;"-"&amp;'Risk Master'!D174</f>
        <v>Earthquake-Texas</v>
      </c>
      <c r="C174" s="29" t="str">
        <f>'Risk Master'!F174</f>
        <v>A127</v>
      </c>
      <c r="D174" s="37" t="str">
        <f>VLOOKUP(C174,'Asset Master'!A:B,2,FALSE)</f>
        <v>Hotels &amp; Resorts-Texas</v>
      </c>
      <c r="E174" s="42"/>
      <c r="F174" s="42"/>
      <c r="G174" s="42"/>
      <c r="H174" s="42"/>
      <c r="I174" s="42"/>
      <c r="J174" s="42"/>
      <c r="K174" s="42"/>
      <c r="L174" s="42"/>
      <c r="M174" s="42"/>
      <c r="N174" s="42"/>
    </row>
    <row r="175" spans="1:14" ht="15" customHeight="1" x14ac:dyDescent="0.25">
      <c r="A175" s="29" t="s">
        <v>746</v>
      </c>
      <c r="B175" s="37" t="str">
        <f>'Risk Master'!C175&amp;"-"&amp;'Risk Master'!D175</f>
        <v>Hurricane-Typhoon -Texas</v>
      </c>
      <c r="C175" s="29" t="str">
        <f>'Risk Master'!F175</f>
        <v>A128</v>
      </c>
      <c r="D175" s="37" t="str">
        <f>VLOOKUP(C175,'Asset Master'!A:B,2,FALSE)</f>
        <v>Supermarkets &amp; Malls-Texas</v>
      </c>
      <c r="E175" s="42"/>
      <c r="F175" s="42"/>
      <c r="G175" s="42"/>
      <c r="H175" s="42"/>
      <c r="I175" s="42"/>
      <c r="J175" s="42"/>
      <c r="K175" s="42"/>
      <c r="L175" s="42"/>
      <c r="M175" s="42"/>
      <c r="N175" s="42"/>
    </row>
    <row r="176" spans="1:14" ht="15" customHeight="1" x14ac:dyDescent="0.25">
      <c r="A176" s="29" t="s">
        <v>748</v>
      </c>
      <c r="B176" s="37" t="str">
        <f>'Risk Master'!C176&amp;"-"&amp;'Risk Master'!D176</f>
        <v>Thunderstorms, Tornados &amp; Hail-Texas</v>
      </c>
      <c r="C176" s="29" t="str">
        <f>'Risk Master'!F176</f>
        <v>A131</v>
      </c>
      <c r="D176" s="37" t="str">
        <f>VLOOKUP(C176,'Asset Master'!A:B,2,FALSE)</f>
        <v>Oil Refineries-Texas</v>
      </c>
      <c r="E176" s="42"/>
      <c r="F176" s="42"/>
      <c r="G176" s="42"/>
      <c r="H176" s="42"/>
      <c r="I176" s="42"/>
      <c r="J176" s="42"/>
      <c r="K176" s="42"/>
      <c r="L176" s="42"/>
      <c r="M176" s="42"/>
      <c r="N176" s="42"/>
    </row>
    <row r="177" spans="1:14" ht="15" customHeight="1" x14ac:dyDescent="0.25">
      <c r="A177" s="29" t="s">
        <v>750</v>
      </c>
      <c r="B177" s="37" t="str">
        <f>'Risk Master'!C177&amp;"-"&amp;'Risk Master'!D177</f>
        <v>Hurricane-Typhoon -Texas</v>
      </c>
      <c r="C177" s="29" t="str">
        <f>'Risk Master'!F177</f>
        <v>A131</v>
      </c>
      <c r="D177" s="37" t="str">
        <f>VLOOKUP(C177,'Asset Master'!A:B,2,FALSE)</f>
        <v>Oil Refineries-Texas</v>
      </c>
      <c r="E177" s="42"/>
      <c r="F177" s="42"/>
      <c r="G177" s="42"/>
      <c r="H177" s="42"/>
      <c r="I177" s="42"/>
      <c r="J177" s="42"/>
      <c r="K177" s="42"/>
      <c r="L177" s="42"/>
      <c r="M177" s="42"/>
      <c r="N177" s="42"/>
    </row>
    <row r="178" spans="1:14" ht="15" customHeight="1" x14ac:dyDescent="0.25">
      <c r="A178" s="29" t="s">
        <v>752</v>
      </c>
      <c r="B178" s="37" t="str">
        <f>'Risk Master'!C178&amp;"-"&amp;'Risk Master'!D178</f>
        <v>Earthquake-Texas</v>
      </c>
      <c r="C178" s="29" t="str">
        <f>'Risk Master'!F178</f>
        <v>A131</v>
      </c>
      <c r="D178" s="37" t="str">
        <f>VLOOKUP(C178,'Asset Master'!A:B,2,FALSE)</f>
        <v>Oil Refineries-Texas</v>
      </c>
      <c r="E178" s="42"/>
      <c r="F178" s="42"/>
      <c r="G178" s="42"/>
      <c r="H178" s="42"/>
      <c r="I178" s="42"/>
      <c r="J178" s="42"/>
      <c r="K178" s="42"/>
      <c r="L178" s="42"/>
      <c r="M178" s="42"/>
      <c r="N178" s="42"/>
    </row>
    <row r="179" spans="1:14" ht="15" customHeight="1" x14ac:dyDescent="0.25">
      <c r="A179" s="29" t="s">
        <v>754</v>
      </c>
      <c r="B179" s="37" t="str">
        <f>'Risk Master'!C179&amp;"-"&amp;'Risk Master'!D179</f>
        <v>Hurricane-Typhoon -Texas</v>
      </c>
      <c r="C179" s="29" t="str">
        <f>'Risk Master'!F179</f>
        <v>A132</v>
      </c>
      <c r="D179" s="37" t="str">
        <f>VLOOKUP(C179,'Asset Master'!A:B,2,FALSE)</f>
        <v>Telecom Towers-Texas</v>
      </c>
      <c r="E179" s="42"/>
      <c r="F179" s="42"/>
      <c r="G179" s="42"/>
      <c r="H179" s="42"/>
      <c r="I179" s="42"/>
      <c r="J179" s="42"/>
      <c r="K179" s="42"/>
      <c r="L179" s="42"/>
      <c r="M179" s="42"/>
      <c r="N179" s="42"/>
    </row>
    <row r="180" spans="1:14" ht="15" customHeight="1" x14ac:dyDescent="0.25">
      <c r="A180" s="29" t="s">
        <v>756</v>
      </c>
      <c r="B180" s="37" t="str">
        <f>'Risk Master'!C180&amp;"-"&amp;'Risk Master'!D180</f>
        <v>Thunderstorms, Tornados &amp; Hail-Texas</v>
      </c>
      <c r="C180" s="29" t="str">
        <f>'Risk Master'!F180</f>
        <v>A132</v>
      </c>
      <c r="D180" s="37" t="str">
        <f>VLOOKUP(C180,'Asset Master'!A:B,2,FALSE)</f>
        <v>Telecom Towers-Texas</v>
      </c>
      <c r="E180" s="42"/>
      <c r="F180" s="42"/>
      <c r="G180" s="42"/>
      <c r="H180" s="42"/>
      <c r="I180" s="42"/>
      <c r="J180" s="42"/>
      <c r="K180" s="42"/>
      <c r="L180" s="42"/>
      <c r="M180" s="42"/>
      <c r="N180" s="42"/>
    </row>
    <row r="181" spans="1:14" ht="15" customHeight="1" x14ac:dyDescent="0.25">
      <c r="A181" s="29" t="s">
        <v>758</v>
      </c>
      <c r="B181" s="37" t="str">
        <f>'Risk Master'!C181&amp;"-"&amp;'Risk Master'!D181</f>
        <v>Hurricane-Typhoon -Texas</v>
      </c>
      <c r="C181" s="29" t="str">
        <f>'Risk Master'!F181</f>
        <v>A133</v>
      </c>
      <c r="D181" s="37" t="str">
        <f>VLOOKUP(C181,'Asset Master'!A:B,2,FALSE)</f>
        <v>Aircrafts-Texas</v>
      </c>
      <c r="E181" s="42"/>
      <c r="F181" s="42"/>
      <c r="G181" s="42"/>
      <c r="H181" s="42"/>
      <c r="I181" s="42"/>
      <c r="J181" s="42"/>
      <c r="K181" s="42"/>
      <c r="L181" s="42"/>
      <c r="M181" s="42"/>
      <c r="N181" s="42"/>
    </row>
    <row r="182" spans="1:14" ht="15" customHeight="1" x14ac:dyDescent="0.25">
      <c r="A182" s="29" t="s">
        <v>760</v>
      </c>
      <c r="B182" s="37" t="str">
        <f>'Risk Master'!C182&amp;"-"&amp;'Risk Master'!D182</f>
        <v>Earthquake-Texas</v>
      </c>
      <c r="C182" s="29" t="str">
        <f>'Risk Master'!F182</f>
        <v>A135</v>
      </c>
      <c r="D182" s="37" t="str">
        <f>VLOOKUP(C182,'Asset Master'!A:B,2,FALSE)</f>
        <v>Fleets &amp; Cars-Texas</v>
      </c>
      <c r="E182" s="42"/>
      <c r="F182" s="42"/>
      <c r="G182" s="42"/>
      <c r="H182" s="42"/>
      <c r="I182" s="42"/>
      <c r="J182" s="42"/>
      <c r="K182" s="42"/>
      <c r="L182" s="42"/>
      <c r="M182" s="42"/>
      <c r="N182" s="42"/>
    </row>
    <row r="183" spans="1:14" ht="15" customHeight="1" x14ac:dyDescent="0.25">
      <c r="A183" s="29" t="s">
        <v>762</v>
      </c>
      <c r="B183" s="37" t="str">
        <f>'Risk Master'!C183&amp;"-"&amp;'Risk Master'!D183</f>
        <v>Hurricane-Typhoon -Texas</v>
      </c>
      <c r="C183" s="29" t="str">
        <f>'Risk Master'!F183</f>
        <v>A135</v>
      </c>
      <c r="D183" s="37" t="str">
        <f>VLOOKUP(C183,'Asset Master'!A:B,2,FALSE)</f>
        <v>Fleets &amp; Cars-Texas</v>
      </c>
      <c r="E183" s="42"/>
      <c r="F183" s="42"/>
      <c r="G183" s="42"/>
      <c r="H183" s="42"/>
      <c r="I183" s="42"/>
      <c r="J183" s="42"/>
      <c r="K183" s="42"/>
      <c r="L183" s="42"/>
      <c r="M183" s="42"/>
      <c r="N183" s="42"/>
    </row>
    <row r="184" spans="1:14" ht="15" customHeight="1" x14ac:dyDescent="0.25">
      <c r="E184" s="42"/>
      <c r="F184" s="42"/>
      <c r="G184" s="42"/>
      <c r="H184" s="42"/>
      <c r="I184" s="42"/>
      <c r="J184" s="42"/>
      <c r="K184" s="42"/>
      <c r="L184" s="42"/>
      <c r="M184" s="42"/>
      <c r="N184" s="4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ET39"/>
  <sheetViews>
    <sheetView workbookViewId="0">
      <selection activeCell="A5" sqref="A5"/>
    </sheetView>
  </sheetViews>
  <sheetFormatPr defaultRowHeight="15" x14ac:dyDescent="0.25"/>
  <cols>
    <col min="1" max="1" width="36.5703125" style="10" bestFit="1" customWidth="1"/>
    <col min="2" max="2" width="9.42578125" style="63" hidden="1" customWidth="1"/>
    <col min="3" max="16384" width="9.140625" style="9"/>
  </cols>
  <sheetData>
    <row r="1" spans="1:150" x14ac:dyDescent="0.25">
      <c r="A1" s="59" t="s">
        <v>916</v>
      </c>
      <c r="B1" s="60" t="s">
        <v>793</v>
      </c>
      <c r="C1" s="61">
        <v>1914</v>
      </c>
      <c r="D1" s="61">
        <v>1915</v>
      </c>
      <c r="E1" s="61">
        <v>1916</v>
      </c>
      <c r="F1" s="61">
        <v>1917</v>
      </c>
      <c r="G1" s="61">
        <v>1918</v>
      </c>
      <c r="H1" s="61">
        <v>1919</v>
      </c>
      <c r="I1" s="61">
        <v>1920</v>
      </c>
      <c r="J1" s="61">
        <v>1921</v>
      </c>
      <c r="K1" s="61">
        <v>1922</v>
      </c>
      <c r="L1" s="61">
        <v>1923</v>
      </c>
      <c r="M1" s="61">
        <v>1924</v>
      </c>
      <c r="N1" s="61">
        <v>1925</v>
      </c>
      <c r="O1" s="61">
        <v>1926</v>
      </c>
      <c r="P1" s="61">
        <v>1927</v>
      </c>
      <c r="Q1" s="61">
        <v>1928</v>
      </c>
      <c r="R1" s="61">
        <v>1929</v>
      </c>
      <c r="S1" s="61">
        <v>1930</v>
      </c>
      <c r="T1" s="61">
        <v>1931</v>
      </c>
      <c r="U1" s="61">
        <v>1932</v>
      </c>
      <c r="V1" s="61">
        <v>1933</v>
      </c>
      <c r="W1" s="61">
        <v>1934</v>
      </c>
      <c r="X1" s="61">
        <v>1935</v>
      </c>
      <c r="Y1" s="61">
        <v>1936</v>
      </c>
      <c r="Z1" s="61">
        <v>1937</v>
      </c>
      <c r="AA1" s="61">
        <v>1938</v>
      </c>
      <c r="AB1" s="61">
        <v>1939</v>
      </c>
      <c r="AC1" s="61">
        <v>1940</v>
      </c>
      <c r="AD1" s="61">
        <v>1941</v>
      </c>
      <c r="AE1" s="61">
        <v>1942</v>
      </c>
      <c r="AF1" s="61">
        <v>1943</v>
      </c>
      <c r="AG1" s="61">
        <v>1944</v>
      </c>
      <c r="AH1" s="61">
        <v>1945</v>
      </c>
      <c r="AI1" s="61">
        <v>1946</v>
      </c>
      <c r="AJ1" s="61">
        <v>1947</v>
      </c>
      <c r="AK1" s="61">
        <v>1948</v>
      </c>
      <c r="AL1" s="61">
        <v>1949</v>
      </c>
      <c r="AM1" s="61">
        <v>1950</v>
      </c>
      <c r="AN1" s="61">
        <v>1951</v>
      </c>
      <c r="AO1" s="61">
        <v>1952</v>
      </c>
      <c r="AP1" s="61">
        <v>1953</v>
      </c>
      <c r="AQ1" s="61">
        <v>1954</v>
      </c>
      <c r="AR1" s="61">
        <v>1955</v>
      </c>
      <c r="AS1" s="61">
        <v>1956</v>
      </c>
      <c r="AT1" s="61">
        <v>1957</v>
      </c>
      <c r="AU1" s="61">
        <v>1958</v>
      </c>
      <c r="AV1" s="61">
        <v>1959</v>
      </c>
      <c r="AW1" s="61">
        <v>1960</v>
      </c>
      <c r="AX1" s="61">
        <v>1961</v>
      </c>
      <c r="AY1" s="61">
        <v>1962</v>
      </c>
      <c r="AZ1" s="61">
        <v>1963</v>
      </c>
      <c r="BA1" s="61">
        <v>1964</v>
      </c>
      <c r="BB1" s="61">
        <v>1965</v>
      </c>
      <c r="BC1" s="61">
        <v>1966</v>
      </c>
      <c r="BD1" s="61">
        <v>1967</v>
      </c>
      <c r="BE1" s="61">
        <v>1968</v>
      </c>
      <c r="BF1" s="61">
        <v>1969</v>
      </c>
      <c r="BG1" s="61">
        <v>1970</v>
      </c>
      <c r="BH1" s="61">
        <v>1971</v>
      </c>
      <c r="BI1" s="61">
        <v>1972</v>
      </c>
      <c r="BJ1" s="61">
        <v>1973</v>
      </c>
      <c r="BK1" s="61">
        <v>1974</v>
      </c>
      <c r="BL1" s="61">
        <v>1975</v>
      </c>
      <c r="BM1" s="61">
        <v>1976</v>
      </c>
      <c r="BN1" s="61">
        <v>1977</v>
      </c>
      <c r="BO1" s="61">
        <v>1978</v>
      </c>
      <c r="BP1" s="61">
        <v>1979</v>
      </c>
      <c r="BQ1" s="61">
        <v>1980</v>
      </c>
      <c r="BR1" s="61">
        <v>1981</v>
      </c>
      <c r="BS1" s="61">
        <v>1982</v>
      </c>
      <c r="BT1" s="61">
        <v>1983</v>
      </c>
      <c r="BU1" s="61">
        <v>1984</v>
      </c>
      <c r="BV1" s="61">
        <v>1985</v>
      </c>
      <c r="BW1" s="61">
        <v>1986</v>
      </c>
      <c r="BX1" s="61">
        <v>1987</v>
      </c>
      <c r="BY1" s="61">
        <v>1988</v>
      </c>
      <c r="BZ1" s="61">
        <v>1989</v>
      </c>
      <c r="CA1" s="61">
        <v>1990</v>
      </c>
      <c r="CB1" s="61">
        <v>1991</v>
      </c>
      <c r="CC1" s="61">
        <v>1992</v>
      </c>
      <c r="CD1" s="61">
        <v>1993</v>
      </c>
      <c r="CE1" s="61">
        <v>1994</v>
      </c>
      <c r="CF1" s="61">
        <v>1995</v>
      </c>
      <c r="CG1" s="61">
        <v>1996</v>
      </c>
      <c r="CH1" s="61">
        <v>1997</v>
      </c>
      <c r="CI1" s="61">
        <v>1998</v>
      </c>
      <c r="CJ1" s="61">
        <v>1999</v>
      </c>
      <c r="CK1" s="61">
        <v>2000</v>
      </c>
      <c r="CL1" s="61">
        <v>2001</v>
      </c>
      <c r="CM1" s="61">
        <v>2002</v>
      </c>
      <c r="CN1" s="61">
        <v>2003</v>
      </c>
      <c r="CO1" s="61">
        <v>2004</v>
      </c>
      <c r="CP1" s="61">
        <v>2005</v>
      </c>
      <c r="CQ1" s="61">
        <v>2006</v>
      </c>
      <c r="CR1" s="61">
        <v>2007</v>
      </c>
      <c r="CS1" s="61">
        <v>2008</v>
      </c>
      <c r="CT1" s="61">
        <v>2009</v>
      </c>
      <c r="CU1" s="61">
        <v>2010</v>
      </c>
      <c r="CV1" s="61">
        <v>2011</v>
      </c>
      <c r="CW1" s="61">
        <v>2012</v>
      </c>
      <c r="CX1" s="61">
        <v>2013</v>
      </c>
    </row>
    <row r="2" spans="1:150" x14ac:dyDescent="0.25">
      <c r="A2" s="57" t="s">
        <v>795</v>
      </c>
      <c r="B2" s="62">
        <v>0.17</v>
      </c>
      <c r="C2" s="58">
        <v>1</v>
      </c>
      <c r="D2" s="58">
        <v>0</v>
      </c>
      <c r="E2" s="58">
        <v>0</v>
      </c>
      <c r="F2" s="58">
        <v>0</v>
      </c>
      <c r="G2" s="58">
        <v>0</v>
      </c>
      <c r="H2" s="58">
        <v>0</v>
      </c>
      <c r="I2" s="58">
        <v>0</v>
      </c>
      <c r="J2" s="58">
        <v>0</v>
      </c>
      <c r="K2" s="58">
        <v>1</v>
      </c>
      <c r="L2" s="58">
        <v>0</v>
      </c>
      <c r="M2" s="58">
        <v>0</v>
      </c>
      <c r="N2" s="58">
        <v>0</v>
      </c>
      <c r="O2" s="58">
        <v>1</v>
      </c>
      <c r="P2" s="58">
        <v>0</v>
      </c>
      <c r="Q2" s="58">
        <v>0</v>
      </c>
      <c r="R2" s="58">
        <v>0</v>
      </c>
      <c r="S2" s="58">
        <v>0</v>
      </c>
      <c r="T2" s="58">
        <v>0</v>
      </c>
      <c r="U2" s="58">
        <v>1</v>
      </c>
      <c r="V2" s="58">
        <v>0</v>
      </c>
      <c r="W2" s="58">
        <v>0</v>
      </c>
      <c r="X2" s="58">
        <v>0</v>
      </c>
      <c r="Y2" s="58">
        <v>0</v>
      </c>
      <c r="Z2" s="58">
        <v>0</v>
      </c>
      <c r="AA2" s="58">
        <v>0</v>
      </c>
      <c r="AB2" s="58">
        <v>0</v>
      </c>
      <c r="AC2" s="58">
        <v>0</v>
      </c>
      <c r="AD2" s="58">
        <v>0</v>
      </c>
      <c r="AE2" s="58">
        <v>0</v>
      </c>
      <c r="AF2" s="58">
        <v>0</v>
      </c>
      <c r="AG2" s="58">
        <v>0</v>
      </c>
      <c r="AH2" s="58">
        <v>0</v>
      </c>
      <c r="AI2" s="58">
        <v>0</v>
      </c>
      <c r="AJ2" s="58">
        <v>0</v>
      </c>
      <c r="AK2" s="58">
        <v>0</v>
      </c>
      <c r="AL2" s="58">
        <v>0</v>
      </c>
      <c r="AM2" s="58">
        <v>0</v>
      </c>
      <c r="AN2" s="58">
        <v>0</v>
      </c>
      <c r="AO2" s="58">
        <v>0</v>
      </c>
      <c r="AP2" s="58">
        <v>0</v>
      </c>
      <c r="AQ2" s="58">
        <v>0</v>
      </c>
      <c r="AR2" s="58">
        <v>0</v>
      </c>
      <c r="AS2" s="58">
        <v>0</v>
      </c>
      <c r="AT2" s="58">
        <v>1</v>
      </c>
      <c r="AU2" s="58">
        <v>0</v>
      </c>
      <c r="AV2" s="58">
        <v>0</v>
      </c>
      <c r="AW2" s="58">
        <v>0</v>
      </c>
      <c r="AX2" s="58">
        <v>1</v>
      </c>
      <c r="AY2" s="58">
        <v>0</v>
      </c>
      <c r="AZ2" s="58">
        <v>0</v>
      </c>
      <c r="BA2" s="58">
        <v>1</v>
      </c>
      <c r="BB2" s="58">
        <v>0</v>
      </c>
      <c r="BC2" s="58">
        <v>0</v>
      </c>
      <c r="BD2" s="58">
        <v>0</v>
      </c>
      <c r="BE2" s="58">
        <v>1</v>
      </c>
      <c r="BF2" s="58">
        <v>0</v>
      </c>
      <c r="BG2" s="58">
        <v>0</v>
      </c>
      <c r="BH2" s="58">
        <v>0</v>
      </c>
      <c r="BI2" s="58">
        <v>1</v>
      </c>
      <c r="BJ2" s="58">
        <v>0</v>
      </c>
      <c r="BK2" s="58">
        <v>0</v>
      </c>
      <c r="BL2" s="58">
        <v>0</v>
      </c>
      <c r="BM2" s="58">
        <v>0</v>
      </c>
      <c r="BN2" s="58">
        <v>0</v>
      </c>
      <c r="BO2" s="58">
        <v>1</v>
      </c>
      <c r="BP2" s="58">
        <v>0</v>
      </c>
      <c r="BQ2" s="58">
        <v>0</v>
      </c>
      <c r="BR2" s="58">
        <v>0</v>
      </c>
      <c r="BS2" s="58">
        <v>0</v>
      </c>
      <c r="BT2" s="58">
        <v>0</v>
      </c>
      <c r="BU2" s="58">
        <v>0</v>
      </c>
      <c r="BV2" s="58">
        <v>1</v>
      </c>
      <c r="BW2" s="58">
        <v>1</v>
      </c>
      <c r="BX2" s="58">
        <v>0</v>
      </c>
      <c r="BY2" s="58">
        <v>0</v>
      </c>
      <c r="BZ2" s="58">
        <v>1</v>
      </c>
      <c r="CA2" s="58">
        <v>0</v>
      </c>
      <c r="CB2" s="58">
        <v>0</v>
      </c>
      <c r="CC2" s="58">
        <v>0</v>
      </c>
      <c r="CD2" s="58">
        <v>1</v>
      </c>
      <c r="CE2" s="58">
        <v>0</v>
      </c>
      <c r="CF2" s="58">
        <v>0</v>
      </c>
      <c r="CG2" s="58">
        <v>0</v>
      </c>
      <c r="CH2" s="58">
        <v>0</v>
      </c>
      <c r="CI2" s="58">
        <v>0</v>
      </c>
      <c r="CJ2" s="58">
        <v>1</v>
      </c>
      <c r="CK2" s="58">
        <v>0</v>
      </c>
      <c r="CL2" s="58">
        <v>0</v>
      </c>
      <c r="CM2" s="58">
        <v>0</v>
      </c>
      <c r="CN2" s="58">
        <v>0</v>
      </c>
      <c r="CO2" s="58">
        <v>0</v>
      </c>
      <c r="CP2" s="58">
        <v>0</v>
      </c>
      <c r="CQ2" s="58">
        <v>0</v>
      </c>
      <c r="CR2" s="58">
        <v>0</v>
      </c>
      <c r="CS2" s="58">
        <v>0</v>
      </c>
      <c r="CT2" s="58">
        <v>1</v>
      </c>
      <c r="CU2" s="58">
        <v>0</v>
      </c>
      <c r="CV2" s="58">
        <v>0</v>
      </c>
      <c r="CW2" s="58">
        <v>1</v>
      </c>
      <c r="CX2" s="58">
        <v>0</v>
      </c>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row>
    <row r="3" spans="1:150" x14ac:dyDescent="0.25">
      <c r="A3" s="57" t="s">
        <v>796</v>
      </c>
      <c r="B3" s="62">
        <v>0.2</v>
      </c>
      <c r="C3" s="58">
        <v>0</v>
      </c>
      <c r="D3" s="58">
        <v>0</v>
      </c>
      <c r="E3" s="58">
        <v>0</v>
      </c>
      <c r="F3" s="58">
        <v>1</v>
      </c>
      <c r="G3" s="58">
        <v>0</v>
      </c>
      <c r="H3" s="58">
        <v>0</v>
      </c>
      <c r="I3" s="58">
        <v>0</v>
      </c>
      <c r="J3" s="58">
        <v>0</v>
      </c>
      <c r="K3" s="58">
        <v>0</v>
      </c>
      <c r="L3" s="58">
        <v>1</v>
      </c>
      <c r="M3" s="58">
        <v>1</v>
      </c>
      <c r="N3" s="58">
        <v>1</v>
      </c>
      <c r="O3" s="58">
        <v>0</v>
      </c>
      <c r="P3" s="58">
        <v>0</v>
      </c>
      <c r="Q3" s="58">
        <v>0</v>
      </c>
      <c r="R3" s="58">
        <v>0</v>
      </c>
      <c r="S3" s="58">
        <v>0</v>
      </c>
      <c r="T3" s="58">
        <v>1</v>
      </c>
      <c r="U3" s="58">
        <v>1</v>
      </c>
      <c r="V3" s="58">
        <v>0</v>
      </c>
      <c r="W3" s="58">
        <v>1</v>
      </c>
      <c r="X3" s="58">
        <v>0</v>
      </c>
      <c r="Y3" s="58">
        <v>0</v>
      </c>
      <c r="Z3" s="58">
        <v>1</v>
      </c>
      <c r="AA3" s="58">
        <v>0</v>
      </c>
      <c r="AB3" s="58">
        <v>0</v>
      </c>
      <c r="AC3" s="58">
        <v>0</v>
      </c>
      <c r="AD3" s="58">
        <v>0</v>
      </c>
      <c r="AE3" s="58">
        <v>0</v>
      </c>
      <c r="AF3" s="58">
        <v>1</v>
      </c>
      <c r="AG3" s="58">
        <v>0</v>
      </c>
      <c r="AH3" s="58">
        <v>0</v>
      </c>
      <c r="AI3" s="58">
        <v>0</v>
      </c>
      <c r="AJ3" s="58">
        <v>0</v>
      </c>
      <c r="AK3" s="58">
        <v>1</v>
      </c>
      <c r="AL3" s="58">
        <v>0</v>
      </c>
      <c r="AM3" s="58">
        <v>0</v>
      </c>
      <c r="AN3" s="58">
        <v>0</v>
      </c>
      <c r="AO3" s="58">
        <v>1</v>
      </c>
      <c r="AP3" s="58">
        <v>1</v>
      </c>
      <c r="AQ3" s="58">
        <v>0</v>
      </c>
      <c r="AR3" s="58">
        <v>0</v>
      </c>
      <c r="AS3" s="58">
        <v>0</v>
      </c>
      <c r="AT3" s="58">
        <v>0</v>
      </c>
      <c r="AU3" s="58">
        <v>1</v>
      </c>
      <c r="AV3" s="58">
        <v>0</v>
      </c>
      <c r="AW3" s="58">
        <v>1</v>
      </c>
      <c r="AX3" s="58">
        <v>1</v>
      </c>
      <c r="AY3" s="58">
        <v>0</v>
      </c>
      <c r="AZ3" s="58">
        <v>1</v>
      </c>
      <c r="BA3" s="58">
        <v>0</v>
      </c>
      <c r="BB3" s="58">
        <v>1</v>
      </c>
      <c r="BC3" s="58">
        <v>0</v>
      </c>
      <c r="BD3" s="58">
        <v>0</v>
      </c>
      <c r="BE3" s="58">
        <v>0</v>
      </c>
      <c r="BF3" s="58">
        <v>0</v>
      </c>
      <c r="BG3" s="58">
        <v>0</v>
      </c>
      <c r="BH3" s="58">
        <v>0</v>
      </c>
      <c r="BI3" s="58">
        <v>0</v>
      </c>
      <c r="BJ3" s="58">
        <v>0</v>
      </c>
      <c r="BK3" s="58">
        <v>0</v>
      </c>
      <c r="BL3" s="58">
        <v>0</v>
      </c>
      <c r="BM3" s="58">
        <v>0</v>
      </c>
      <c r="BN3" s="58">
        <v>0</v>
      </c>
      <c r="BO3" s="58">
        <v>0</v>
      </c>
      <c r="BP3" s="58">
        <v>1</v>
      </c>
      <c r="BQ3" s="58">
        <v>0</v>
      </c>
      <c r="BR3" s="58">
        <v>0</v>
      </c>
      <c r="BS3" s="58">
        <v>0</v>
      </c>
      <c r="BT3" s="58">
        <v>0</v>
      </c>
      <c r="BU3" s="58">
        <v>0</v>
      </c>
      <c r="BV3" s="58">
        <v>0</v>
      </c>
      <c r="BW3" s="58">
        <v>0</v>
      </c>
      <c r="BX3" s="58">
        <v>0</v>
      </c>
      <c r="BY3" s="58">
        <v>0</v>
      </c>
      <c r="BZ3" s="58">
        <v>0</v>
      </c>
      <c r="CA3" s="58">
        <v>1</v>
      </c>
      <c r="CB3" s="58">
        <v>0</v>
      </c>
      <c r="CC3" s="58">
        <v>0</v>
      </c>
      <c r="CD3" s="58">
        <v>0</v>
      </c>
      <c r="CE3" s="58">
        <v>1</v>
      </c>
      <c r="CF3" s="58">
        <v>0</v>
      </c>
      <c r="CG3" s="58">
        <v>1</v>
      </c>
      <c r="CH3" s="58">
        <v>1</v>
      </c>
      <c r="CI3" s="58">
        <v>0</v>
      </c>
      <c r="CJ3" s="58">
        <v>1</v>
      </c>
      <c r="CK3" s="58">
        <v>0</v>
      </c>
      <c r="CL3" s="58">
        <v>1</v>
      </c>
      <c r="CM3" s="58">
        <v>0</v>
      </c>
      <c r="CN3" s="58">
        <v>0</v>
      </c>
      <c r="CO3" s="58">
        <v>0</v>
      </c>
      <c r="CP3" s="58">
        <v>0</v>
      </c>
      <c r="CQ3" s="58">
        <v>0</v>
      </c>
      <c r="CR3" s="58">
        <v>0</v>
      </c>
      <c r="CS3" s="58">
        <v>0</v>
      </c>
      <c r="CT3" s="58">
        <v>0</v>
      </c>
      <c r="CU3" s="58">
        <v>0</v>
      </c>
      <c r="CV3" s="58">
        <v>0</v>
      </c>
      <c r="CW3" s="58">
        <v>0</v>
      </c>
      <c r="CX3" s="58">
        <v>1</v>
      </c>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row>
    <row r="4" spans="1:150" x14ac:dyDescent="0.25">
      <c r="A4" s="57" t="s">
        <v>797</v>
      </c>
      <c r="B4" s="62">
        <v>0.2</v>
      </c>
      <c r="C4" s="58">
        <v>0</v>
      </c>
      <c r="D4" s="58">
        <v>0</v>
      </c>
      <c r="E4" s="58">
        <v>0</v>
      </c>
      <c r="F4" s="58">
        <v>1</v>
      </c>
      <c r="G4" s="58">
        <v>0</v>
      </c>
      <c r="H4" s="58">
        <v>0</v>
      </c>
      <c r="I4" s="58">
        <v>1</v>
      </c>
      <c r="J4" s="58">
        <v>0</v>
      </c>
      <c r="K4" s="58">
        <v>0</v>
      </c>
      <c r="L4" s="58">
        <v>0</v>
      </c>
      <c r="M4" s="58">
        <v>0</v>
      </c>
      <c r="N4" s="58">
        <v>0</v>
      </c>
      <c r="O4" s="58">
        <v>0</v>
      </c>
      <c r="P4" s="58">
        <v>0</v>
      </c>
      <c r="Q4" s="58">
        <v>0</v>
      </c>
      <c r="R4" s="58">
        <v>0</v>
      </c>
      <c r="S4" s="58">
        <v>0</v>
      </c>
      <c r="T4" s="58">
        <v>0</v>
      </c>
      <c r="U4" s="58">
        <v>0</v>
      </c>
      <c r="V4" s="58">
        <v>1</v>
      </c>
      <c r="W4" s="58">
        <v>1</v>
      </c>
      <c r="X4" s="58">
        <v>1</v>
      </c>
      <c r="Y4" s="58">
        <v>0</v>
      </c>
      <c r="Z4" s="58">
        <v>0</v>
      </c>
      <c r="AA4" s="58">
        <v>0</v>
      </c>
      <c r="AB4" s="58">
        <v>0</v>
      </c>
      <c r="AC4" s="58">
        <v>0</v>
      </c>
      <c r="AD4" s="58">
        <v>0</v>
      </c>
      <c r="AE4" s="58">
        <v>0</v>
      </c>
      <c r="AF4" s="58">
        <v>0</v>
      </c>
      <c r="AG4" s="58">
        <v>0</v>
      </c>
      <c r="AH4" s="58">
        <v>0</v>
      </c>
      <c r="AI4" s="58">
        <v>0</v>
      </c>
      <c r="AJ4" s="58">
        <v>0</v>
      </c>
      <c r="AK4" s="58">
        <v>0</v>
      </c>
      <c r="AL4" s="58">
        <v>1</v>
      </c>
      <c r="AM4" s="58">
        <v>0</v>
      </c>
      <c r="AN4" s="58">
        <v>1</v>
      </c>
      <c r="AO4" s="58">
        <v>0</v>
      </c>
      <c r="AP4" s="58">
        <v>1</v>
      </c>
      <c r="AQ4" s="58">
        <v>0</v>
      </c>
      <c r="AR4" s="58">
        <v>0</v>
      </c>
      <c r="AS4" s="58">
        <v>0</v>
      </c>
      <c r="AT4" s="58">
        <v>0</v>
      </c>
      <c r="AU4" s="58">
        <v>0</v>
      </c>
      <c r="AV4" s="58">
        <v>1</v>
      </c>
      <c r="AW4" s="58">
        <v>0</v>
      </c>
      <c r="AX4" s="58">
        <v>0</v>
      </c>
      <c r="AY4" s="58">
        <v>0</v>
      </c>
      <c r="AZ4" s="58">
        <v>0</v>
      </c>
      <c r="BA4" s="58">
        <v>0</v>
      </c>
      <c r="BB4" s="58">
        <v>1</v>
      </c>
      <c r="BC4" s="58">
        <v>1</v>
      </c>
      <c r="BD4" s="58">
        <v>0</v>
      </c>
      <c r="BE4" s="58">
        <v>0</v>
      </c>
      <c r="BF4" s="58">
        <v>0</v>
      </c>
      <c r="BG4" s="58">
        <v>0</v>
      </c>
      <c r="BH4" s="58">
        <v>0</v>
      </c>
      <c r="BI4" s="58">
        <v>0</v>
      </c>
      <c r="BJ4" s="58">
        <v>0</v>
      </c>
      <c r="BK4" s="58">
        <v>0</v>
      </c>
      <c r="BL4" s="58">
        <v>0</v>
      </c>
      <c r="BM4" s="58">
        <v>0</v>
      </c>
      <c r="BN4" s="58">
        <v>1</v>
      </c>
      <c r="BO4" s="58">
        <v>0</v>
      </c>
      <c r="BP4" s="58">
        <v>0</v>
      </c>
      <c r="BQ4" s="58">
        <v>1</v>
      </c>
      <c r="BR4" s="58">
        <v>1</v>
      </c>
      <c r="BS4" s="58">
        <v>0</v>
      </c>
      <c r="BT4" s="58">
        <v>1</v>
      </c>
      <c r="BU4" s="58">
        <v>0</v>
      </c>
      <c r="BV4" s="58">
        <v>1</v>
      </c>
      <c r="BW4" s="58">
        <v>1</v>
      </c>
      <c r="BX4" s="58">
        <v>0</v>
      </c>
      <c r="BY4" s="58">
        <v>0</v>
      </c>
      <c r="BZ4" s="58">
        <v>0</v>
      </c>
      <c r="CA4" s="58">
        <v>0</v>
      </c>
      <c r="CB4" s="58">
        <v>0</v>
      </c>
      <c r="CC4" s="58">
        <v>0</v>
      </c>
      <c r="CD4" s="58">
        <v>0</v>
      </c>
      <c r="CE4" s="58">
        <v>0</v>
      </c>
      <c r="CF4" s="58">
        <v>0</v>
      </c>
      <c r="CG4" s="58">
        <v>0</v>
      </c>
      <c r="CH4" s="58">
        <v>0</v>
      </c>
      <c r="CI4" s="58">
        <v>0</v>
      </c>
      <c r="CJ4" s="58">
        <v>0</v>
      </c>
      <c r="CK4" s="58">
        <v>0</v>
      </c>
      <c r="CL4" s="58">
        <v>0</v>
      </c>
      <c r="CM4" s="58">
        <v>0</v>
      </c>
      <c r="CN4" s="58">
        <v>0</v>
      </c>
      <c r="CO4" s="58">
        <v>1</v>
      </c>
      <c r="CP4" s="58">
        <v>1</v>
      </c>
      <c r="CQ4" s="58">
        <v>0</v>
      </c>
      <c r="CR4" s="58">
        <v>0</v>
      </c>
      <c r="CS4" s="58">
        <v>0</v>
      </c>
      <c r="CT4" s="58">
        <v>1</v>
      </c>
      <c r="CU4" s="58">
        <v>0</v>
      </c>
      <c r="CV4" s="58">
        <v>0</v>
      </c>
      <c r="CW4" s="58">
        <v>0</v>
      </c>
      <c r="CX4" s="58">
        <v>0</v>
      </c>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row>
    <row r="5" spans="1:150" x14ac:dyDescent="0.25">
      <c r="A5" s="37" t="s">
        <v>963</v>
      </c>
      <c r="B5" s="62"/>
      <c r="C5" s="58">
        <v>0</v>
      </c>
      <c r="D5" s="58">
        <v>0</v>
      </c>
      <c r="E5" s="58">
        <v>0</v>
      </c>
      <c r="F5" s="58">
        <v>0</v>
      </c>
      <c r="G5" s="58">
        <v>0</v>
      </c>
      <c r="H5" s="58">
        <v>0</v>
      </c>
      <c r="I5" s="58">
        <v>0</v>
      </c>
      <c r="J5" s="58">
        <v>1</v>
      </c>
      <c r="K5" s="58">
        <v>0</v>
      </c>
      <c r="L5" s="58">
        <v>0</v>
      </c>
      <c r="M5" s="58">
        <v>0</v>
      </c>
      <c r="N5" s="58">
        <v>0</v>
      </c>
      <c r="O5" s="58">
        <v>0</v>
      </c>
      <c r="P5" s="58">
        <v>0</v>
      </c>
      <c r="Q5" s="58">
        <v>0</v>
      </c>
      <c r="R5" s="58">
        <v>0</v>
      </c>
      <c r="S5" s="58">
        <v>0</v>
      </c>
      <c r="T5" s="58">
        <v>0</v>
      </c>
      <c r="U5" s="58">
        <v>0</v>
      </c>
      <c r="V5" s="58">
        <v>0</v>
      </c>
      <c r="W5" s="58">
        <v>0</v>
      </c>
      <c r="X5" s="58">
        <v>0</v>
      </c>
      <c r="Y5" s="58">
        <v>0</v>
      </c>
      <c r="Z5" s="58">
        <v>0</v>
      </c>
      <c r="AA5" s="58">
        <v>0</v>
      </c>
      <c r="AB5" s="58">
        <v>0</v>
      </c>
      <c r="AC5" s="58">
        <v>0</v>
      </c>
      <c r="AD5" s="58">
        <v>0</v>
      </c>
      <c r="AE5" s="58">
        <v>0</v>
      </c>
      <c r="AF5" s="58">
        <v>0</v>
      </c>
      <c r="AG5" s="58">
        <v>0</v>
      </c>
      <c r="AH5" s="58">
        <v>0</v>
      </c>
      <c r="AI5" s="58">
        <v>0</v>
      </c>
      <c r="AJ5" s="58">
        <v>0</v>
      </c>
      <c r="AK5" s="58">
        <v>0</v>
      </c>
      <c r="AL5" s="58">
        <v>0</v>
      </c>
      <c r="AM5" s="58">
        <v>0</v>
      </c>
      <c r="AN5" s="58">
        <v>0</v>
      </c>
      <c r="AO5" s="58">
        <v>0</v>
      </c>
      <c r="AP5" s="58">
        <v>0</v>
      </c>
      <c r="AQ5" s="58">
        <v>0</v>
      </c>
      <c r="AR5" s="58">
        <v>0</v>
      </c>
      <c r="AS5" s="58">
        <v>0</v>
      </c>
      <c r="AT5" s="58">
        <v>0</v>
      </c>
      <c r="AU5" s="58">
        <v>0</v>
      </c>
      <c r="AV5" s="58">
        <v>0</v>
      </c>
      <c r="AW5" s="58">
        <v>0</v>
      </c>
      <c r="AX5" s="58">
        <v>0</v>
      </c>
      <c r="AY5" s="58">
        <v>0</v>
      </c>
      <c r="AZ5" s="58">
        <v>0</v>
      </c>
      <c r="BA5" s="58">
        <v>0</v>
      </c>
      <c r="BB5" s="58">
        <v>0</v>
      </c>
      <c r="BC5" s="58">
        <v>0</v>
      </c>
      <c r="BD5" s="58">
        <v>0</v>
      </c>
      <c r="BE5" s="58">
        <v>0</v>
      </c>
      <c r="BF5" s="58">
        <v>0</v>
      </c>
      <c r="BG5" s="58">
        <v>0</v>
      </c>
      <c r="BH5" s="58">
        <v>0</v>
      </c>
      <c r="BI5" s="58">
        <v>0</v>
      </c>
      <c r="BJ5" s="58">
        <v>0</v>
      </c>
      <c r="BK5" s="58">
        <v>0</v>
      </c>
      <c r="BL5" s="58">
        <v>0</v>
      </c>
      <c r="BM5" s="58">
        <v>0</v>
      </c>
      <c r="BN5" s="58">
        <v>0</v>
      </c>
      <c r="BO5" s="58">
        <v>0</v>
      </c>
      <c r="BP5" s="58">
        <v>0</v>
      </c>
      <c r="BQ5" s="58">
        <v>0</v>
      </c>
      <c r="BR5" s="58">
        <v>0</v>
      </c>
      <c r="BS5" s="58">
        <v>0</v>
      </c>
      <c r="BT5" s="58">
        <v>0</v>
      </c>
      <c r="BU5" s="58">
        <v>0</v>
      </c>
      <c r="BV5" s="58">
        <v>0</v>
      </c>
      <c r="BW5" s="58">
        <v>0</v>
      </c>
      <c r="BX5" s="58">
        <v>0</v>
      </c>
      <c r="BY5" s="58">
        <v>0</v>
      </c>
      <c r="BZ5" s="58">
        <v>0</v>
      </c>
      <c r="CA5" s="58">
        <v>0</v>
      </c>
      <c r="CB5" s="58">
        <v>0</v>
      </c>
      <c r="CC5" s="58">
        <v>0</v>
      </c>
      <c r="CD5" s="58">
        <v>0</v>
      </c>
      <c r="CE5" s="58">
        <v>0</v>
      </c>
      <c r="CF5" s="58">
        <v>0</v>
      </c>
      <c r="CG5" s="58">
        <v>0</v>
      </c>
      <c r="CH5" s="58">
        <v>0</v>
      </c>
      <c r="CI5" s="58">
        <v>0</v>
      </c>
      <c r="CJ5" s="58">
        <v>0</v>
      </c>
      <c r="CK5" s="58">
        <v>0</v>
      </c>
      <c r="CL5" s="58">
        <v>1</v>
      </c>
      <c r="CM5" s="58">
        <v>0</v>
      </c>
      <c r="CN5" s="58">
        <v>0</v>
      </c>
      <c r="CO5" s="58">
        <v>0</v>
      </c>
      <c r="CP5" s="58">
        <v>0</v>
      </c>
      <c r="CQ5" s="58">
        <v>0</v>
      </c>
      <c r="CR5" s="58">
        <v>0</v>
      </c>
      <c r="CS5" s="58">
        <v>0</v>
      </c>
      <c r="CT5" s="58">
        <v>0</v>
      </c>
      <c r="CU5" s="58">
        <v>0</v>
      </c>
      <c r="CV5" s="58">
        <v>1</v>
      </c>
      <c r="CW5" s="58">
        <v>0</v>
      </c>
      <c r="CX5" s="58">
        <v>1</v>
      </c>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row>
    <row r="6" spans="1:150" x14ac:dyDescent="0.25">
      <c r="A6" s="57" t="s">
        <v>798</v>
      </c>
      <c r="B6" s="62">
        <v>0.3</v>
      </c>
      <c r="C6" s="58">
        <v>0</v>
      </c>
      <c r="D6" s="58">
        <v>0</v>
      </c>
      <c r="E6" s="58">
        <v>1</v>
      </c>
      <c r="F6" s="58">
        <v>0</v>
      </c>
      <c r="G6" s="58">
        <v>0</v>
      </c>
      <c r="H6" s="58">
        <v>1</v>
      </c>
      <c r="I6" s="58">
        <v>0</v>
      </c>
      <c r="J6" s="58">
        <v>0</v>
      </c>
      <c r="K6" s="58">
        <v>0</v>
      </c>
      <c r="L6" s="58">
        <v>0</v>
      </c>
      <c r="M6" s="58">
        <v>1</v>
      </c>
      <c r="N6" s="58">
        <v>0</v>
      </c>
      <c r="O6" s="58">
        <v>0</v>
      </c>
      <c r="P6" s="58">
        <v>0</v>
      </c>
      <c r="Q6" s="58">
        <v>0</v>
      </c>
      <c r="R6" s="58">
        <v>0</v>
      </c>
      <c r="S6" s="58">
        <v>0</v>
      </c>
      <c r="T6" s="58">
        <v>0</v>
      </c>
      <c r="U6" s="58">
        <v>0</v>
      </c>
      <c r="V6" s="58">
        <v>0</v>
      </c>
      <c r="W6" s="58">
        <v>1</v>
      </c>
      <c r="X6" s="58">
        <v>0</v>
      </c>
      <c r="Y6" s="58">
        <v>0</v>
      </c>
      <c r="Z6" s="58">
        <v>0</v>
      </c>
      <c r="AA6" s="58">
        <v>1</v>
      </c>
      <c r="AB6" s="58">
        <v>1</v>
      </c>
      <c r="AC6" s="58">
        <v>1</v>
      </c>
      <c r="AD6" s="58">
        <v>0</v>
      </c>
      <c r="AE6" s="58">
        <v>0</v>
      </c>
      <c r="AF6" s="58">
        <v>0</v>
      </c>
      <c r="AG6" s="58">
        <v>0</v>
      </c>
      <c r="AH6" s="58">
        <v>0</v>
      </c>
      <c r="AI6" s="58">
        <v>0</v>
      </c>
      <c r="AJ6" s="58">
        <v>0</v>
      </c>
      <c r="AK6" s="58">
        <v>0</v>
      </c>
      <c r="AL6" s="58">
        <v>0</v>
      </c>
      <c r="AM6" s="58">
        <v>0</v>
      </c>
      <c r="AN6" s="58">
        <v>0</v>
      </c>
      <c r="AO6" s="58">
        <v>1</v>
      </c>
      <c r="AP6" s="58">
        <v>0</v>
      </c>
      <c r="AQ6" s="58">
        <v>0</v>
      </c>
      <c r="AR6" s="58">
        <v>0</v>
      </c>
      <c r="AS6" s="58">
        <v>0</v>
      </c>
      <c r="AT6" s="58">
        <v>1</v>
      </c>
      <c r="AU6" s="58">
        <v>0</v>
      </c>
      <c r="AV6" s="58">
        <v>1</v>
      </c>
      <c r="AW6" s="58">
        <v>1</v>
      </c>
      <c r="AX6" s="58">
        <v>0</v>
      </c>
      <c r="AY6" s="58">
        <v>0</v>
      </c>
      <c r="AZ6" s="58">
        <v>1</v>
      </c>
      <c r="BA6" s="58">
        <v>1</v>
      </c>
      <c r="BB6" s="58">
        <v>0</v>
      </c>
      <c r="BC6" s="58">
        <v>1</v>
      </c>
      <c r="BD6" s="58">
        <v>0</v>
      </c>
      <c r="BE6" s="58">
        <v>0</v>
      </c>
      <c r="BF6" s="58">
        <v>0</v>
      </c>
      <c r="BG6" s="58">
        <v>0</v>
      </c>
      <c r="BH6" s="58">
        <v>0</v>
      </c>
      <c r="BI6" s="58">
        <v>0</v>
      </c>
      <c r="BJ6" s="58">
        <v>0</v>
      </c>
      <c r="BK6" s="58">
        <v>0</v>
      </c>
      <c r="BL6" s="58">
        <v>0</v>
      </c>
      <c r="BM6" s="58">
        <v>0</v>
      </c>
      <c r="BN6" s="58">
        <v>1</v>
      </c>
      <c r="BO6" s="58">
        <v>0</v>
      </c>
      <c r="BP6" s="58">
        <v>0</v>
      </c>
      <c r="BQ6" s="58">
        <v>0</v>
      </c>
      <c r="BR6" s="58">
        <v>0</v>
      </c>
      <c r="BS6" s="58">
        <v>0</v>
      </c>
      <c r="BT6" s="58">
        <v>0</v>
      </c>
      <c r="BU6" s="58">
        <v>1</v>
      </c>
      <c r="BV6" s="58">
        <v>0</v>
      </c>
      <c r="BW6" s="58">
        <v>1</v>
      </c>
      <c r="BX6" s="58">
        <v>1</v>
      </c>
      <c r="BY6" s="58">
        <v>0</v>
      </c>
      <c r="BZ6" s="58">
        <v>0</v>
      </c>
      <c r="CA6" s="58">
        <v>1</v>
      </c>
      <c r="CB6" s="58">
        <v>0</v>
      </c>
      <c r="CC6" s="58">
        <v>0</v>
      </c>
      <c r="CD6" s="58">
        <v>0</v>
      </c>
      <c r="CE6" s="58">
        <v>1</v>
      </c>
      <c r="CF6" s="58">
        <v>1</v>
      </c>
      <c r="CG6" s="58">
        <v>0</v>
      </c>
      <c r="CH6" s="58">
        <v>0</v>
      </c>
      <c r="CI6" s="58">
        <v>1</v>
      </c>
      <c r="CJ6" s="58">
        <v>0</v>
      </c>
      <c r="CK6" s="58">
        <v>0</v>
      </c>
      <c r="CL6" s="58">
        <v>0</v>
      </c>
      <c r="CM6" s="58">
        <v>0</v>
      </c>
      <c r="CN6" s="58">
        <v>0</v>
      </c>
      <c r="CO6" s="58">
        <v>1</v>
      </c>
      <c r="CP6" s="58">
        <v>0</v>
      </c>
      <c r="CQ6" s="58">
        <v>1</v>
      </c>
      <c r="CR6" s="58">
        <v>0</v>
      </c>
      <c r="CS6" s="58">
        <v>1</v>
      </c>
      <c r="CT6" s="58">
        <v>0</v>
      </c>
      <c r="CU6" s="58">
        <v>1</v>
      </c>
      <c r="CV6" s="58">
        <v>0</v>
      </c>
      <c r="CW6" s="58">
        <v>0</v>
      </c>
      <c r="CX6" s="58">
        <v>0</v>
      </c>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row>
    <row r="7" spans="1:150" x14ac:dyDescent="0.25">
      <c r="A7" s="57" t="s">
        <v>799</v>
      </c>
      <c r="B7" s="62">
        <v>0.15</v>
      </c>
      <c r="C7" s="58">
        <v>0</v>
      </c>
      <c r="D7" s="58">
        <v>0</v>
      </c>
      <c r="E7" s="58">
        <v>0</v>
      </c>
      <c r="F7" s="58">
        <v>0</v>
      </c>
      <c r="G7" s="58">
        <v>0</v>
      </c>
      <c r="H7" s="58">
        <v>0</v>
      </c>
      <c r="I7" s="58">
        <v>1</v>
      </c>
      <c r="J7" s="58">
        <v>0</v>
      </c>
      <c r="K7" s="58">
        <v>0</v>
      </c>
      <c r="L7" s="58">
        <v>0</v>
      </c>
      <c r="M7" s="58">
        <v>1</v>
      </c>
      <c r="N7" s="58">
        <v>0</v>
      </c>
      <c r="O7" s="58">
        <v>0</v>
      </c>
      <c r="P7" s="58">
        <v>0</v>
      </c>
      <c r="Q7" s="58">
        <v>0</v>
      </c>
      <c r="R7" s="58">
        <v>0</v>
      </c>
      <c r="S7" s="58">
        <v>0</v>
      </c>
      <c r="T7" s="58">
        <v>0</v>
      </c>
      <c r="U7" s="58">
        <v>1</v>
      </c>
      <c r="V7" s="58">
        <v>0</v>
      </c>
      <c r="W7" s="58">
        <v>0</v>
      </c>
      <c r="X7" s="58">
        <v>0</v>
      </c>
      <c r="Y7" s="58">
        <v>0</v>
      </c>
      <c r="Z7" s="58">
        <v>0</v>
      </c>
      <c r="AA7" s="58">
        <v>0</v>
      </c>
      <c r="AB7" s="58">
        <v>0</v>
      </c>
      <c r="AC7" s="58">
        <v>0</v>
      </c>
      <c r="AD7" s="58">
        <v>0</v>
      </c>
      <c r="AE7" s="58">
        <v>0</v>
      </c>
      <c r="AF7" s="58">
        <v>0</v>
      </c>
      <c r="AG7" s="58">
        <v>0</v>
      </c>
      <c r="AH7" s="58">
        <v>0</v>
      </c>
      <c r="AI7" s="58">
        <v>1</v>
      </c>
      <c r="AJ7" s="58">
        <v>0</v>
      </c>
      <c r="AK7" s="58">
        <v>0</v>
      </c>
      <c r="AL7" s="58">
        <v>0</v>
      </c>
      <c r="AM7" s="58">
        <v>1</v>
      </c>
      <c r="AN7" s="58">
        <v>1</v>
      </c>
      <c r="AO7" s="58">
        <v>0</v>
      </c>
      <c r="AP7" s="58">
        <v>0</v>
      </c>
      <c r="AQ7" s="58">
        <v>0</v>
      </c>
      <c r="AR7" s="58">
        <v>1</v>
      </c>
      <c r="AS7" s="58">
        <v>1</v>
      </c>
      <c r="AT7" s="58">
        <v>0</v>
      </c>
      <c r="AU7" s="58">
        <v>0</v>
      </c>
      <c r="AV7" s="58">
        <v>0</v>
      </c>
      <c r="AW7" s="58">
        <v>0</v>
      </c>
      <c r="AX7" s="58">
        <v>1</v>
      </c>
      <c r="AY7" s="58">
        <v>0</v>
      </c>
      <c r="AZ7" s="58">
        <v>0</v>
      </c>
      <c r="BA7" s="58">
        <v>0</v>
      </c>
      <c r="BB7" s="58">
        <v>0</v>
      </c>
      <c r="BC7" s="58">
        <v>0</v>
      </c>
      <c r="BD7" s="58">
        <v>0</v>
      </c>
      <c r="BE7" s="58">
        <v>0</v>
      </c>
      <c r="BF7" s="58">
        <v>0</v>
      </c>
      <c r="BG7" s="58">
        <v>0</v>
      </c>
      <c r="BH7" s="58">
        <v>0</v>
      </c>
      <c r="BI7" s="58">
        <v>0</v>
      </c>
      <c r="BJ7" s="58">
        <v>0</v>
      </c>
      <c r="BK7" s="58">
        <v>1</v>
      </c>
      <c r="BL7" s="58">
        <v>0</v>
      </c>
      <c r="BM7" s="58">
        <v>0</v>
      </c>
      <c r="BN7" s="58">
        <v>0</v>
      </c>
      <c r="BO7" s="58">
        <v>0</v>
      </c>
      <c r="BP7" s="58">
        <v>0</v>
      </c>
      <c r="BQ7" s="58">
        <v>0</v>
      </c>
      <c r="BR7" s="58">
        <v>0</v>
      </c>
      <c r="BS7" s="58">
        <v>0</v>
      </c>
      <c r="BT7" s="58">
        <v>0</v>
      </c>
      <c r="BU7" s="58">
        <v>0</v>
      </c>
      <c r="BV7" s="58">
        <v>0</v>
      </c>
      <c r="BW7" s="58">
        <v>0</v>
      </c>
      <c r="BX7" s="58">
        <v>0</v>
      </c>
      <c r="BY7" s="58">
        <v>0</v>
      </c>
      <c r="BZ7" s="58">
        <v>0</v>
      </c>
      <c r="CA7" s="58">
        <v>0</v>
      </c>
      <c r="CB7" s="58">
        <v>0</v>
      </c>
      <c r="CC7" s="58">
        <v>0</v>
      </c>
      <c r="CD7" s="58">
        <v>0</v>
      </c>
      <c r="CE7" s="58">
        <v>0</v>
      </c>
      <c r="CF7" s="58">
        <v>0</v>
      </c>
      <c r="CG7" s="58">
        <v>0</v>
      </c>
      <c r="CH7" s="58">
        <v>0</v>
      </c>
      <c r="CI7" s="58">
        <v>0</v>
      </c>
      <c r="CJ7" s="58">
        <v>0</v>
      </c>
      <c r="CK7" s="58">
        <v>1</v>
      </c>
      <c r="CL7" s="58">
        <v>0</v>
      </c>
      <c r="CM7" s="58">
        <v>0</v>
      </c>
      <c r="CN7" s="58">
        <v>1</v>
      </c>
      <c r="CO7" s="58">
        <v>0</v>
      </c>
      <c r="CP7" s="58">
        <v>0</v>
      </c>
      <c r="CQ7" s="58">
        <v>0</v>
      </c>
      <c r="CR7" s="58">
        <v>0</v>
      </c>
      <c r="CS7" s="58">
        <v>0</v>
      </c>
      <c r="CT7" s="58">
        <v>0</v>
      </c>
      <c r="CU7" s="58">
        <v>0</v>
      </c>
      <c r="CV7" s="58">
        <v>1</v>
      </c>
      <c r="CW7" s="58">
        <v>0</v>
      </c>
      <c r="CX7" s="58">
        <v>0</v>
      </c>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row>
    <row r="8" spans="1:150" x14ac:dyDescent="0.25">
      <c r="A8" s="57" t="s">
        <v>800</v>
      </c>
      <c r="B8" s="62">
        <v>0.14000000000000001</v>
      </c>
      <c r="C8" s="58">
        <v>0</v>
      </c>
      <c r="D8" s="58">
        <v>0</v>
      </c>
      <c r="E8" s="58">
        <v>0</v>
      </c>
      <c r="F8" s="58">
        <v>0</v>
      </c>
      <c r="G8" s="58">
        <v>0</v>
      </c>
      <c r="H8" s="58">
        <v>1</v>
      </c>
      <c r="I8" s="58">
        <v>0</v>
      </c>
      <c r="J8" s="58">
        <v>1</v>
      </c>
      <c r="K8" s="58">
        <v>1</v>
      </c>
      <c r="L8" s="58">
        <v>0</v>
      </c>
      <c r="M8" s="58">
        <v>0</v>
      </c>
      <c r="N8" s="58">
        <v>1</v>
      </c>
      <c r="O8" s="58">
        <v>0</v>
      </c>
      <c r="P8" s="58">
        <v>0</v>
      </c>
      <c r="Q8" s="58">
        <v>0</v>
      </c>
      <c r="R8" s="58">
        <v>0</v>
      </c>
      <c r="S8" s="58">
        <v>0</v>
      </c>
      <c r="T8" s="58">
        <v>0</v>
      </c>
      <c r="U8" s="58">
        <v>0</v>
      </c>
      <c r="V8" s="58">
        <v>0</v>
      </c>
      <c r="W8" s="58">
        <v>0</v>
      </c>
      <c r="X8" s="58">
        <v>1</v>
      </c>
      <c r="Y8" s="58">
        <v>0</v>
      </c>
      <c r="Z8" s="58">
        <v>0</v>
      </c>
      <c r="AA8" s="58">
        <v>1</v>
      </c>
      <c r="AB8" s="58">
        <v>0</v>
      </c>
      <c r="AC8" s="58">
        <v>0</v>
      </c>
      <c r="AD8" s="58">
        <v>0</v>
      </c>
      <c r="AE8" s="58">
        <v>0</v>
      </c>
      <c r="AF8" s="58">
        <v>0</v>
      </c>
      <c r="AG8" s="58">
        <v>0</v>
      </c>
      <c r="AH8" s="58">
        <v>0</v>
      </c>
      <c r="AI8" s="58">
        <v>1</v>
      </c>
      <c r="AJ8" s="58">
        <v>0</v>
      </c>
      <c r="AK8" s="58">
        <v>0</v>
      </c>
      <c r="AL8" s="58">
        <v>0</v>
      </c>
      <c r="AM8" s="58">
        <v>0</v>
      </c>
      <c r="AN8" s="58">
        <v>0</v>
      </c>
      <c r="AO8" s="58">
        <v>0</v>
      </c>
      <c r="AP8" s="58">
        <v>0</v>
      </c>
      <c r="AQ8" s="58">
        <v>0</v>
      </c>
      <c r="AR8" s="58">
        <v>0</v>
      </c>
      <c r="AS8" s="58">
        <v>0</v>
      </c>
      <c r="AT8" s="58">
        <v>0</v>
      </c>
      <c r="AU8" s="58">
        <v>0</v>
      </c>
      <c r="AV8" s="58">
        <v>0</v>
      </c>
      <c r="AW8" s="58">
        <v>0</v>
      </c>
      <c r="AX8" s="58">
        <v>0</v>
      </c>
      <c r="AY8" s="58">
        <v>0</v>
      </c>
      <c r="AZ8" s="58">
        <v>0</v>
      </c>
      <c r="BA8" s="58">
        <v>0</v>
      </c>
      <c r="BB8" s="58">
        <v>0</v>
      </c>
      <c r="BC8" s="58">
        <v>0</v>
      </c>
      <c r="BD8" s="58">
        <v>0</v>
      </c>
      <c r="BE8" s="58">
        <v>0</v>
      </c>
      <c r="BF8" s="58">
        <v>0</v>
      </c>
      <c r="BG8" s="58">
        <v>0</v>
      </c>
      <c r="BH8" s="58">
        <v>1</v>
      </c>
      <c r="BI8" s="58">
        <v>0</v>
      </c>
      <c r="BJ8" s="58">
        <v>0</v>
      </c>
      <c r="BK8" s="58">
        <v>0</v>
      </c>
      <c r="BL8" s="58">
        <v>0</v>
      </c>
      <c r="BM8" s="58">
        <v>1</v>
      </c>
      <c r="BN8" s="58">
        <v>0</v>
      </c>
      <c r="BO8" s="58">
        <v>0</v>
      </c>
      <c r="BP8" s="58">
        <v>0</v>
      </c>
      <c r="BQ8" s="58">
        <v>0</v>
      </c>
      <c r="BR8" s="58">
        <v>0</v>
      </c>
      <c r="BS8" s="58">
        <v>0</v>
      </c>
      <c r="BT8" s="58">
        <v>0</v>
      </c>
      <c r="BU8" s="58">
        <v>1</v>
      </c>
      <c r="BV8" s="58">
        <v>0</v>
      </c>
      <c r="BW8" s="58">
        <v>0</v>
      </c>
      <c r="BX8" s="58">
        <v>0</v>
      </c>
      <c r="BY8" s="58">
        <v>0</v>
      </c>
      <c r="BZ8" s="58">
        <v>0</v>
      </c>
      <c r="CA8" s="58">
        <v>0</v>
      </c>
      <c r="CB8" s="58">
        <v>1</v>
      </c>
      <c r="CC8" s="58">
        <v>1</v>
      </c>
      <c r="CD8" s="58">
        <v>0</v>
      </c>
      <c r="CE8" s="58">
        <v>0</v>
      </c>
      <c r="CF8" s="58">
        <v>0</v>
      </c>
      <c r="CG8" s="58">
        <v>0</v>
      </c>
      <c r="CH8" s="58">
        <v>0</v>
      </c>
      <c r="CI8" s="58">
        <v>0</v>
      </c>
      <c r="CJ8" s="58">
        <v>0</v>
      </c>
      <c r="CK8" s="58">
        <v>0</v>
      </c>
      <c r="CL8" s="58">
        <v>1</v>
      </c>
      <c r="CM8" s="58">
        <v>1</v>
      </c>
      <c r="CN8" s="58">
        <v>0</v>
      </c>
      <c r="CO8" s="58">
        <v>0</v>
      </c>
      <c r="CP8" s="58">
        <v>0</v>
      </c>
      <c r="CQ8" s="58">
        <v>0</v>
      </c>
      <c r="CR8" s="58">
        <v>0</v>
      </c>
      <c r="CS8" s="58">
        <v>0</v>
      </c>
      <c r="CT8" s="58">
        <v>0</v>
      </c>
      <c r="CU8" s="58">
        <v>0</v>
      </c>
      <c r="CV8" s="58">
        <v>1</v>
      </c>
      <c r="CW8" s="58">
        <v>0</v>
      </c>
      <c r="CX8" s="58">
        <v>0</v>
      </c>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row>
    <row r="9" spans="1:150" x14ac:dyDescent="0.25">
      <c r="A9" s="57" t="s">
        <v>840</v>
      </c>
      <c r="B9" s="62">
        <v>0.15</v>
      </c>
      <c r="C9" s="58">
        <v>0</v>
      </c>
      <c r="D9" s="58">
        <v>0</v>
      </c>
      <c r="E9" s="58">
        <v>1</v>
      </c>
      <c r="F9" s="58">
        <v>0</v>
      </c>
      <c r="G9" s="58">
        <v>0</v>
      </c>
      <c r="H9" s="58">
        <v>0</v>
      </c>
      <c r="I9" s="58">
        <v>0</v>
      </c>
      <c r="J9" s="58">
        <v>1</v>
      </c>
      <c r="K9" s="58">
        <v>0</v>
      </c>
      <c r="L9" s="58">
        <v>0</v>
      </c>
      <c r="M9" s="58">
        <v>0</v>
      </c>
      <c r="N9" s="58">
        <v>0</v>
      </c>
      <c r="O9" s="58">
        <v>1</v>
      </c>
      <c r="P9" s="58">
        <v>0</v>
      </c>
      <c r="Q9" s="58">
        <v>0</v>
      </c>
      <c r="R9" s="58">
        <v>0</v>
      </c>
      <c r="S9" s="58">
        <v>0</v>
      </c>
      <c r="T9" s="58">
        <v>0</v>
      </c>
      <c r="U9" s="58">
        <v>0</v>
      </c>
      <c r="V9" s="58">
        <v>0</v>
      </c>
      <c r="W9" s="58">
        <v>0</v>
      </c>
      <c r="X9" s="58">
        <v>0</v>
      </c>
      <c r="Y9" s="58">
        <v>0</v>
      </c>
      <c r="Z9" s="58">
        <v>0</v>
      </c>
      <c r="AA9" s="58">
        <v>0</v>
      </c>
      <c r="AB9" s="58">
        <v>0</v>
      </c>
      <c r="AC9" s="58">
        <v>0</v>
      </c>
      <c r="AD9" s="58">
        <v>0</v>
      </c>
      <c r="AE9" s="58">
        <v>0</v>
      </c>
      <c r="AF9" s="58">
        <v>1</v>
      </c>
      <c r="AG9" s="58">
        <v>0</v>
      </c>
      <c r="AH9" s="58">
        <v>0</v>
      </c>
      <c r="AI9" s="58">
        <v>1</v>
      </c>
      <c r="AJ9" s="58">
        <v>1</v>
      </c>
      <c r="AK9" s="58">
        <v>0</v>
      </c>
      <c r="AL9" s="58">
        <v>1</v>
      </c>
      <c r="AM9" s="58">
        <v>0</v>
      </c>
      <c r="AN9" s="58">
        <v>0</v>
      </c>
      <c r="AO9" s="58">
        <v>0</v>
      </c>
      <c r="AP9" s="58">
        <v>0</v>
      </c>
      <c r="AQ9" s="58">
        <v>1</v>
      </c>
      <c r="AR9" s="58">
        <v>0</v>
      </c>
      <c r="AS9" s="58">
        <v>0</v>
      </c>
      <c r="AT9" s="58">
        <v>0</v>
      </c>
      <c r="AU9" s="58">
        <v>0</v>
      </c>
      <c r="AV9" s="58">
        <v>0</v>
      </c>
      <c r="AW9" s="58">
        <v>0</v>
      </c>
      <c r="AX9" s="58">
        <v>1</v>
      </c>
      <c r="AY9" s="58">
        <v>0</v>
      </c>
      <c r="AZ9" s="58">
        <v>0</v>
      </c>
      <c r="BA9" s="58">
        <v>0</v>
      </c>
      <c r="BB9" s="58">
        <v>0</v>
      </c>
      <c r="BC9" s="58">
        <v>0</v>
      </c>
      <c r="BD9" s="58">
        <v>0</v>
      </c>
      <c r="BE9" s="58">
        <v>0</v>
      </c>
      <c r="BF9" s="58">
        <v>0</v>
      </c>
      <c r="BG9" s="58">
        <v>0</v>
      </c>
      <c r="BH9" s="58">
        <v>0</v>
      </c>
      <c r="BI9" s="58">
        <v>0</v>
      </c>
      <c r="BJ9" s="58">
        <v>1</v>
      </c>
      <c r="BK9" s="58">
        <v>0</v>
      </c>
      <c r="BL9" s="58">
        <v>0</v>
      </c>
      <c r="BM9" s="58">
        <v>0</v>
      </c>
      <c r="BN9" s="58">
        <v>0</v>
      </c>
      <c r="BO9" s="58">
        <v>0</v>
      </c>
      <c r="BP9" s="58">
        <v>0</v>
      </c>
      <c r="BQ9" s="58">
        <v>0</v>
      </c>
      <c r="BR9" s="58">
        <v>0</v>
      </c>
      <c r="BS9" s="58">
        <v>0</v>
      </c>
      <c r="BT9" s="58">
        <v>0</v>
      </c>
      <c r="BU9" s="58">
        <v>0</v>
      </c>
      <c r="BV9" s="58">
        <v>0</v>
      </c>
      <c r="BW9" s="58">
        <v>0</v>
      </c>
      <c r="BX9" s="58">
        <v>0</v>
      </c>
      <c r="BY9" s="58">
        <v>0</v>
      </c>
      <c r="BZ9" s="58">
        <v>0</v>
      </c>
      <c r="CA9" s="58">
        <v>0</v>
      </c>
      <c r="CB9" s="58">
        <v>1</v>
      </c>
      <c r="CC9" s="58">
        <v>0</v>
      </c>
      <c r="CD9" s="58">
        <v>0</v>
      </c>
      <c r="CE9" s="58">
        <v>0</v>
      </c>
      <c r="CF9" s="58">
        <v>0</v>
      </c>
      <c r="CG9" s="58">
        <v>0</v>
      </c>
      <c r="CH9" s="58">
        <v>0</v>
      </c>
      <c r="CI9" s="58">
        <v>0</v>
      </c>
      <c r="CJ9" s="58">
        <v>0</v>
      </c>
      <c r="CK9" s="58">
        <v>0</v>
      </c>
      <c r="CL9" s="58">
        <v>0</v>
      </c>
      <c r="CM9" s="58">
        <v>1</v>
      </c>
      <c r="CN9" s="58">
        <v>1</v>
      </c>
      <c r="CO9" s="58">
        <v>0</v>
      </c>
      <c r="CP9" s="58">
        <v>0</v>
      </c>
      <c r="CQ9" s="58">
        <v>0</v>
      </c>
      <c r="CR9" s="58">
        <v>0</v>
      </c>
      <c r="CS9" s="58">
        <v>0</v>
      </c>
      <c r="CT9" s="58">
        <v>0</v>
      </c>
      <c r="CU9" s="58">
        <v>1</v>
      </c>
      <c r="CV9" s="58">
        <v>0</v>
      </c>
      <c r="CW9" s="58">
        <v>0</v>
      </c>
      <c r="CX9" s="58">
        <v>0</v>
      </c>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row>
    <row r="10" spans="1:150" x14ac:dyDescent="0.25">
      <c r="A10" s="57" t="s">
        <v>801</v>
      </c>
      <c r="B10" s="62">
        <v>0.1</v>
      </c>
      <c r="C10" s="58">
        <v>0</v>
      </c>
      <c r="D10" s="58">
        <v>0</v>
      </c>
      <c r="E10" s="58">
        <v>0</v>
      </c>
      <c r="F10" s="58">
        <v>0</v>
      </c>
      <c r="G10" s="58">
        <v>0</v>
      </c>
      <c r="H10" s="58">
        <v>0</v>
      </c>
      <c r="I10" s="58">
        <v>0</v>
      </c>
      <c r="J10" s="58">
        <v>0</v>
      </c>
      <c r="K10" s="58">
        <v>0</v>
      </c>
      <c r="L10" s="58">
        <v>0</v>
      </c>
      <c r="M10" s="58">
        <v>0</v>
      </c>
      <c r="N10" s="58">
        <v>0</v>
      </c>
      <c r="O10" s="58">
        <v>0</v>
      </c>
      <c r="P10" s="58">
        <v>1</v>
      </c>
      <c r="Q10" s="58">
        <v>1</v>
      </c>
      <c r="R10" s="58">
        <v>0</v>
      </c>
      <c r="S10" s="58">
        <v>0</v>
      </c>
      <c r="T10" s="58">
        <v>0</v>
      </c>
      <c r="U10" s="58">
        <v>0</v>
      </c>
      <c r="V10" s="58">
        <v>0</v>
      </c>
      <c r="W10" s="58">
        <v>0</v>
      </c>
      <c r="X10" s="58">
        <v>0</v>
      </c>
      <c r="Y10" s="58">
        <v>0</v>
      </c>
      <c r="Z10" s="58">
        <v>0</v>
      </c>
      <c r="AA10" s="58">
        <v>0</v>
      </c>
      <c r="AB10" s="58">
        <v>0</v>
      </c>
      <c r="AC10" s="58">
        <v>0</v>
      </c>
      <c r="AD10" s="58">
        <v>1</v>
      </c>
      <c r="AE10" s="58">
        <v>0</v>
      </c>
      <c r="AF10" s="58">
        <v>1</v>
      </c>
      <c r="AG10" s="58">
        <v>0</v>
      </c>
      <c r="AH10" s="58">
        <v>0</v>
      </c>
      <c r="AI10" s="58">
        <v>0</v>
      </c>
      <c r="AJ10" s="58">
        <v>0</v>
      </c>
      <c r="AK10" s="58">
        <v>0</v>
      </c>
      <c r="AL10" s="58">
        <v>0</v>
      </c>
      <c r="AM10" s="58">
        <v>0</v>
      </c>
      <c r="AN10" s="58">
        <v>0</v>
      </c>
      <c r="AO10" s="58">
        <v>0</v>
      </c>
      <c r="AP10" s="58">
        <v>0</v>
      </c>
      <c r="AQ10" s="58">
        <v>0</v>
      </c>
      <c r="AR10" s="58">
        <v>0</v>
      </c>
      <c r="AS10" s="58">
        <v>0</v>
      </c>
      <c r="AT10" s="58">
        <v>0</v>
      </c>
      <c r="AU10" s="58">
        <v>0</v>
      </c>
      <c r="AV10" s="58">
        <v>0</v>
      </c>
      <c r="AW10" s="58">
        <v>0</v>
      </c>
      <c r="AX10" s="58">
        <v>0</v>
      </c>
      <c r="AY10" s="58">
        <v>0</v>
      </c>
      <c r="AZ10" s="58">
        <v>0</v>
      </c>
      <c r="BA10" s="58">
        <v>1</v>
      </c>
      <c r="BB10" s="58">
        <v>0</v>
      </c>
      <c r="BC10" s="58">
        <v>0</v>
      </c>
      <c r="BD10" s="58">
        <v>0</v>
      </c>
      <c r="BE10" s="58">
        <v>0</v>
      </c>
      <c r="BF10" s="58">
        <v>0</v>
      </c>
      <c r="BG10" s="58">
        <v>0</v>
      </c>
      <c r="BH10" s="58">
        <v>0</v>
      </c>
      <c r="BI10" s="58">
        <v>1</v>
      </c>
      <c r="BJ10" s="58">
        <v>0</v>
      </c>
      <c r="BK10" s="58">
        <v>0</v>
      </c>
      <c r="BL10" s="58">
        <v>0</v>
      </c>
      <c r="BM10" s="58">
        <v>0</v>
      </c>
      <c r="BN10" s="58">
        <v>0</v>
      </c>
      <c r="BO10" s="58">
        <v>1</v>
      </c>
      <c r="BP10" s="58">
        <v>0</v>
      </c>
      <c r="BQ10" s="58">
        <v>0</v>
      </c>
      <c r="BR10" s="58">
        <v>0</v>
      </c>
      <c r="BS10" s="58">
        <v>0</v>
      </c>
      <c r="BT10" s="58">
        <v>0</v>
      </c>
      <c r="BU10" s="58">
        <v>1</v>
      </c>
      <c r="BV10" s="58">
        <v>0</v>
      </c>
      <c r="BW10" s="58">
        <v>0</v>
      </c>
      <c r="BX10" s="58">
        <v>0</v>
      </c>
      <c r="BY10" s="58">
        <v>0</v>
      </c>
      <c r="BZ10" s="58">
        <v>0</v>
      </c>
      <c r="CA10" s="58">
        <v>0</v>
      </c>
      <c r="CB10" s="58">
        <v>0</v>
      </c>
      <c r="CC10" s="58">
        <v>0</v>
      </c>
      <c r="CD10" s="58">
        <v>0</v>
      </c>
      <c r="CE10" s="58">
        <v>0</v>
      </c>
      <c r="CF10" s="58">
        <v>0</v>
      </c>
      <c r="CG10" s="58">
        <v>0</v>
      </c>
      <c r="CH10" s="58">
        <v>0</v>
      </c>
      <c r="CI10" s="58">
        <v>0</v>
      </c>
      <c r="CJ10" s="58">
        <v>0</v>
      </c>
      <c r="CK10" s="58">
        <v>0</v>
      </c>
      <c r="CL10" s="58">
        <v>0</v>
      </c>
      <c r="CM10" s="58">
        <v>0</v>
      </c>
      <c r="CN10" s="58">
        <v>0</v>
      </c>
      <c r="CO10" s="58">
        <v>0</v>
      </c>
      <c r="CP10" s="58">
        <v>0</v>
      </c>
      <c r="CQ10" s="58">
        <v>0</v>
      </c>
      <c r="CR10" s="58">
        <v>0</v>
      </c>
      <c r="CS10" s="58">
        <v>0</v>
      </c>
      <c r="CT10" s="58">
        <v>0</v>
      </c>
      <c r="CU10" s="58">
        <v>0</v>
      </c>
      <c r="CV10" s="58">
        <v>0</v>
      </c>
      <c r="CW10" s="58">
        <v>0</v>
      </c>
      <c r="CX10" s="58">
        <v>0</v>
      </c>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row>
    <row r="11" spans="1:150" x14ac:dyDescent="0.25">
      <c r="A11" s="57" t="s">
        <v>802</v>
      </c>
      <c r="B11" s="62">
        <v>0.25</v>
      </c>
      <c r="C11" s="58">
        <v>0</v>
      </c>
      <c r="D11" s="58">
        <v>0</v>
      </c>
      <c r="E11" s="58">
        <v>0</v>
      </c>
      <c r="F11" s="58">
        <v>0</v>
      </c>
      <c r="G11" s="58">
        <v>0</v>
      </c>
      <c r="H11" s="58">
        <v>0</v>
      </c>
      <c r="I11" s="58">
        <v>0</v>
      </c>
      <c r="J11" s="58">
        <v>1</v>
      </c>
      <c r="K11" s="58">
        <v>0</v>
      </c>
      <c r="L11" s="58">
        <v>0</v>
      </c>
      <c r="M11" s="58">
        <v>1</v>
      </c>
      <c r="N11" s="58">
        <v>0</v>
      </c>
      <c r="O11" s="58">
        <v>0</v>
      </c>
      <c r="P11" s="58">
        <v>0</v>
      </c>
      <c r="Q11" s="58">
        <v>1</v>
      </c>
      <c r="R11" s="58">
        <v>0</v>
      </c>
      <c r="S11" s="58">
        <v>0</v>
      </c>
      <c r="T11" s="58">
        <v>0</v>
      </c>
      <c r="U11" s="58">
        <v>0</v>
      </c>
      <c r="V11" s="58">
        <v>0</v>
      </c>
      <c r="W11" s="58">
        <v>0</v>
      </c>
      <c r="X11" s="58">
        <v>0</v>
      </c>
      <c r="Y11" s="58">
        <v>0</v>
      </c>
      <c r="Z11" s="58">
        <v>0</v>
      </c>
      <c r="AA11" s="58">
        <v>0</v>
      </c>
      <c r="AB11" s="58">
        <v>0</v>
      </c>
      <c r="AC11" s="58">
        <v>0</v>
      </c>
      <c r="AD11" s="58">
        <v>0</v>
      </c>
      <c r="AE11" s="58">
        <v>0</v>
      </c>
      <c r="AF11" s="58">
        <v>1</v>
      </c>
      <c r="AG11" s="58">
        <v>0</v>
      </c>
      <c r="AH11" s="58">
        <v>0</v>
      </c>
      <c r="AI11" s="58">
        <v>0</v>
      </c>
      <c r="AJ11" s="58">
        <v>0</v>
      </c>
      <c r="AK11" s="58">
        <v>0</v>
      </c>
      <c r="AL11" s="58">
        <v>0</v>
      </c>
      <c r="AM11" s="58">
        <v>0</v>
      </c>
      <c r="AN11" s="58">
        <v>1</v>
      </c>
      <c r="AO11" s="58">
        <v>0</v>
      </c>
      <c r="AP11" s="58">
        <v>0</v>
      </c>
      <c r="AQ11" s="58">
        <v>0</v>
      </c>
      <c r="AR11" s="58">
        <v>1</v>
      </c>
      <c r="AS11" s="58">
        <v>0</v>
      </c>
      <c r="AT11" s="58">
        <v>0</v>
      </c>
      <c r="AU11" s="58">
        <v>0</v>
      </c>
      <c r="AV11" s="58">
        <v>0</v>
      </c>
      <c r="AW11" s="58">
        <v>0</v>
      </c>
      <c r="AX11" s="58">
        <v>1</v>
      </c>
      <c r="AY11" s="58">
        <v>0</v>
      </c>
      <c r="AZ11" s="58">
        <v>0</v>
      </c>
      <c r="BA11" s="58">
        <v>0</v>
      </c>
      <c r="BB11" s="58">
        <v>1</v>
      </c>
      <c r="BC11" s="58">
        <v>0</v>
      </c>
      <c r="BD11" s="58">
        <v>0</v>
      </c>
      <c r="BE11" s="58">
        <v>0</v>
      </c>
      <c r="BF11" s="58">
        <v>0</v>
      </c>
      <c r="BG11" s="58">
        <v>0</v>
      </c>
      <c r="BH11" s="58">
        <v>0</v>
      </c>
      <c r="BI11" s="58">
        <v>0</v>
      </c>
      <c r="BJ11" s="58">
        <v>0</v>
      </c>
      <c r="BK11" s="58">
        <v>0</v>
      </c>
      <c r="BL11" s="58">
        <v>1</v>
      </c>
      <c r="BM11" s="58">
        <v>1</v>
      </c>
      <c r="BN11" s="58">
        <v>0</v>
      </c>
      <c r="BO11" s="58">
        <v>0</v>
      </c>
      <c r="BP11" s="58">
        <v>0</v>
      </c>
      <c r="BQ11" s="58">
        <v>0</v>
      </c>
      <c r="BR11" s="58">
        <v>0</v>
      </c>
      <c r="BS11" s="58">
        <v>0</v>
      </c>
      <c r="BT11" s="58">
        <v>0</v>
      </c>
      <c r="BU11" s="58">
        <v>0</v>
      </c>
      <c r="BV11" s="58">
        <v>1</v>
      </c>
      <c r="BW11" s="58">
        <v>0</v>
      </c>
      <c r="BX11" s="58">
        <v>0</v>
      </c>
      <c r="BY11" s="58">
        <v>0</v>
      </c>
      <c r="BZ11" s="58">
        <v>1</v>
      </c>
      <c r="CA11" s="58">
        <v>0</v>
      </c>
      <c r="CB11" s="58">
        <v>1</v>
      </c>
      <c r="CC11" s="58">
        <v>1</v>
      </c>
      <c r="CD11" s="58">
        <v>0</v>
      </c>
      <c r="CE11" s="58">
        <v>0</v>
      </c>
      <c r="CF11" s="58">
        <v>1</v>
      </c>
      <c r="CG11" s="58">
        <v>0</v>
      </c>
      <c r="CH11" s="58">
        <v>0</v>
      </c>
      <c r="CI11" s="58">
        <v>0</v>
      </c>
      <c r="CJ11" s="58">
        <v>1</v>
      </c>
      <c r="CK11" s="58">
        <v>0</v>
      </c>
      <c r="CL11" s="58">
        <v>0</v>
      </c>
      <c r="CM11" s="58">
        <v>0</v>
      </c>
      <c r="CN11" s="58">
        <v>0</v>
      </c>
      <c r="CO11" s="58">
        <v>1</v>
      </c>
      <c r="CP11" s="58">
        <v>0</v>
      </c>
      <c r="CQ11" s="58">
        <v>0</v>
      </c>
      <c r="CR11" s="58">
        <v>1</v>
      </c>
      <c r="CS11" s="58">
        <v>0</v>
      </c>
      <c r="CT11" s="58">
        <v>1</v>
      </c>
      <c r="CU11" s="58">
        <v>1</v>
      </c>
      <c r="CV11" s="58">
        <v>0</v>
      </c>
      <c r="CW11" s="58">
        <v>1</v>
      </c>
      <c r="CX11" s="58">
        <v>1</v>
      </c>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row>
    <row r="12" spans="1:150" x14ac:dyDescent="0.25">
      <c r="A12" s="57" t="s">
        <v>803</v>
      </c>
      <c r="B12" s="62">
        <v>0.3</v>
      </c>
      <c r="C12" s="58">
        <v>1</v>
      </c>
      <c r="D12" s="58">
        <v>0</v>
      </c>
      <c r="E12" s="58">
        <v>0</v>
      </c>
      <c r="F12" s="58">
        <v>0</v>
      </c>
      <c r="G12" s="58">
        <v>0</v>
      </c>
      <c r="H12" s="58">
        <v>0</v>
      </c>
      <c r="I12" s="58">
        <v>0</v>
      </c>
      <c r="J12" s="58">
        <v>1</v>
      </c>
      <c r="K12" s="58">
        <v>1</v>
      </c>
      <c r="L12" s="58">
        <v>0</v>
      </c>
      <c r="M12" s="58">
        <v>1</v>
      </c>
      <c r="N12" s="58">
        <v>0</v>
      </c>
      <c r="O12" s="58">
        <v>1</v>
      </c>
      <c r="P12" s="58">
        <v>0</v>
      </c>
      <c r="Q12" s="58">
        <v>0</v>
      </c>
      <c r="R12" s="58">
        <v>0</v>
      </c>
      <c r="S12" s="58">
        <v>1</v>
      </c>
      <c r="T12" s="58">
        <v>0</v>
      </c>
      <c r="U12" s="58">
        <v>0</v>
      </c>
      <c r="V12" s="58">
        <v>0</v>
      </c>
      <c r="W12" s="58">
        <v>0</v>
      </c>
      <c r="X12" s="58">
        <v>0</v>
      </c>
      <c r="Y12" s="58">
        <v>1</v>
      </c>
      <c r="Z12" s="58">
        <v>0</v>
      </c>
      <c r="AA12" s="58">
        <v>0</v>
      </c>
      <c r="AB12" s="58">
        <v>0</v>
      </c>
      <c r="AC12" s="58">
        <v>0</v>
      </c>
      <c r="AD12" s="58">
        <v>1</v>
      </c>
      <c r="AE12" s="58">
        <v>0</v>
      </c>
      <c r="AF12" s="58">
        <v>0</v>
      </c>
      <c r="AG12" s="58">
        <v>0</v>
      </c>
      <c r="AH12" s="58">
        <v>1</v>
      </c>
      <c r="AI12" s="58">
        <v>0</v>
      </c>
      <c r="AJ12" s="58">
        <v>1</v>
      </c>
      <c r="AK12" s="58">
        <v>0</v>
      </c>
      <c r="AL12" s="58">
        <v>0</v>
      </c>
      <c r="AM12" s="58">
        <v>0</v>
      </c>
      <c r="AN12" s="58">
        <v>0</v>
      </c>
      <c r="AO12" s="58">
        <v>1</v>
      </c>
      <c r="AP12" s="58">
        <v>1</v>
      </c>
      <c r="AQ12" s="58">
        <v>1</v>
      </c>
      <c r="AR12" s="58">
        <v>1</v>
      </c>
      <c r="AS12" s="58">
        <v>0</v>
      </c>
      <c r="AT12" s="58">
        <v>0</v>
      </c>
      <c r="AU12" s="58">
        <v>0</v>
      </c>
      <c r="AV12" s="58">
        <v>1</v>
      </c>
      <c r="AW12" s="58">
        <v>0</v>
      </c>
      <c r="AX12" s="58">
        <v>1</v>
      </c>
      <c r="AY12" s="58">
        <v>1</v>
      </c>
      <c r="AZ12" s="58">
        <v>0</v>
      </c>
      <c r="BA12" s="58">
        <v>1</v>
      </c>
      <c r="BB12" s="58">
        <v>1</v>
      </c>
      <c r="BC12" s="58">
        <v>1</v>
      </c>
      <c r="BD12" s="58">
        <v>1</v>
      </c>
      <c r="BE12" s="58">
        <v>0</v>
      </c>
      <c r="BF12" s="58">
        <v>0</v>
      </c>
      <c r="BG12" s="58">
        <v>0</v>
      </c>
      <c r="BH12" s="58">
        <v>1</v>
      </c>
      <c r="BI12" s="58">
        <v>0</v>
      </c>
      <c r="BJ12" s="58">
        <v>0</v>
      </c>
      <c r="BK12" s="58">
        <v>0</v>
      </c>
      <c r="BL12" s="58">
        <v>0</v>
      </c>
      <c r="BM12" s="58">
        <v>0</v>
      </c>
      <c r="BN12" s="58">
        <v>0</v>
      </c>
      <c r="BO12" s="58">
        <v>1</v>
      </c>
      <c r="BP12" s="58">
        <v>1</v>
      </c>
      <c r="BQ12" s="58">
        <v>1</v>
      </c>
      <c r="BR12" s="58">
        <v>1</v>
      </c>
      <c r="BS12" s="58">
        <v>0</v>
      </c>
      <c r="BT12" s="58">
        <v>0</v>
      </c>
      <c r="BU12" s="58">
        <v>1</v>
      </c>
      <c r="BV12" s="58">
        <v>1</v>
      </c>
      <c r="BW12" s="58">
        <v>0</v>
      </c>
      <c r="BX12" s="58">
        <v>0</v>
      </c>
      <c r="BY12" s="58">
        <v>0</v>
      </c>
      <c r="BZ12" s="58">
        <v>0</v>
      </c>
      <c r="CA12" s="58">
        <v>0</v>
      </c>
      <c r="CB12" s="58">
        <v>1</v>
      </c>
      <c r="CC12" s="58">
        <v>0</v>
      </c>
      <c r="CD12" s="58">
        <v>1</v>
      </c>
      <c r="CE12" s="58">
        <v>0</v>
      </c>
      <c r="CF12" s="58">
        <v>0</v>
      </c>
      <c r="CG12" s="58">
        <v>0</v>
      </c>
      <c r="CH12" s="58">
        <v>0</v>
      </c>
      <c r="CI12" s="58">
        <v>0</v>
      </c>
      <c r="CJ12" s="58">
        <v>0</v>
      </c>
      <c r="CK12" s="58">
        <v>0</v>
      </c>
      <c r="CL12" s="58">
        <v>1</v>
      </c>
      <c r="CM12" s="58">
        <v>0</v>
      </c>
      <c r="CN12" s="58">
        <v>1</v>
      </c>
      <c r="CO12" s="58">
        <v>0</v>
      </c>
      <c r="CP12" s="58">
        <v>0</v>
      </c>
      <c r="CQ12" s="58">
        <v>0</v>
      </c>
      <c r="CR12" s="58">
        <v>1</v>
      </c>
      <c r="CS12" s="58">
        <v>0</v>
      </c>
      <c r="CT12" s="58">
        <v>1</v>
      </c>
      <c r="CU12" s="58">
        <v>1</v>
      </c>
      <c r="CV12" s="58">
        <v>1</v>
      </c>
      <c r="CW12" s="58">
        <v>0</v>
      </c>
      <c r="CX12" s="58">
        <v>0</v>
      </c>
    </row>
    <row r="13" spans="1:150" x14ac:dyDescent="0.25">
      <c r="A13" s="57" t="s">
        <v>841</v>
      </c>
      <c r="B13" s="62">
        <v>0.2</v>
      </c>
      <c r="C13" s="58">
        <v>0</v>
      </c>
      <c r="D13" s="58">
        <v>1</v>
      </c>
      <c r="E13" s="58">
        <v>0</v>
      </c>
      <c r="F13" s="58">
        <v>1</v>
      </c>
      <c r="G13" s="58">
        <v>0</v>
      </c>
      <c r="H13" s="58">
        <v>0</v>
      </c>
      <c r="I13" s="58">
        <v>0</v>
      </c>
      <c r="J13" s="58">
        <v>0</v>
      </c>
      <c r="K13" s="58">
        <v>1</v>
      </c>
      <c r="L13" s="58">
        <v>0</v>
      </c>
      <c r="M13" s="58">
        <v>1</v>
      </c>
      <c r="N13" s="58">
        <v>0</v>
      </c>
      <c r="O13" s="58">
        <v>0</v>
      </c>
      <c r="P13" s="58">
        <v>0</v>
      </c>
      <c r="Q13" s="58">
        <v>0</v>
      </c>
      <c r="R13" s="58">
        <v>0</v>
      </c>
      <c r="S13" s="58">
        <v>0</v>
      </c>
      <c r="T13" s="58">
        <v>0</v>
      </c>
      <c r="U13" s="58">
        <v>0</v>
      </c>
      <c r="V13" s="58">
        <v>0</v>
      </c>
      <c r="W13" s="58">
        <v>0</v>
      </c>
      <c r="X13" s="58">
        <v>0</v>
      </c>
      <c r="Y13" s="58">
        <v>0</v>
      </c>
      <c r="Z13" s="58">
        <v>1</v>
      </c>
      <c r="AA13" s="58">
        <v>1</v>
      </c>
      <c r="AB13" s="58">
        <v>0</v>
      </c>
      <c r="AC13" s="58">
        <v>0</v>
      </c>
      <c r="AD13" s="58">
        <v>1</v>
      </c>
      <c r="AE13" s="58">
        <v>0</v>
      </c>
      <c r="AF13" s="58">
        <v>1</v>
      </c>
      <c r="AG13" s="58">
        <v>0</v>
      </c>
      <c r="AH13" s="58">
        <v>1</v>
      </c>
      <c r="AI13" s="58">
        <v>0</v>
      </c>
      <c r="AJ13" s="58">
        <v>0</v>
      </c>
      <c r="AK13" s="58">
        <v>0</v>
      </c>
      <c r="AL13" s="58">
        <v>0</v>
      </c>
      <c r="AM13" s="58">
        <v>0</v>
      </c>
      <c r="AN13" s="58">
        <v>0</v>
      </c>
      <c r="AO13" s="58">
        <v>0</v>
      </c>
      <c r="AP13" s="58">
        <v>0</v>
      </c>
      <c r="AQ13" s="58">
        <v>0</v>
      </c>
      <c r="AR13" s="58">
        <v>0</v>
      </c>
      <c r="AS13" s="58">
        <v>1</v>
      </c>
      <c r="AT13" s="58">
        <v>0</v>
      </c>
      <c r="AU13" s="58">
        <v>0</v>
      </c>
      <c r="AV13" s="58">
        <v>0</v>
      </c>
      <c r="AW13" s="58">
        <v>0</v>
      </c>
      <c r="AX13" s="58">
        <v>0</v>
      </c>
      <c r="AY13" s="58">
        <v>0</v>
      </c>
      <c r="AZ13" s="58">
        <v>0</v>
      </c>
      <c r="BA13" s="58">
        <v>0</v>
      </c>
      <c r="BB13" s="58">
        <v>1</v>
      </c>
      <c r="BC13" s="58">
        <v>0</v>
      </c>
      <c r="BD13" s="58">
        <v>0</v>
      </c>
      <c r="BE13" s="58">
        <v>0</v>
      </c>
      <c r="BF13" s="58">
        <v>1</v>
      </c>
      <c r="BG13" s="58">
        <v>0</v>
      </c>
      <c r="BH13" s="58">
        <v>0</v>
      </c>
      <c r="BI13" s="58">
        <v>0</v>
      </c>
      <c r="BJ13" s="58">
        <v>0</v>
      </c>
      <c r="BK13" s="58">
        <v>0</v>
      </c>
      <c r="BL13" s="58">
        <v>1</v>
      </c>
      <c r="BM13" s="58">
        <v>0</v>
      </c>
      <c r="BN13" s="58">
        <v>1</v>
      </c>
      <c r="BO13" s="58">
        <v>1</v>
      </c>
      <c r="BP13" s="58">
        <v>1</v>
      </c>
      <c r="BQ13" s="58">
        <v>0</v>
      </c>
      <c r="BR13" s="58">
        <v>0</v>
      </c>
      <c r="BS13" s="58">
        <v>0</v>
      </c>
      <c r="BT13" s="58">
        <v>0</v>
      </c>
      <c r="BU13" s="58">
        <v>0</v>
      </c>
      <c r="BV13" s="58">
        <v>0</v>
      </c>
      <c r="BW13" s="58">
        <v>1</v>
      </c>
      <c r="BX13" s="58">
        <v>1</v>
      </c>
      <c r="BY13" s="58">
        <v>1</v>
      </c>
      <c r="BZ13" s="58">
        <v>0</v>
      </c>
      <c r="CA13" s="58">
        <v>1</v>
      </c>
      <c r="CB13" s="58">
        <v>0</v>
      </c>
      <c r="CC13" s="58">
        <v>0</v>
      </c>
      <c r="CD13" s="58">
        <v>0</v>
      </c>
      <c r="CE13" s="58">
        <v>0</v>
      </c>
      <c r="CF13" s="58">
        <v>0</v>
      </c>
      <c r="CG13" s="58">
        <v>1</v>
      </c>
      <c r="CH13" s="58">
        <v>0</v>
      </c>
      <c r="CI13" s="58">
        <v>1</v>
      </c>
      <c r="CJ13" s="58">
        <v>1</v>
      </c>
      <c r="CK13" s="58">
        <v>0</v>
      </c>
      <c r="CL13" s="58">
        <v>0</v>
      </c>
      <c r="CM13" s="58">
        <v>0</v>
      </c>
      <c r="CN13" s="58">
        <v>0</v>
      </c>
      <c r="CO13" s="58">
        <v>0</v>
      </c>
      <c r="CP13" s="58">
        <v>1</v>
      </c>
      <c r="CQ13" s="58">
        <v>1</v>
      </c>
      <c r="CR13" s="58">
        <v>1</v>
      </c>
      <c r="CS13" s="58">
        <v>1</v>
      </c>
      <c r="CT13" s="58">
        <v>0</v>
      </c>
      <c r="CU13" s="58">
        <v>0</v>
      </c>
      <c r="CV13" s="58">
        <v>1</v>
      </c>
      <c r="CW13" s="58">
        <v>0</v>
      </c>
      <c r="CX13" s="58">
        <v>0</v>
      </c>
    </row>
    <row r="14" spans="1:150" x14ac:dyDescent="0.25">
      <c r="A14" s="57" t="s">
        <v>804</v>
      </c>
      <c r="B14" s="62">
        <v>0.1</v>
      </c>
      <c r="C14" s="58">
        <v>0</v>
      </c>
      <c r="D14" s="58">
        <v>0</v>
      </c>
      <c r="E14" s="58">
        <v>0</v>
      </c>
      <c r="F14" s="58">
        <v>1</v>
      </c>
      <c r="G14" s="58">
        <v>0</v>
      </c>
      <c r="H14" s="58">
        <v>0</v>
      </c>
      <c r="I14" s="58">
        <v>0</v>
      </c>
      <c r="J14" s="58">
        <v>1</v>
      </c>
      <c r="K14" s="58">
        <v>0</v>
      </c>
      <c r="L14" s="58">
        <v>0</v>
      </c>
      <c r="M14" s="58">
        <v>0</v>
      </c>
      <c r="N14" s="58">
        <v>0</v>
      </c>
      <c r="O14" s="58">
        <v>0</v>
      </c>
      <c r="P14" s="58">
        <v>0</v>
      </c>
      <c r="Q14" s="58">
        <v>0</v>
      </c>
      <c r="R14" s="58">
        <v>0</v>
      </c>
      <c r="S14" s="58">
        <v>0</v>
      </c>
      <c r="T14" s="58">
        <v>0</v>
      </c>
      <c r="U14" s="58">
        <v>0</v>
      </c>
      <c r="V14" s="58">
        <v>1</v>
      </c>
      <c r="W14" s="58">
        <v>0</v>
      </c>
      <c r="X14" s="58">
        <v>0</v>
      </c>
      <c r="Y14" s="58">
        <v>0</v>
      </c>
      <c r="Z14" s="58">
        <v>0</v>
      </c>
      <c r="AA14" s="58">
        <v>0</v>
      </c>
      <c r="AB14" s="58">
        <v>0</v>
      </c>
      <c r="AC14" s="58">
        <v>0</v>
      </c>
      <c r="AD14" s="58">
        <v>0</v>
      </c>
      <c r="AE14" s="58">
        <v>1</v>
      </c>
      <c r="AF14" s="58">
        <v>0</v>
      </c>
      <c r="AG14" s="58">
        <v>0</v>
      </c>
      <c r="AH14" s="58">
        <v>0</v>
      </c>
      <c r="AI14" s="58">
        <v>0</v>
      </c>
      <c r="AJ14" s="58">
        <v>0</v>
      </c>
      <c r="AK14" s="58">
        <v>0</v>
      </c>
      <c r="AL14" s="58">
        <v>0</v>
      </c>
      <c r="AM14" s="58">
        <v>0</v>
      </c>
      <c r="AN14" s="58">
        <v>0</v>
      </c>
      <c r="AO14" s="58">
        <v>0</v>
      </c>
      <c r="AP14" s="58">
        <v>0</v>
      </c>
      <c r="AQ14" s="58">
        <v>0</v>
      </c>
      <c r="AR14" s="58">
        <v>0</v>
      </c>
      <c r="AS14" s="58">
        <v>0</v>
      </c>
      <c r="AT14" s="58">
        <v>0</v>
      </c>
      <c r="AU14" s="58">
        <v>0</v>
      </c>
      <c r="AV14" s="58">
        <v>0</v>
      </c>
      <c r="AW14" s="58">
        <v>0</v>
      </c>
      <c r="AX14" s="58">
        <v>0</v>
      </c>
      <c r="AY14" s="58">
        <v>0</v>
      </c>
      <c r="AZ14" s="58">
        <v>0</v>
      </c>
      <c r="BA14" s="58">
        <v>0</v>
      </c>
      <c r="BB14" s="58">
        <v>0</v>
      </c>
      <c r="BC14" s="58">
        <v>0</v>
      </c>
      <c r="BD14" s="58">
        <v>0</v>
      </c>
      <c r="BE14" s="58">
        <v>0</v>
      </c>
      <c r="BF14" s="58">
        <v>0</v>
      </c>
      <c r="BG14" s="58">
        <v>0</v>
      </c>
      <c r="BH14" s="58">
        <v>0</v>
      </c>
      <c r="BI14" s="58">
        <v>0</v>
      </c>
      <c r="BJ14" s="58">
        <v>0</v>
      </c>
      <c r="BK14" s="58">
        <v>0</v>
      </c>
      <c r="BL14" s="58">
        <v>0</v>
      </c>
      <c r="BM14" s="58">
        <v>0</v>
      </c>
      <c r="BN14" s="58">
        <v>0</v>
      </c>
      <c r="BO14" s="58">
        <v>0</v>
      </c>
      <c r="BP14" s="58">
        <v>1</v>
      </c>
      <c r="BQ14" s="58">
        <v>0</v>
      </c>
      <c r="BR14" s="58">
        <v>0</v>
      </c>
      <c r="BS14" s="58">
        <v>0</v>
      </c>
      <c r="BT14" s="58">
        <v>0</v>
      </c>
      <c r="BU14" s="58">
        <v>0</v>
      </c>
      <c r="BV14" s="58">
        <v>0</v>
      </c>
      <c r="BW14" s="58">
        <v>1</v>
      </c>
      <c r="BX14" s="58">
        <v>0</v>
      </c>
      <c r="BY14" s="58">
        <v>0</v>
      </c>
      <c r="BZ14" s="58">
        <v>1</v>
      </c>
      <c r="CA14" s="58">
        <v>0</v>
      </c>
      <c r="CB14" s="58">
        <v>0</v>
      </c>
      <c r="CC14" s="58">
        <v>1</v>
      </c>
      <c r="CD14" s="58">
        <v>0</v>
      </c>
      <c r="CE14" s="58">
        <v>1</v>
      </c>
      <c r="CF14" s="58">
        <v>0</v>
      </c>
      <c r="CG14" s="58">
        <v>0</v>
      </c>
      <c r="CH14" s="58">
        <v>1</v>
      </c>
      <c r="CI14" s="58">
        <v>0</v>
      </c>
      <c r="CJ14" s="58">
        <v>0</v>
      </c>
      <c r="CK14" s="58">
        <v>0</v>
      </c>
      <c r="CL14" s="58">
        <v>0</v>
      </c>
      <c r="CM14" s="58">
        <v>0</v>
      </c>
      <c r="CN14" s="58">
        <v>0</v>
      </c>
      <c r="CO14" s="58">
        <v>0</v>
      </c>
      <c r="CP14" s="58">
        <v>0</v>
      </c>
      <c r="CQ14" s="58">
        <v>0</v>
      </c>
      <c r="CR14" s="58">
        <v>0</v>
      </c>
      <c r="CS14" s="58">
        <v>0</v>
      </c>
      <c r="CT14" s="58">
        <v>0</v>
      </c>
      <c r="CU14" s="58">
        <v>0</v>
      </c>
      <c r="CV14" s="58">
        <v>0</v>
      </c>
      <c r="CW14" s="58">
        <v>0</v>
      </c>
      <c r="CX14" s="58">
        <v>0</v>
      </c>
    </row>
    <row r="15" spans="1:150" x14ac:dyDescent="0.25">
      <c r="A15" s="57" t="s">
        <v>805</v>
      </c>
      <c r="B15" s="62">
        <v>0.4</v>
      </c>
      <c r="C15" s="58">
        <v>0</v>
      </c>
      <c r="D15" s="58">
        <v>1</v>
      </c>
      <c r="E15" s="58">
        <v>0</v>
      </c>
      <c r="F15" s="58">
        <v>0</v>
      </c>
      <c r="G15" s="58">
        <v>0</v>
      </c>
      <c r="H15" s="58">
        <v>1</v>
      </c>
      <c r="I15" s="58">
        <v>0</v>
      </c>
      <c r="J15" s="58">
        <v>0</v>
      </c>
      <c r="K15" s="58">
        <v>1</v>
      </c>
      <c r="L15" s="58">
        <v>1</v>
      </c>
      <c r="M15" s="58">
        <v>0</v>
      </c>
      <c r="N15" s="58">
        <v>1</v>
      </c>
      <c r="O15" s="58">
        <v>0</v>
      </c>
      <c r="P15" s="58">
        <v>1</v>
      </c>
      <c r="Q15" s="58">
        <v>1</v>
      </c>
      <c r="R15" s="58">
        <v>0</v>
      </c>
      <c r="S15" s="58">
        <v>0</v>
      </c>
      <c r="T15" s="58">
        <v>1</v>
      </c>
      <c r="U15" s="58">
        <v>1</v>
      </c>
      <c r="V15" s="58">
        <v>1</v>
      </c>
      <c r="W15" s="58">
        <v>1</v>
      </c>
      <c r="X15" s="58">
        <v>0</v>
      </c>
      <c r="Y15" s="58">
        <v>0</v>
      </c>
      <c r="Z15" s="58">
        <v>0</v>
      </c>
      <c r="AA15" s="58">
        <v>0</v>
      </c>
      <c r="AB15" s="58">
        <v>1</v>
      </c>
      <c r="AC15" s="58">
        <v>1</v>
      </c>
      <c r="AD15" s="58">
        <v>1</v>
      </c>
      <c r="AE15" s="58">
        <v>0</v>
      </c>
      <c r="AF15" s="58">
        <v>1</v>
      </c>
      <c r="AG15" s="58">
        <v>1</v>
      </c>
      <c r="AH15" s="58">
        <v>0</v>
      </c>
      <c r="AI15" s="58">
        <v>0</v>
      </c>
      <c r="AJ15" s="58">
        <v>0</v>
      </c>
      <c r="AK15" s="58">
        <v>0</v>
      </c>
      <c r="AL15" s="58">
        <v>0</v>
      </c>
      <c r="AM15" s="58">
        <v>1</v>
      </c>
      <c r="AN15" s="58">
        <v>0</v>
      </c>
      <c r="AO15" s="58">
        <v>1</v>
      </c>
      <c r="AP15" s="58">
        <v>0</v>
      </c>
      <c r="AQ15" s="58">
        <v>0</v>
      </c>
      <c r="AR15" s="58">
        <v>1</v>
      </c>
      <c r="AS15" s="58">
        <v>0</v>
      </c>
      <c r="AT15" s="58">
        <v>1</v>
      </c>
      <c r="AU15" s="58">
        <v>0</v>
      </c>
      <c r="AV15" s="58">
        <v>0</v>
      </c>
      <c r="AW15" s="58">
        <v>1</v>
      </c>
      <c r="AX15" s="58">
        <v>1</v>
      </c>
      <c r="AY15" s="58">
        <v>0</v>
      </c>
      <c r="AZ15" s="58">
        <v>1</v>
      </c>
      <c r="BA15" s="58">
        <v>0</v>
      </c>
      <c r="BB15" s="58">
        <v>1</v>
      </c>
      <c r="BC15" s="58">
        <v>0</v>
      </c>
      <c r="BD15" s="58">
        <v>0</v>
      </c>
      <c r="BE15" s="58">
        <v>0</v>
      </c>
      <c r="BF15" s="58">
        <v>0</v>
      </c>
      <c r="BG15" s="58">
        <v>0</v>
      </c>
      <c r="BH15" s="58">
        <v>0</v>
      </c>
      <c r="BI15" s="58">
        <v>0</v>
      </c>
      <c r="BJ15" s="58">
        <v>0</v>
      </c>
      <c r="BK15" s="58">
        <v>1</v>
      </c>
      <c r="BL15" s="58">
        <v>1</v>
      </c>
      <c r="BM15" s="58">
        <v>0</v>
      </c>
      <c r="BN15" s="58">
        <v>1</v>
      </c>
      <c r="BO15" s="58">
        <v>0</v>
      </c>
      <c r="BP15" s="58">
        <v>1</v>
      </c>
      <c r="BQ15" s="58">
        <v>0</v>
      </c>
      <c r="BR15" s="58">
        <v>0</v>
      </c>
      <c r="BS15" s="58">
        <v>0</v>
      </c>
      <c r="BT15" s="58">
        <v>0</v>
      </c>
      <c r="BU15" s="58">
        <v>0</v>
      </c>
      <c r="BV15" s="58">
        <v>0</v>
      </c>
      <c r="BW15" s="58">
        <v>1</v>
      </c>
      <c r="BX15" s="58">
        <v>0</v>
      </c>
      <c r="BY15" s="58">
        <v>0</v>
      </c>
      <c r="BZ15" s="58">
        <v>0</v>
      </c>
      <c r="CA15" s="58">
        <v>1</v>
      </c>
      <c r="CB15" s="58">
        <v>0</v>
      </c>
      <c r="CC15" s="58">
        <v>0</v>
      </c>
      <c r="CD15" s="58">
        <v>0</v>
      </c>
      <c r="CE15" s="58">
        <v>0</v>
      </c>
      <c r="CF15" s="58">
        <v>1</v>
      </c>
      <c r="CG15" s="58">
        <v>0</v>
      </c>
      <c r="CH15" s="58">
        <v>0</v>
      </c>
      <c r="CI15" s="58">
        <v>1</v>
      </c>
      <c r="CJ15" s="58">
        <v>0</v>
      </c>
      <c r="CK15" s="58">
        <v>1</v>
      </c>
      <c r="CL15" s="58">
        <v>1</v>
      </c>
      <c r="CM15" s="58">
        <v>1</v>
      </c>
      <c r="CN15" s="58">
        <v>0</v>
      </c>
      <c r="CO15" s="58">
        <v>0</v>
      </c>
      <c r="CP15" s="58">
        <v>0</v>
      </c>
      <c r="CQ15" s="58">
        <v>1</v>
      </c>
      <c r="CR15" s="58">
        <v>1</v>
      </c>
      <c r="CS15" s="58">
        <v>1</v>
      </c>
      <c r="CT15" s="58">
        <v>0</v>
      </c>
      <c r="CU15" s="58">
        <v>0</v>
      </c>
      <c r="CV15" s="58">
        <v>0</v>
      </c>
      <c r="CW15" s="58">
        <v>0</v>
      </c>
      <c r="CX15" s="58">
        <v>0</v>
      </c>
    </row>
    <row r="16" spans="1:150" ht="25.5" x14ac:dyDescent="0.25">
      <c r="A16" s="57" t="s">
        <v>806</v>
      </c>
      <c r="B16" s="62">
        <v>0.18</v>
      </c>
      <c r="C16" s="58">
        <v>0</v>
      </c>
      <c r="D16" s="58">
        <v>0</v>
      </c>
      <c r="E16" s="58">
        <v>0</v>
      </c>
      <c r="F16" s="58">
        <v>0</v>
      </c>
      <c r="G16" s="58">
        <v>0</v>
      </c>
      <c r="H16" s="58">
        <v>0</v>
      </c>
      <c r="I16" s="58">
        <v>1</v>
      </c>
      <c r="J16" s="58">
        <v>0</v>
      </c>
      <c r="K16" s="58">
        <v>0</v>
      </c>
      <c r="L16" s="58">
        <v>0</v>
      </c>
      <c r="M16" s="58">
        <v>0</v>
      </c>
      <c r="N16" s="58">
        <v>0</v>
      </c>
      <c r="O16" s="58">
        <v>1</v>
      </c>
      <c r="P16" s="58">
        <v>0</v>
      </c>
      <c r="Q16" s="58">
        <v>0</v>
      </c>
      <c r="R16" s="58">
        <v>0</v>
      </c>
      <c r="S16" s="58">
        <v>0</v>
      </c>
      <c r="T16" s="58">
        <v>0</v>
      </c>
      <c r="U16" s="58">
        <v>0</v>
      </c>
      <c r="V16" s="58">
        <v>0</v>
      </c>
      <c r="W16" s="58">
        <v>0</v>
      </c>
      <c r="X16" s="58">
        <v>0</v>
      </c>
      <c r="Y16" s="58">
        <v>1</v>
      </c>
      <c r="Z16" s="58">
        <v>0</v>
      </c>
      <c r="AA16" s="58">
        <v>0</v>
      </c>
      <c r="AB16" s="58">
        <v>0</v>
      </c>
      <c r="AC16" s="58">
        <v>0</v>
      </c>
      <c r="AD16" s="58">
        <v>0</v>
      </c>
      <c r="AE16" s="58">
        <v>0</v>
      </c>
      <c r="AF16" s="58">
        <v>1</v>
      </c>
      <c r="AG16" s="58">
        <v>0</v>
      </c>
      <c r="AH16" s="58">
        <v>0</v>
      </c>
      <c r="AI16" s="58">
        <v>0</v>
      </c>
      <c r="AJ16" s="58">
        <v>0</v>
      </c>
      <c r="AK16" s="58">
        <v>0</v>
      </c>
      <c r="AL16" s="58">
        <v>0</v>
      </c>
      <c r="AM16" s="58">
        <v>0</v>
      </c>
      <c r="AN16" s="58">
        <v>0</v>
      </c>
      <c r="AO16" s="58">
        <v>0</v>
      </c>
      <c r="AP16" s="58">
        <v>0</v>
      </c>
      <c r="AQ16" s="58">
        <v>1</v>
      </c>
      <c r="AR16" s="58">
        <v>1</v>
      </c>
      <c r="AS16" s="58">
        <v>0</v>
      </c>
      <c r="AT16" s="58">
        <v>1</v>
      </c>
      <c r="AU16" s="58">
        <v>0</v>
      </c>
      <c r="AV16" s="58">
        <v>0</v>
      </c>
      <c r="AW16" s="58">
        <v>0</v>
      </c>
      <c r="AX16" s="58">
        <v>1</v>
      </c>
      <c r="AY16" s="58">
        <v>0</v>
      </c>
      <c r="AZ16" s="58">
        <v>0</v>
      </c>
      <c r="BA16" s="58">
        <v>0</v>
      </c>
      <c r="BB16" s="58">
        <v>0</v>
      </c>
      <c r="BC16" s="58">
        <v>0</v>
      </c>
      <c r="BD16" s="58">
        <v>0</v>
      </c>
      <c r="BE16" s="58">
        <v>0</v>
      </c>
      <c r="BF16" s="58">
        <v>0</v>
      </c>
      <c r="BG16" s="58">
        <v>1</v>
      </c>
      <c r="BH16" s="58">
        <v>0</v>
      </c>
      <c r="BI16" s="58">
        <v>1</v>
      </c>
      <c r="BJ16" s="58">
        <v>0</v>
      </c>
      <c r="BK16" s="58">
        <v>0</v>
      </c>
      <c r="BL16" s="58">
        <v>0</v>
      </c>
      <c r="BM16" s="58">
        <v>0</v>
      </c>
      <c r="BN16" s="58">
        <v>1</v>
      </c>
      <c r="BO16" s="58">
        <v>0</v>
      </c>
      <c r="BP16" s="58">
        <v>0</v>
      </c>
      <c r="BQ16" s="58">
        <v>0</v>
      </c>
      <c r="BR16" s="58">
        <v>0</v>
      </c>
      <c r="BS16" s="58">
        <v>0</v>
      </c>
      <c r="BT16" s="58">
        <v>0</v>
      </c>
      <c r="BU16" s="58">
        <v>0</v>
      </c>
      <c r="BV16" s="58">
        <v>0</v>
      </c>
      <c r="BW16" s="58">
        <v>0</v>
      </c>
      <c r="BX16" s="58">
        <v>1</v>
      </c>
      <c r="BY16" s="58">
        <v>0</v>
      </c>
      <c r="BZ16" s="58">
        <v>0</v>
      </c>
      <c r="CA16" s="58">
        <v>0</v>
      </c>
      <c r="CB16" s="58">
        <v>0</v>
      </c>
      <c r="CC16" s="58">
        <v>0</v>
      </c>
      <c r="CD16" s="58">
        <v>0</v>
      </c>
      <c r="CE16" s="58">
        <v>0</v>
      </c>
      <c r="CF16" s="58">
        <v>0</v>
      </c>
      <c r="CG16" s="58">
        <v>1</v>
      </c>
      <c r="CH16" s="58">
        <v>0</v>
      </c>
      <c r="CI16" s="58">
        <v>1</v>
      </c>
      <c r="CJ16" s="58">
        <v>0</v>
      </c>
      <c r="CK16" s="58">
        <v>0</v>
      </c>
      <c r="CL16" s="58">
        <v>1</v>
      </c>
      <c r="CM16" s="58">
        <v>1</v>
      </c>
      <c r="CN16" s="58">
        <v>0</v>
      </c>
      <c r="CO16" s="58">
        <v>0</v>
      </c>
      <c r="CP16" s="58">
        <v>0</v>
      </c>
      <c r="CQ16" s="58">
        <v>0</v>
      </c>
      <c r="CR16" s="58">
        <v>1</v>
      </c>
      <c r="CS16" s="58">
        <v>0</v>
      </c>
      <c r="CT16" s="58">
        <v>0</v>
      </c>
      <c r="CU16" s="58">
        <v>0</v>
      </c>
      <c r="CV16" s="58">
        <v>0</v>
      </c>
      <c r="CW16" s="58">
        <v>0</v>
      </c>
      <c r="CX16" s="58">
        <v>0</v>
      </c>
    </row>
    <row r="17" spans="1:102" x14ac:dyDescent="0.25">
      <c r="A17" s="57" t="s">
        <v>842</v>
      </c>
      <c r="B17" s="62">
        <v>0.26</v>
      </c>
      <c r="C17" s="58">
        <v>0</v>
      </c>
      <c r="D17" s="58">
        <v>1</v>
      </c>
      <c r="E17" s="58">
        <v>1</v>
      </c>
      <c r="F17" s="58">
        <v>1</v>
      </c>
      <c r="G17" s="58">
        <v>0</v>
      </c>
      <c r="H17" s="58">
        <v>0</v>
      </c>
      <c r="I17" s="58">
        <v>0</v>
      </c>
      <c r="J17" s="58">
        <v>0</v>
      </c>
      <c r="K17" s="58">
        <v>1</v>
      </c>
      <c r="L17" s="58">
        <v>0</v>
      </c>
      <c r="M17" s="58">
        <v>0</v>
      </c>
      <c r="N17" s="58">
        <v>1</v>
      </c>
      <c r="O17" s="58">
        <v>0</v>
      </c>
      <c r="P17" s="58">
        <v>1</v>
      </c>
      <c r="Q17" s="58">
        <v>0</v>
      </c>
      <c r="R17" s="58">
        <v>0</v>
      </c>
      <c r="S17" s="58">
        <v>1</v>
      </c>
      <c r="T17" s="58">
        <v>0</v>
      </c>
      <c r="U17" s="58">
        <v>0</v>
      </c>
      <c r="V17" s="58">
        <v>0</v>
      </c>
      <c r="W17" s="58">
        <v>1</v>
      </c>
      <c r="X17" s="58">
        <v>0</v>
      </c>
      <c r="Y17" s="58">
        <v>0</v>
      </c>
      <c r="Z17" s="58">
        <v>1</v>
      </c>
      <c r="AA17" s="58">
        <v>1</v>
      </c>
      <c r="AB17" s="58">
        <v>1</v>
      </c>
      <c r="AC17" s="58">
        <v>0</v>
      </c>
      <c r="AD17" s="58">
        <v>0</v>
      </c>
      <c r="AE17" s="58">
        <v>0</v>
      </c>
      <c r="AF17" s="58">
        <v>1</v>
      </c>
      <c r="AG17" s="58">
        <v>0</v>
      </c>
      <c r="AH17" s="58">
        <v>0</v>
      </c>
      <c r="AI17" s="58">
        <v>0</v>
      </c>
      <c r="AJ17" s="58">
        <v>0</v>
      </c>
      <c r="AK17" s="58">
        <v>0</v>
      </c>
      <c r="AL17" s="58">
        <v>1</v>
      </c>
      <c r="AM17" s="58">
        <v>1</v>
      </c>
      <c r="AN17" s="58">
        <v>0</v>
      </c>
      <c r="AO17" s="58">
        <v>1</v>
      </c>
      <c r="AP17" s="58">
        <v>0</v>
      </c>
      <c r="AQ17" s="58">
        <v>1</v>
      </c>
      <c r="AR17" s="58">
        <v>0</v>
      </c>
      <c r="AS17" s="58">
        <v>0</v>
      </c>
      <c r="AT17" s="58">
        <v>0</v>
      </c>
      <c r="AU17" s="58">
        <v>0</v>
      </c>
      <c r="AV17" s="58">
        <v>0</v>
      </c>
      <c r="AW17" s="58">
        <v>0</v>
      </c>
      <c r="AX17" s="58">
        <v>1</v>
      </c>
      <c r="AY17" s="58">
        <v>0</v>
      </c>
      <c r="AZ17" s="58">
        <v>0</v>
      </c>
      <c r="BA17" s="58">
        <v>0</v>
      </c>
      <c r="BB17" s="58">
        <v>0</v>
      </c>
      <c r="BC17" s="58">
        <v>1</v>
      </c>
      <c r="BD17" s="58">
        <v>0</v>
      </c>
      <c r="BE17" s="58">
        <v>0</v>
      </c>
      <c r="BF17" s="58">
        <v>0</v>
      </c>
      <c r="BG17" s="58">
        <v>0</v>
      </c>
      <c r="BH17" s="58">
        <v>0</v>
      </c>
      <c r="BI17" s="58">
        <v>0</v>
      </c>
      <c r="BJ17" s="58">
        <v>0</v>
      </c>
      <c r="BK17" s="58">
        <v>0</v>
      </c>
      <c r="BL17" s="58">
        <v>0</v>
      </c>
      <c r="BM17" s="58">
        <v>0</v>
      </c>
      <c r="BN17" s="58">
        <v>0</v>
      </c>
      <c r="BO17" s="58">
        <v>0</v>
      </c>
      <c r="BP17" s="58">
        <v>0</v>
      </c>
      <c r="BQ17" s="58">
        <v>0</v>
      </c>
      <c r="BR17" s="58">
        <v>0</v>
      </c>
      <c r="BS17" s="58">
        <v>0</v>
      </c>
      <c r="BT17" s="58">
        <v>0</v>
      </c>
      <c r="BU17" s="58">
        <v>1</v>
      </c>
      <c r="BV17" s="58">
        <v>0</v>
      </c>
      <c r="BW17" s="58">
        <v>0</v>
      </c>
      <c r="BX17" s="58">
        <v>0</v>
      </c>
      <c r="BY17" s="58">
        <v>0</v>
      </c>
      <c r="BZ17" s="58">
        <v>0</v>
      </c>
      <c r="CA17" s="58">
        <v>0</v>
      </c>
      <c r="CB17" s="58">
        <v>0</v>
      </c>
      <c r="CC17" s="58">
        <v>0</v>
      </c>
      <c r="CD17" s="58">
        <v>0</v>
      </c>
      <c r="CE17" s="58">
        <v>1</v>
      </c>
      <c r="CF17" s="58">
        <v>0</v>
      </c>
      <c r="CG17" s="58">
        <v>1</v>
      </c>
      <c r="CH17" s="58">
        <v>0</v>
      </c>
      <c r="CI17" s="58">
        <v>0</v>
      </c>
      <c r="CJ17" s="58">
        <v>0</v>
      </c>
      <c r="CK17" s="58">
        <v>0</v>
      </c>
      <c r="CL17" s="58">
        <v>0</v>
      </c>
      <c r="CM17" s="58">
        <v>0</v>
      </c>
      <c r="CN17" s="58">
        <v>1</v>
      </c>
      <c r="CO17" s="58">
        <v>0</v>
      </c>
      <c r="CP17" s="58">
        <v>0</v>
      </c>
      <c r="CQ17" s="58">
        <v>0</v>
      </c>
      <c r="CR17" s="58">
        <v>1</v>
      </c>
      <c r="CS17" s="58">
        <v>0</v>
      </c>
      <c r="CT17" s="58">
        <v>0</v>
      </c>
      <c r="CU17" s="58">
        <v>0</v>
      </c>
      <c r="CV17" s="58">
        <v>0</v>
      </c>
      <c r="CW17" s="58">
        <v>0</v>
      </c>
      <c r="CX17" s="58">
        <v>0</v>
      </c>
    </row>
    <row r="18" spans="1:102" x14ac:dyDescent="0.25">
      <c r="A18" s="57" t="s">
        <v>807</v>
      </c>
      <c r="B18" s="62">
        <v>0.15</v>
      </c>
      <c r="C18" s="58">
        <v>0</v>
      </c>
      <c r="D18" s="58">
        <v>1</v>
      </c>
      <c r="E18" s="58">
        <v>0</v>
      </c>
      <c r="F18" s="58">
        <v>0</v>
      </c>
      <c r="G18" s="58">
        <v>0</v>
      </c>
      <c r="H18" s="58">
        <v>0</v>
      </c>
      <c r="I18" s="58">
        <v>0</v>
      </c>
      <c r="J18" s="58">
        <v>0</v>
      </c>
      <c r="K18" s="58">
        <v>1</v>
      </c>
      <c r="L18" s="58">
        <v>0</v>
      </c>
      <c r="M18" s="58">
        <v>0</v>
      </c>
      <c r="N18" s="58">
        <v>0</v>
      </c>
      <c r="O18" s="58">
        <v>0</v>
      </c>
      <c r="P18" s="58">
        <v>0</v>
      </c>
      <c r="Q18" s="58">
        <v>0</v>
      </c>
      <c r="R18" s="58">
        <v>0</v>
      </c>
      <c r="S18" s="58">
        <v>0</v>
      </c>
      <c r="T18" s="58">
        <v>0</v>
      </c>
      <c r="U18" s="58">
        <v>0</v>
      </c>
      <c r="V18" s="58">
        <v>0</v>
      </c>
      <c r="W18" s="58">
        <v>0</v>
      </c>
      <c r="X18" s="58">
        <v>0</v>
      </c>
      <c r="Y18" s="58">
        <v>1</v>
      </c>
      <c r="Z18" s="58">
        <v>0</v>
      </c>
      <c r="AA18" s="58">
        <v>0</v>
      </c>
      <c r="AB18" s="58">
        <v>0</v>
      </c>
      <c r="AC18" s="58">
        <v>0</v>
      </c>
      <c r="AD18" s="58">
        <v>0</v>
      </c>
      <c r="AE18" s="58">
        <v>0</v>
      </c>
      <c r="AF18" s="58">
        <v>0</v>
      </c>
      <c r="AG18" s="58">
        <v>0</v>
      </c>
      <c r="AH18" s="58">
        <v>0</v>
      </c>
      <c r="AI18" s="58">
        <v>0</v>
      </c>
      <c r="AJ18" s="58">
        <v>0</v>
      </c>
      <c r="AK18" s="58">
        <v>0</v>
      </c>
      <c r="AL18" s="58">
        <v>0</v>
      </c>
      <c r="AM18" s="58">
        <v>0</v>
      </c>
      <c r="AN18" s="58">
        <v>0</v>
      </c>
      <c r="AO18" s="58">
        <v>0</v>
      </c>
      <c r="AP18" s="58">
        <v>1</v>
      </c>
      <c r="AQ18" s="58">
        <v>0</v>
      </c>
      <c r="AR18" s="58">
        <v>0</v>
      </c>
      <c r="AS18" s="58">
        <v>0</v>
      </c>
      <c r="AT18" s="58">
        <v>0</v>
      </c>
      <c r="AU18" s="58">
        <v>0</v>
      </c>
      <c r="AV18" s="58">
        <v>0</v>
      </c>
      <c r="AW18" s="58">
        <v>0</v>
      </c>
      <c r="AX18" s="58">
        <v>0</v>
      </c>
      <c r="AY18" s="58">
        <v>0</v>
      </c>
      <c r="AZ18" s="58">
        <v>1</v>
      </c>
      <c r="BA18" s="58">
        <v>0</v>
      </c>
      <c r="BB18" s="58">
        <v>1</v>
      </c>
      <c r="BC18" s="58">
        <v>0</v>
      </c>
      <c r="BD18" s="58">
        <v>1</v>
      </c>
      <c r="BE18" s="58">
        <v>0</v>
      </c>
      <c r="BF18" s="58">
        <v>0</v>
      </c>
      <c r="BG18" s="58">
        <v>0</v>
      </c>
      <c r="BH18" s="58">
        <v>0</v>
      </c>
      <c r="BI18" s="58">
        <v>0</v>
      </c>
      <c r="BJ18" s="58">
        <v>0</v>
      </c>
      <c r="BK18" s="58">
        <v>0</v>
      </c>
      <c r="BL18" s="58">
        <v>0</v>
      </c>
      <c r="BM18" s="58">
        <v>1</v>
      </c>
      <c r="BN18" s="58">
        <v>1</v>
      </c>
      <c r="BO18" s="58">
        <v>0</v>
      </c>
      <c r="BP18" s="58">
        <v>0</v>
      </c>
      <c r="BQ18" s="58">
        <v>0</v>
      </c>
      <c r="BR18" s="58">
        <v>0</v>
      </c>
      <c r="BS18" s="58">
        <v>1</v>
      </c>
      <c r="BT18" s="58">
        <v>0</v>
      </c>
      <c r="BU18" s="58">
        <v>0</v>
      </c>
      <c r="BV18" s="58">
        <v>0</v>
      </c>
      <c r="BW18" s="58">
        <v>0</v>
      </c>
      <c r="BX18" s="58">
        <v>0</v>
      </c>
      <c r="BY18" s="58">
        <v>0</v>
      </c>
      <c r="BZ18" s="58">
        <v>0</v>
      </c>
      <c r="CA18" s="58">
        <v>0</v>
      </c>
      <c r="CB18" s="58">
        <v>0</v>
      </c>
      <c r="CC18" s="58">
        <v>0</v>
      </c>
      <c r="CD18" s="58">
        <v>1</v>
      </c>
      <c r="CE18" s="58">
        <v>0</v>
      </c>
      <c r="CF18" s="58">
        <v>0</v>
      </c>
      <c r="CG18" s="58">
        <v>0</v>
      </c>
      <c r="CH18" s="58">
        <v>1</v>
      </c>
      <c r="CI18" s="58">
        <v>0</v>
      </c>
      <c r="CJ18" s="58">
        <v>1</v>
      </c>
      <c r="CK18" s="58">
        <v>0</v>
      </c>
      <c r="CL18" s="58">
        <v>0</v>
      </c>
      <c r="CM18" s="58">
        <v>0</v>
      </c>
      <c r="CN18" s="58">
        <v>0</v>
      </c>
      <c r="CO18" s="58">
        <v>0</v>
      </c>
      <c r="CP18" s="58">
        <v>1</v>
      </c>
      <c r="CQ18" s="58">
        <v>0</v>
      </c>
      <c r="CR18" s="58">
        <v>0</v>
      </c>
      <c r="CS18" s="58">
        <v>0</v>
      </c>
      <c r="CT18" s="58">
        <v>0</v>
      </c>
      <c r="CU18" s="58">
        <v>0</v>
      </c>
      <c r="CV18" s="58">
        <v>0</v>
      </c>
      <c r="CW18" s="58">
        <v>0</v>
      </c>
      <c r="CX18" s="58">
        <v>0</v>
      </c>
    </row>
    <row r="19" spans="1:102" x14ac:dyDescent="0.25">
      <c r="A19" s="57" t="s">
        <v>808</v>
      </c>
      <c r="B19" s="62">
        <v>0.25</v>
      </c>
      <c r="C19" s="58">
        <v>0</v>
      </c>
      <c r="D19" s="58">
        <v>0</v>
      </c>
      <c r="E19" s="58">
        <v>0</v>
      </c>
      <c r="F19" s="58">
        <v>0</v>
      </c>
      <c r="G19" s="58">
        <v>0</v>
      </c>
      <c r="H19" s="58">
        <v>0</v>
      </c>
      <c r="I19" s="58">
        <v>0</v>
      </c>
      <c r="J19" s="58">
        <v>1</v>
      </c>
      <c r="K19" s="58">
        <v>1</v>
      </c>
      <c r="L19" s="58">
        <v>0</v>
      </c>
      <c r="M19" s="58">
        <v>0</v>
      </c>
      <c r="N19" s="58">
        <v>0</v>
      </c>
      <c r="O19" s="58">
        <v>0</v>
      </c>
      <c r="P19" s="58">
        <v>0</v>
      </c>
      <c r="Q19" s="58">
        <v>0</v>
      </c>
      <c r="R19" s="58">
        <v>0</v>
      </c>
      <c r="S19" s="58">
        <v>0</v>
      </c>
      <c r="T19" s="58">
        <v>1</v>
      </c>
      <c r="U19" s="58">
        <v>0</v>
      </c>
      <c r="V19" s="58">
        <v>1</v>
      </c>
      <c r="W19" s="58">
        <v>0</v>
      </c>
      <c r="X19" s="58">
        <v>0</v>
      </c>
      <c r="Y19" s="58">
        <v>0</v>
      </c>
      <c r="Z19" s="58">
        <v>1</v>
      </c>
      <c r="AA19" s="58">
        <v>0</v>
      </c>
      <c r="AB19" s="58">
        <v>0</v>
      </c>
      <c r="AC19" s="58">
        <v>0</v>
      </c>
      <c r="AD19" s="58">
        <v>0</v>
      </c>
      <c r="AE19" s="58">
        <v>0</v>
      </c>
      <c r="AF19" s="58">
        <v>1</v>
      </c>
      <c r="AG19" s="58">
        <v>1</v>
      </c>
      <c r="AH19" s="58">
        <v>0</v>
      </c>
      <c r="AI19" s="58">
        <v>0</v>
      </c>
      <c r="AJ19" s="58">
        <v>1</v>
      </c>
      <c r="AK19" s="58">
        <v>0</v>
      </c>
      <c r="AL19" s="58">
        <v>0</v>
      </c>
      <c r="AM19" s="58">
        <v>0</v>
      </c>
      <c r="AN19" s="58">
        <v>0</v>
      </c>
      <c r="AO19" s="58">
        <v>1</v>
      </c>
      <c r="AP19" s="58">
        <v>1</v>
      </c>
      <c r="AQ19" s="58">
        <v>1</v>
      </c>
      <c r="AR19" s="58">
        <v>1</v>
      </c>
      <c r="AS19" s="58">
        <v>1</v>
      </c>
      <c r="AT19" s="58">
        <v>0</v>
      </c>
      <c r="AU19" s="58">
        <v>0</v>
      </c>
      <c r="AV19" s="58">
        <v>0</v>
      </c>
      <c r="AW19" s="58">
        <v>0</v>
      </c>
      <c r="AX19" s="58">
        <v>0</v>
      </c>
      <c r="AY19" s="58">
        <v>1</v>
      </c>
      <c r="AZ19" s="58">
        <v>0</v>
      </c>
      <c r="BA19" s="58">
        <v>0</v>
      </c>
      <c r="BB19" s="58">
        <v>0</v>
      </c>
      <c r="BC19" s="58">
        <v>0</v>
      </c>
      <c r="BD19" s="58">
        <v>1</v>
      </c>
      <c r="BE19" s="58">
        <v>0</v>
      </c>
      <c r="BF19" s="58">
        <v>0</v>
      </c>
      <c r="BG19" s="58">
        <v>0</v>
      </c>
      <c r="BH19" s="58">
        <v>0</v>
      </c>
      <c r="BI19" s="58">
        <v>1</v>
      </c>
      <c r="BJ19" s="58">
        <v>1</v>
      </c>
      <c r="BK19" s="58">
        <v>0</v>
      </c>
      <c r="BL19" s="58">
        <v>1</v>
      </c>
      <c r="BM19" s="58">
        <v>0</v>
      </c>
      <c r="BN19" s="58">
        <v>0</v>
      </c>
      <c r="BO19" s="58">
        <v>0</v>
      </c>
      <c r="BP19" s="58">
        <v>0</v>
      </c>
      <c r="BQ19" s="58">
        <v>0</v>
      </c>
      <c r="BR19" s="58">
        <v>1</v>
      </c>
      <c r="BS19" s="58">
        <v>0</v>
      </c>
      <c r="BT19" s="58">
        <v>0</v>
      </c>
      <c r="BU19" s="58">
        <v>0</v>
      </c>
      <c r="BV19" s="58">
        <v>0</v>
      </c>
      <c r="BW19" s="58">
        <v>0</v>
      </c>
      <c r="BX19" s="58">
        <v>1</v>
      </c>
      <c r="BY19" s="58">
        <v>1</v>
      </c>
      <c r="BZ19" s="58">
        <v>1</v>
      </c>
      <c r="CA19" s="58">
        <v>0</v>
      </c>
      <c r="CB19" s="58">
        <v>0</v>
      </c>
      <c r="CC19" s="58">
        <v>0</v>
      </c>
      <c r="CD19" s="58">
        <v>0</v>
      </c>
      <c r="CE19" s="58">
        <v>0</v>
      </c>
      <c r="CF19" s="58">
        <v>0</v>
      </c>
      <c r="CG19" s="58">
        <v>1</v>
      </c>
      <c r="CH19" s="58">
        <v>1</v>
      </c>
      <c r="CI19" s="58">
        <v>0</v>
      </c>
      <c r="CJ19" s="58">
        <v>1</v>
      </c>
      <c r="CK19" s="58">
        <v>1</v>
      </c>
      <c r="CL19" s="58">
        <v>1</v>
      </c>
      <c r="CM19" s="58">
        <v>0</v>
      </c>
      <c r="CN19" s="58">
        <v>0</v>
      </c>
      <c r="CO19" s="58">
        <v>1</v>
      </c>
      <c r="CP19" s="58">
        <v>1</v>
      </c>
      <c r="CQ19" s="58">
        <v>0</v>
      </c>
      <c r="CR19" s="58">
        <v>0</v>
      </c>
      <c r="CS19" s="58">
        <v>0</v>
      </c>
      <c r="CT19" s="58">
        <v>1</v>
      </c>
      <c r="CU19" s="58">
        <v>0</v>
      </c>
      <c r="CV19" s="58">
        <v>0</v>
      </c>
      <c r="CW19" s="58">
        <v>1</v>
      </c>
      <c r="CX19" s="58">
        <v>0</v>
      </c>
    </row>
    <row r="20" spans="1:102" x14ac:dyDescent="0.25">
      <c r="A20" s="57" t="s">
        <v>843</v>
      </c>
      <c r="B20" s="62">
        <v>0.2</v>
      </c>
      <c r="C20" s="58">
        <v>0</v>
      </c>
      <c r="D20" s="58">
        <v>0</v>
      </c>
      <c r="E20" s="58">
        <v>0</v>
      </c>
      <c r="F20" s="58">
        <v>0</v>
      </c>
      <c r="G20" s="58">
        <v>0</v>
      </c>
      <c r="H20" s="58">
        <v>0</v>
      </c>
      <c r="I20" s="58">
        <v>1</v>
      </c>
      <c r="J20" s="58">
        <v>0</v>
      </c>
      <c r="K20" s="58">
        <v>1</v>
      </c>
      <c r="L20" s="58">
        <v>0</v>
      </c>
      <c r="M20" s="58">
        <v>0</v>
      </c>
      <c r="N20" s="58">
        <v>0</v>
      </c>
      <c r="O20" s="58">
        <v>0</v>
      </c>
      <c r="P20" s="58">
        <v>1</v>
      </c>
      <c r="Q20" s="58">
        <v>0</v>
      </c>
      <c r="R20" s="58">
        <v>0</v>
      </c>
      <c r="S20" s="58">
        <v>1</v>
      </c>
      <c r="T20" s="58">
        <v>0</v>
      </c>
      <c r="U20" s="58">
        <v>1</v>
      </c>
      <c r="V20" s="58">
        <v>0</v>
      </c>
      <c r="W20" s="58">
        <v>0</v>
      </c>
      <c r="X20" s="58">
        <v>0</v>
      </c>
      <c r="Y20" s="58">
        <v>0</v>
      </c>
      <c r="Z20" s="58">
        <v>1</v>
      </c>
      <c r="AA20" s="58">
        <v>1</v>
      </c>
      <c r="AB20" s="58">
        <v>0</v>
      </c>
      <c r="AC20" s="58">
        <v>1</v>
      </c>
      <c r="AD20" s="58">
        <v>0</v>
      </c>
      <c r="AE20" s="58">
        <v>1</v>
      </c>
      <c r="AF20" s="58">
        <v>0</v>
      </c>
      <c r="AG20" s="58">
        <v>0</v>
      </c>
      <c r="AH20" s="58">
        <v>1</v>
      </c>
      <c r="AI20" s="58">
        <v>0</v>
      </c>
      <c r="AJ20" s="58">
        <v>0</v>
      </c>
      <c r="AK20" s="58">
        <v>0</v>
      </c>
      <c r="AL20" s="58">
        <v>0</v>
      </c>
      <c r="AM20" s="58">
        <v>1</v>
      </c>
      <c r="AN20" s="58">
        <v>0</v>
      </c>
      <c r="AO20" s="58">
        <v>0</v>
      </c>
      <c r="AP20" s="58">
        <v>1</v>
      </c>
      <c r="AQ20" s="58">
        <v>0</v>
      </c>
      <c r="AR20" s="58">
        <v>0</v>
      </c>
      <c r="AS20" s="58">
        <v>0</v>
      </c>
      <c r="AT20" s="58">
        <v>1</v>
      </c>
      <c r="AU20" s="58">
        <v>0</v>
      </c>
      <c r="AV20" s="58">
        <v>0</v>
      </c>
      <c r="AW20" s="58">
        <v>0</v>
      </c>
      <c r="AX20" s="58">
        <v>0</v>
      </c>
      <c r="AY20" s="58">
        <v>0</v>
      </c>
      <c r="AZ20" s="58">
        <v>1</v>
      </c>
      <c r="BA20" s="58">
        <v>1</v>
      </c>
      <c r="BB20" s="58">
        <v>0</v>
      </c>
      <c r="BC20" s="58">
        <v>1</v>
      </c>
      <c r="BD20" s="58">
        <v>0</v>
      </c>
      <c r="BE20" s="58">
        <v>1</v>
      </c>
      <c r="BF20" s="58">
        <v>0</v>
      </c>
      <c r="BG20" s="58">
        <v>0</v>
      </c>
      <c r="BH20" s="58">
        <v>0</v>
      </c>
      <c r="BI20" s="58">
        <v>0</v>
      </c>
      <c r="BJ20" s="58">
        <v>0</v>
      </c>
      <c r="BK20" s="58">
        <v>0</v>
      </c>
      <c r="BL20" s="58">
        <v>0</v>
      </c>
      <c r="BM20" s="58">
        <v>0</v>
      </c>
      <c r="BN20" s="58">
        <v>1</v>
      </c>
      <c r="BO20" s="58">
        <v>0</v>
      </c>
      <c r="BP20" s="58">
        <v>0</v>
      </c>
      <c r="BQ20" s="58">
        <v>1</v>
      </c>
      <c r="BR20" s="58">
        <v>0</v>
      </c>
      <c r="BS20" s="58">
        <v>0</v>
      </c>
      <c r="BT20" s="58">
        <v>1</v>
      </c>
      <c r="BU20" s="58">
        <v>0</v>
      </c>
      <c r="BV20" s="58">
        <v>1</v>
      </c>
      <c r="BW20" s="58">
        <v>1</v>
      </c>
      <c r="BX20" s="58">
        <v>0</v>
      </c>
      <c r="BY20" s="58">
        <v>1</v>
      </c>
      <c r="BZ20" s="58">
        <v>0</v>
      </c>
      <c r="CA20" s="58">
        <v>0</v>
      </c>
      <c r="CB20" s="58">
        <v>0</v>
      </c>
      <c r="CC20" s="58">
        <v>0</v>
      </c>
      <c r="CD20" s="58">
        <v>0</v>
      </c>
      <c r="CE20" s="58">
        <v>0</v>
      </c>
      <c r="CF20" s="58">
        <v>0</v>
      </c>
      <c r="CG20" s="58">
        <v>0</v>
      </c>
      <c r="CH20" s="58">
        <v>0</v>
      </c>
      <c r="CI20" s="58">
        <v>0</v>
      </c>
      <c r="CJ20" s="58">
        <v>0</v>
      </c>
      <c r="CK20" s="58">
        <v>0</v>
      </c>
      <c r="CL20" s="58">
        <v>0</v>
      </c>
      <c r="CM20" s="58">
        <v>0</v>
      </c>
      <c r="CN20" s="58">
        <v>0</v>
      </c>
      <c r="CO20" s="58">
        <v>0</v>
      </c>
      <c r="CP20" s="58">
        <v>0</v>
      </c>
      <c r="CQ20" s="58">
        <v>0</v>
      </c>
      <c r="CR20" s="58">
        <v>0</v>
      </c>
      <c r="CS20" s="58">
        <v>0</v>
      </c>
      <c r="CT20" s="58">
        <v>0</v>
      </c>
      <c r="CU20" s="58">
        <v>0</v>
      </c>
      <c r="CV20" s="58">
        <v>1</v>
      </c>
      <c r="CW20" s="58">
        <v>0</v>
      </c>
      <c r="CX20" s="58">
        <v>0</v>
      </c>
    </row>
    <row r="21" spans="1:102" x14ac:dyDescent="0.25">
      <c r="A21" s="57" t="s">
        <v>809</v>
      </c>
      <c r="B21" s="62">
        <v>0.1</v>
      </c>
      <c r="C21" s="58">
        <v>0</v>
      </c>
      <c r="D21" s="58">
        <v>0</v>
      </c>
      <c r="E21" s="58">
        <v>0</v>
      </c>
      <c r="F21" s="58">
        <v>0</v>
      </c>
      <c r="G21" s="58">
        <v>0</v>
      </c>
      <c r="H21" s="58">
        <v>0</v>
      </c>
      <c r="I21" s="58">
        <v>0</v>
      </c>
      <c r="J21" s="58">
        <v>1</v>
      </c>
      <c r="K21" s="58">
        <v>0</v>
      </c>
      <c r="L21" s="58">
        <v>0</v>
      </c>
      <c r="M21" s="58">
        <v>0</v>
      </c>
      <c r="N21" s="58">
        <v>0</v>
      </c>
      <c r="O21" s="58">
        <v>1</v>
      </c>
      <c r="P21" s="58">
        <v>0</v>
      </c>
      <c r="Q21" s="58">
        <v>0</v>
      </c>
      <c r="R21" s="58">
        <v>0</v>
      </c>
      <c r="S21" s="58">
        <v>0</v>
      </c>
      <c r="T21" s="58">
        <v>0</v>
      </c>
      <c r="U21" s="58">
        <v>0</v>
      </c>
      <c r="V21" s="58">
        <v>0</v>
      </c>
      <c r="W21" s="58">
        <v>0</v>
      </c>
      <c r="X21" s="58">
        <v>0</v>
      </c>
      <c r="Y21" s="58">
        <v>0</v>
      </c>
      <c r="Z21" s="58">
        <v>0</v>
      </c>
      <c r="AA21" s="58">
        <v>0</v>
      </c>
      <c r="AB21" s="58">
        <v>0</v>
      </c>
      <c r="AC21" s="58">
        <v>1</v>
      </c>
      <c r="AD21" s="58">
        <v>1</v>
      </c>
      <c r="AE21" s="58">
        <v>0</v>
      </c>
      <c r="AF21" s="58">
        <v>0</v>
      </c>
      <c r="AG21" s="58">
        <v>0</v>
      </c>
      <c r="AH21" s="58">
        <v>0</v>
      </c>
      <c r="AI21" s="58">
        <v>0</v>
      </c>
      <c r="AJ21" s="58">
        <v>0</v>
      </c>
      <c r="AK21" s="58">
        <v>0</v>
      </c>
      <c r="AL21" s="58">
        <v>0</v>
      </c>
      <c r="AM21" s="58">
        <v>0</v>
      </c>
      <c r="AN21" s="58">
        <v>0</v>
      </c>
      <c r="AO21" s="58">
        <v>0</v>
      </c>
      <c r="AP21" s="58">
        <v>1</v>
      </c>
      <c r="AQ21" s="58">
        <v>0</v>
      </c>
      <c r="AR21" s="58">
        <v>0</v>
      </c>
      <c r="AS21" s="58">
        <v>0</v>
      </c>
      <c r="AT21" s="58">
        <v>0</v>
      </c>
      <c r="AU21" s="58">
        <v>1</v>
      </c>
      <c r="AV21" s="58">
        <v>0</v>
      </c>
      <c r="AW21" s="58">
        <v>0</v>
      </c>
      <c r="AX21" s="58">
        <v>1</v>
      </c>
      <c r="AY21" s="58">
        <v>0</v>
      </c>
      <c r="AZ21" s="58">
        <v>1</v>
      </c>
      <c r="BA21" s="58">
        <v>0</v>
      </c>
      <c r="BB21" s="58">
        <v>0</v>
      </c>
      <c r="BC21" s="58">
        <v>0</v>
      </c>
      <c r="BD21" s="58">
        <v>1</v>
      </c>
      <c r="BE21" s="58">
        <v>0</v>
      </c>
      <c r="BF21" s="58">
        <v>0</v>
      </c>
      <c r="BG21" s="58">
        <v>0</v>
      </c>
      <c r="BH21" s="58">
        <v>0</v>
      </c>
      <c r="BI21" s="58">
        <v>0</v>
      </c>
      <c r="BJ21" s="58">
        <v>0</v>
      </c>
      <c r="BK21" s="58">
        <v>0</v>
      </c>
      <c r="BL21" s="58">
        <v>0</v>
      </c>
      <c r="BM21" s="58">
        <v>0</v>
      </c>
      <c r="BN21" s="58">
        <v>0</v>
      </c>
      <c r="BO21" s="58">
        <v>0</v>
      </c>
      <c r="BP21" s="58">
        <v>0</v>
      </c>
      <c r="BQ21" s="58">
        <v>0</v>
      </c>
      <c r="BR21" s="58">
        <v>0</v>
      </c>
      <c r="BS21" s="58">
        <v>0</v>
      </c>
      <c r="BT21" s="58">
        <v>0</v>
      </c>
      <c r="BU21" s="58">
        <v>0</v>
      </c>
      <c r="BV21" s="58">
        <v>0</v>
      </c>
      <c r="BW21" s="58">
        <v>0</v>
      </c>
      <c r="BX21" s="58">
        <v>0</v>
      </c>
      <c r="BY21" s="58">
        <v>0</v>
      </c>
      <c r="BZ21" s="58">
        <v>0</v>
      </c>
      <c r="CA21" s="58">
        <v>0</v>
      </c>
      <c r="CB21" s="58">
        <v>0</v>
      </c>
      <c r="CC21" s="58">
        <v>0</v>
      </c>
      <c r="CD21" s="58">
        <v>0</v>
      </c>
      <c r="CE21" s="58">
        <v>0</v>
      </c>
      <c r="CF21" s="58">
        <v>0</v>
      </c>
      <c r="CG21" s="58">
        <v>0</v>
      </c>
      <c r="CH21" s="58">
        <v>1</v>
      </c>
      <c r="CI21" s="58">
        <v>0</v>
      </c>
      <c r="CJ21" s="58">
        <v>0</v>
      </c>
      <c r="CK21" s="58">
        <v>0</v>
      </c>
      <c r="CL21" s="58">
        <v>0</v>
      </c>
      <c r="CM21" s="58">
        <v>0</v>
      </c>
      <c r="CN21" s="58">
        <v>0</v>
      </c>
      <c r="CO21" s="58">
        <v>0</v>
      </c>
      <c r="CP21" s="58">
        <v>0</v>
      </c>
      <c r="CQ21" s="58">
        <v>0</v>
      </c>
      <c r="CR21" s="58">
        <v>0</v>
      </c>
      <c r="CS21" s="58">
        <v>0</v>
      </c>
      <c r="CT21" s="58">
        <v>0</v>
      </c>
      <c r="CU21" s="58">
        <v>0</v>
      </c>
      <c r="CV21" s="58">
        <v>0</v>
      </c>
      <c r="CW21" s="58">
        <v>0</v>
      </c>
      <c r="CX21" s="58">
        <v>0</v>
      </c>
    </row>
    <row r="22" spans="1:102" ht="25.5" x14ac:dyDescent="0.25">
      <c r="A22" s="57" t="s">
        <v>810</v>
      </c>
      <c r="B22" s="62">
        <v>0.17</v>
      </c>
      <c r="C22" s="58">
        <v>0</v>
      </c>
      <c r="D22" s="58">
        <v>0</v>
      </c>
      <c r="E22" s="58">
        <v>1</v>
      </c>
      <c r="F22" s="58">
        <v>0</v>
      </c>
      <c r="G22" s="58">
        <v>0</v>
      </c>
      <c r="H22" s="58">
        <v>0</v>
      </c>
      <c r="I22" s="58">
        <v>0</v>
      </c>
      <c r="J22" s="58">
        <v>1</v>
      </c>
      <c r="K22" s="58">
        <v>0</v>
      </c>
      <c r="L22" s="58">
        <v>0</v>
      </c>
      <c r="M22" s="58">
        <v>0</v>
      </c>
      <c r="N22" s="58">
        <v>0</v>
      </c>
      <c r="O22" s="58">
        <v>0</v>
      </c>
      <c r="P22" s="58">
        <v>0</v>
      </c>
      <c r="Q22" s="58">
        <v>0</v>
      </c>
      <c r="R22" s="58">
        <v>1</v>
      </c>
      <c r="S22" s="58">
        <v>0</v>
      </c>
      <c r="T22" s="58">
        <v>1</v>
      </c>
      <c r="U22" s="58">
        <v>0</v>
      </c>
      <c r="V22" s="58">
        <v>0</v>
      </c>
      <c r="W22" s="58">
        <v>0</v>
      </c>
      <c r="X22" s="58">
        <v>0</v>
      </c>
      <c r="Y22" s="58">
        <v>0</v>
      </c>
      <c r="Z22" s="58">
        <v>1</v>
      </c>
      <c r="AA22" s="58">
        <v>0</v>
      </c>
      <c r="AB22" s="58">
        <v>0</v>
      </c>
      <c r="AC22" s="58">
        <v>0</v>
      </c>
      <c r="AD22" s="58">
        <v>0</v>
      </c>
      <c r="AE22" s="58">
        <v>0</v>
      </c>
      <c r="AF22" s="58">
        <v>0</v>
      </c>
      <c r="AG22" s="58">
        <v>0</v>
      </c>
      <c r="AH22" s="58">
        <v>0</v>
      </c>
      <c r="AI22" s="58">
        <v>0</v>
      </c>
      <c r="AJ22" s="58">
        <v>0</v>
      </c>
      <c r="AK22" s="58">
        <v>0</v>
      </c>
      <c r="AL22" s="58">
        <v>0</v>
      </c>
      <c r="AM22" s="58">
        <v>0</v>
      </c>
      <c r="AN22" s="58">
        <v>1</v>
      </c>
      <c r="AO22" s="58">
        <v>0</v>
      </c>
      <c r="AP22" s="58">
        <v>0</v>
      </c>
      <c r="AQ22" s="58">
        <v>0</v>
      </c>
      <c r="AR22" s="58">
        <v>0</v>
      </c>
      <c r="AS22" s="58">
        <v>0</v>
      </c>
      <c r="AT22" s="58">
        <v>0</v>
      </c>
      <c r="AU22" s="58">
        <v>1</v>
      </c>
      <c r="AV22" s="58">
        <v>0</v>
      </c>
      <c r="AW22" s="58">
        <v>0</v>
      </c>
      <c r="AX22" s="58">
        <v>0</v>
      </c>
      <c r="AY22" s="58">
        <v>0</v>
      </c>
      <c r="AZ22" s="58">
        <v>1</v>
      </c>
      <c r="BA22" s="58">
        <v>0</v>
      </c>
      <c r="BB22" s="58">
        <v>0</v>
      </c>
      <c r="BC22" s="58">
        <v>0</v>
      </c>
      <c r="BD22" s="58">
        <v>0</v>
      </c>
      <c r="BE22" s="58">
        <v>1</v>
      </c>
      <c r="BF22" s="58">
        <v>1</v>
      </c>
      <c r="BG22" s="58">
        <v>0</v>
      </c>
      <c r="BH22" s="58">
        <v>0</v>
      </c>
      <c r="BI22" s="58">
        <v>0</v>
      </c>
      <c r="BJ22" s="58">
        <v>0</v>
      </c>
      <c r="BK22" s="58">
        <v>0</v>
      </c>
      <c r="BL22" s="58">
        <v>0</v>
      </c>
      <c r="BM22" s="58">
        <v>0</v>
      </c>
      <c r="BN22" s="58">
        <v>0</v>
      </c>
      <c r="BO22" s="58">
        <v>1</v>
      </c>
      <c r="BP22" s="58">
        <v>0</v>
      </c>
      <c r="BQ22" s="58">
        <v>0</v>
      </c>
      <c r="BR22" s="58">
        <v>0</v>
      </c>
      <c r="BS22" s="58">
        <v>0</v>
      </c>
      <c r="BT22" s="58">
        <v>0</v>
      </c>
      <c r="BU22" s="58">
        <v>0</v>
      </c>
      <c r="BV22" s="58">
        <v>1</v>
      </c>
      <c r="BW22" s="58">
        <v>0</v>
      </c>
      <c r="BX22" s="58">
        <v>0</v>
      </c>
      <c r="BY22" s="58">
        <v>0</v>
      </c>
      <c r="BZ22" s="58">
        <v>0</v>
      </c>
      <c r="CA22" s="58">
        <v>0</v>
      </c>
      <c r="CB22" s="58">
        <v>0</v>
      </c>
      <c r="CC22" s="58">
        <v>0</v>
      </c>
      <c r="CD22" s="58">
        <v>0</v>
      </c>
      <c r="CE22" s="58">
        <v>0</v>
      </c>
      <c r="CF22" s="58">
        <v>0</v>
      </c>
      <c r="CG22" s="58">
        <v>1</v>
      </c>
      <c r="CH22" s="58">
        <v>0</v>
      </c>
      <c r="CI22" s="58">
        <v>0</v>
      </c>
      <c r="CJ22" s="58">
        <v>0</v>
      </c>
      <c r="CK22" s="58">
        <v>0</v>
      </c>
      <c r="CL22" s="58">
        <v>0</v>
      </c>
      <c r="CM22" s="58">
        <v>0</v>
      </c>
      <c r="CN22" s="58">
        <v>0</v>
      </c>
      <c r="CO22" s="58">
        <v>0</v>
      </c>
      <c r="CP22" s="58">
        <v>0</v>
      </c>
      <c r="CQ22" s="58">
        <v>0</v>
      </c>
      <c r="CR22" s="58">
        <v>0</v>
      </c>
      <c r="CS22" s="58">
        <v>0</v>
      </c>
      <c r="CT22" s="58">
        <v>0</v>
      </c>
      <c r="CU22" s="58">
        <v>1</v>
      </c>
      <c r="CV22" s="58">
        <v>1</v>
      </c>
      <c r="CW22" s="58">
        <v>0</v>
      </c>
      <c r="CX22" s="58">
        <v>1</v>
      </c>
    </row>
    <row r="23" spans="1:102" x14ac:dyDescent="0.25">
      <c r="A23" s="57" t="s">
        <v>844</v>
      </c>
      <c r="B23" s="62">
        <v>0.24</v>
      </c>
      <c r="C23" s="58">
        <v>1</v>
      </c>
      <c r="D23" s="58">
        <v>1</v>
      </c>
      <c r="E23" s="58">
        <v>1</v>
      </c>
      <c r="F23" s="58">
        <v>0</v>
      </c>
      <c r="G23" s="58">
        <v>0</v>
      </c>
      <c r="H23" s="58">
        <v>1</v>
      </c>
      <c r="I23" s="58">
        <v>0</v>
      </c>
      <c r="J23" s="58">
        <v>0</v>
      </c>
      <c r="K23" s="58">
        <v>0</v>
      </c>
      <c r="L23" s="58">
        <v>1</v>
      </c>
      <c r="M23" s="58">
        <v>1</v>
      </c>
      <c r="N23" s="58">
        <v>1</v>
      </c>
      <c r="O23" s="58">
        <v>0</v>
      </c>
      <c r="P23" s="58">
        <v>0</v>
      </c>
      <c r="Q23" s="58">
        <v>1</v>
      </c>
      <c r="R23" s="58">
        <v>0</v>
      </c>
      <c r="S23" s="58">
        <v>0</v>
      </c>
      <c r="T23" s="58">
        <v>0</v>
      </c>
      <c r="U23" s="58">
        <v>0</v>
      </c>
      <c r="V23" s="58">
        <v>0</v>
      </c>
      <c r="W23" s="58">
        <v>0</v>
      </c>
      <c r="X23" s="58">
        <v>0</v>
      </c>
      <c r="Y23" s="58">
        <v>0</v>
      </c>
      <c r="Z23" s="58">
        <v>1</v>
      </c>
      <c r="AA23" s="58">
        <v>0</v>
      </c>
      <c r="AB23" s="58">
        <v>0</v>
      </c>
      <c r="AC23" s="58">
        <v>0</v>
      </c>
      <c r="AD23" s="58">
        <v>0</v>
      </c>
      <c r="AE23" s="58">
        <v>0</v>
      </c>
      <c r="AF23" s="58">
        <v>0</v>
      </c>
      <c r="AG23" s="58">
        <v>0</v>
      </c>
      <c r="AH23" s="58">
        <v>1</v>
      </c>
      <c r="AI23" s="58">
        <v>0</v>
      </c>
      <c r="AJ23" s="58">
        <v>0</v>
      </c>
      <c r="AK23" s="58">
        <v>1</v>
      </c>
      <c r="AL23" s="58">
        <v>0</v>
      </c>
      <c r="AM23" s="58">
        <v>0</v>
      </c>
      <c r="AN23" s="58">
        <v>0</v>
      </c>
      <c r="AO23" s="58">
        <v>0</v>
      </c>
      <c r="AP23" s="58">
        <v>0</v>
      </c>
      <c r="AQ23" s="58">
        <v>0</v>
      </c>
      <c r="AR23" s="58">
        <v>1</v>
      </c>
      <c r="AS23" s="58">
        <v>0</v>
      </c>
      <c r="AT23" s="58">
        <v>1</v>
      </c>
      <c r="AU23" s="58">
        <v>0</v>
      </c>
      <c r="AV23" s="58">
        <v>1</v>
      </c>
      <c r="AW23" s="58">
        <v>0</v>
      </c>
      <c r="AX23" s="58">
        <v>0</v>
      </c>
      <c r="AY23" s="58">
        <v>0</v>
      </c>
      <c r="AZ23" s="58">
        <v>0</v>
      </c>
      <c r="BA23" s="58">
        <v>0</v>
      </c>
      <c r="BB23" s="58">
        <v>0</v>
      </c>
      <c r="BC23" s="58">
        <v>1</v>
      </c>
      <c r="BD23" s="58">
        <v>1</v>
      </c>
      <c r="BE23" s="58">
        <v>0</v>
      </c>
      <c r="BF23" s="58">
        <v>0</v>
      </c>
      <c r="BG23" s="58">
        <v>0</v>
      </c>
      <c r="BH23" s="58">
        <v>0</v>
      </c>
      <c r="BI23" s="58">
        <v>0</v>
      </c>
      <c r="BJ23" s="58">
        <v>0</v>
      </c>
      <c r="BK23" s="58">
        <v>1</v>
      </c>
      <c r="BL23" s="58">
        <v>0</v>
      </c>
      <c r="BM23" s="58">
        <v>0</v>
      </c>
      <c r="BN23" s="58">
        <v>1</v>
      </c>
      <c r="BO23" s="58">
        <v>0</v>
      </c>
      <c r="BP23" s="58">
        <v>1</v>
      </c>
      <c r="BQ23" s="58">
        <v>0</v>
      </c>
      <c r="BR23" s="58">
        <v>1</v>
      </c>
      <c r="BS23" s="58">
        <v>1</v>
      </c>
      <c r="BT23" s="58">
        <v>0</v>
      </c>
      <c r="BU23" s="58">
        <v>1</v>
      </c>
      <c r="BV23" s="58">
        <v>0</v>
      </c>
      <c r="BW23" s="58">
        <v>0</v>
      </c>
      <c r="BX23" s="58">
        <v>0</v>
      </c>
      <c r="BY23" s="58">
        <v>0</v>
      </c>
      <c r="BZ23" s="58">
        <v>0</v>
      </c>
      <c r="CA23" s="58">
        <v>1</v>
      </c>
      <c r="CB23" s="58">
        <v>0</v>
      </c>
      <c r="CC23" s="58">
        <v>0</v>
      </c>
      <c r="CD23" s="58">
        <v>0</v>
      </c>
      <c r="CE23" s="58">
        <v>0</v>
      </c>
      <c r="CF23" s="58">
        <v>1</v>
      </c>
      <c r="CG23" s="58">
        <v>0</v>
      </c>
      <c r="CH23" s="58">
        <v>0</v>
      </c>
      <c r="CI23" s="58">
        <v>0</v>
      </c>
      <c r="CJ23" s="58">
        <v>0</v>
      </c>
      <c r="CK23" s="58">
        <v>1</v>
      </c>
      <c r="CL23" s="58">
        <v>1</v>
      </c>
      <c r="CM23" s="58">
        <v>0</v>
      </c>
      <c r="CN23" s="58">
        <v>1</v>
      </c>
      <c r="CO23" s="58">
        <v>0</v>
      </c>
      <c r="CP23" s="58">
        <v>0</v>
      </c>
      <c r="CQ23" s="58">
        <v>0</v>
      </c>
      <c r="CR23" s="58">
        <v>1</v>
      </c>
      <c r="CS23" s="58">
        <v>1</v>
      </c>
      <c r="CT23" s="58">
        <v>0</v>
      </c>
      <c r="CU23" s="58">
        <v>0</v>
      </c>
      <c r="CV23" s="58">
        <v>0</v>
      </c>
      <c r="CW23" s="58">
        <v>0</v>
      </c>
      <c r="CX23" s="58">
        <v>1</v>
      </c>
    </row>
    <row r="24" spans="1:102" x14ac:dyDescent="0.25">
      <c r="A24" s="57" t="s">
        <v>811</v>
      </c>
      <c r="B24" s="62">
        <v>0.1</v>
      </c>
      <c r="C24" s="58">
        <v>1</v>
      </c>
      <c r="D24" s="58">
        <v>0</v>
      </c>
      <c r="E24" s="58">
        <v>0</v>
      </c>
      <c r="F24" s="58">
        <v>0</v>
      </c>
      <c r="G24" s="58">
        <v>0</v>
      </c>
      <c r="H24" s="58">
        <v>0</v>
      </c>
      <c r="I24" s="58">
        <v>0</v>
      </c>
      <c r="J24" s="58">
        <v>0</v>
      </c>
      <c r="K24" s="58">
        <v>0</v>
      </c>
      <c r="L24" s="58">
        <v>0</v>
      </c>
      <c r="M24" s="58">
        <v>0</v>
      </c>
      <c r="N24" s="58">
        <v>0</v>
      </c>
      <c r="O24" s="58">
        <v>0</v>
      </c>
      <c r="P24" s="58">
        <v>0</v>
      </c>
      <c r="Q24" s="58">
        <v>0</v>
      </c>
      <c r="R24" s="58">
        <v>0</v>
      </c>
      <c r="S24" s="58">
        <v>0</v>
      </c>
      <c r="T24" s="58">
        <v>0</v>
      </c>
      <c r="U24" s="58">
        <v>0</v>
      </c>
      <c r="V24" s="58">
        <v>0</v>
      </c>
      <c r="W24" s="58">
        <v>0</v>
      </c>
      <c r="X24" s="58">
        <v>0</v>
      </c>
      <c r="Y24" s="58">
        <v>1</v>
      </c>
      <c r="Z24" s="58">
        <v>0</v>
      </c>
      <c r="AA24" s="58">
        <v>0</v>
      </c>
      <c r="AB24" s="58">
        <v>0</v>
      </c>
      <c r="AC24" s="58">
        <v>0</v>
      </c>
      <c r="AD24" s="58">
        <v>0</v>
      </c>
      <c r="AE24" s="58">
        <v>0</v>
      </c>
      <c r="AF24" s="58">
        <v>0</v>
      </c>
      <c r="AG24" s="58">
        <v>0</v>
      </c>
      <c r="AH24" s="58">
        <v>0</v>
      </c>
      <c r="AI24" s="58">
        <v>0</v>
      </c>
      <c r="AJ24" s="58">
        <v>0</v>
      </c>
      <c r="AK24" s="58">
        <v>0</v>
      </c>
      <c r="AL24" s="58">
        <v>0</v>
      </c>
      <c r="AM24" s="58">
        <v>0</v>
      </c>
      <c r="AN24" s="58">
        <v>0</v>
      </c>
      <c r="AO24" s="58">
        <v>1</v>
      </c>
      <c r="AP24" s="58">
        <v>0</v>
      </c>
      <c r="AQ24" s="58">
        <v>0</v>
      </c>
      <c r="AR24" s="58">
        <v>0</v>
      </c>
      <c r="AS24" s="58">
        <v>0</v>
      </c>
      <c r="AT24" s="58">
        <v>0</v>
      </c>
      <c r="AU24" s="58">
        <v>0</v>
      </c>
      <c r="AV24" s="58">
        <v>0</v>
      </c>
      <c r="AW24" s="58">
        <v>1</v>
      </c>
      <c r="AX24" s="58">
        <v>0</v>
      </c>
      <c r="AY24" s="58">
        <v>0</v>
      </c>
      <c r="AZ24" s="58">
        <v>0</v>
      </c>
      <c r="BA24" s="58">
        <v>0</v>
      </c>
      <c r="BB24" s="58">
        <v>0</v>
      </c>
      <c r="BC24" s="58">
        <v>0</v>
      </c>
      <c r="BD24" s="58">
        <v>1</v>
      </c>
      <c r="BE24" s="58">
        <v>0</v>
      </c>
      <c r="BF24" s="58">
        <v>0</v>
      </c>
      <c r="BG24" s="58">
        <v>0</v>
      </c>
      <c r="BH24" s="58">
        <v>0</v>
      </c>
      <c r="BI24" s="58">
        <v>0</v>
      </c>
      <c r="BJ24" s="58">
        <v>1</v>
      </c>
      <c r="BK24" s="58">
        <v>0</v>
      </c>
      <c r="BL24" s="58">
        <v>0</v>
      </c>
      <c r="BM24" s="58">
        <v>0</v>
      </c>
      <c r="BN24" s="58">
        <v>0</v>
      </c>
      <c r="BO24" s="58">
        <v>0</v>
      </c>
      <c r="BP24" s="58">
        <v>0</v>
      </c>
      <c r="BQ24" s="58">
        <v>0</v>
      </c>
      <c r="BR24" s="58">
        <v>0</v>
      </c>
      <c r="BS24" s="58">
        <v>0</v>
      </c>
      <c r="BT24" s="58">
        <v>0</v>
      </c>
      <c r="BU24" s="58">
        <v>0</v>
      </c>
      <c r="BV24" s="58">
        <v>0</v>
      </c>
      <c r="BW24" s="58">
        <v>0</v>
      </c>
      <c r="BX24" s="58">
        <v>0</v>
      </c>
      <c r="BY24" s="58">
        <v>0</v>
      </c>
      <c r="BZ24" s="58">
        <v>0</v>
      </c>
      <c r="CA24" s="58">
        <v>0</v>
      </c>
      <c r="CB24" s="58">
        <v>0</v>
      </c>
      <c r="CC24" s="58">
        <v>0</v>
      </c>
      <c r="CD24" s="58">
        <v>1</v>
      </c>
      <c r="CE24" s="58">
        <v>0</v>
      </c>
      <c r="CF24" s="58">
        <v>0</v>
      </c>
      <c r="CG24" s="58">
        <v>0</v>
      </c>
      <c r="CH24" s="58">
        <v>0</v>
      </c>
      <c r="CI24" s="58">
        <v>0</v>
      </c>
      <c r="CJ24" s="58">
        <v>0</v>
      </c>
      <c r="CK24" s="58">
        <v>0</v>
      </c>
      <c r="CL24" s="58">
        <v>0</v>
      </c>
      <c r="CM24" s="58">
        <v>0</v>
      </c>
      <c r="CN24" s="58">
        <v>0</v>
      </c>
      <c r="CO24" s="58">
        <v>0</v>
      </c>
      <c r="CP24" s="58">
        <v>0</v>
      </c>
      <c r="CQ24" s="58">
        <v>0</v>
      </c>
      <c r="CR24" s="58">
        <v>0</v>
      </c>
      <c r="CS24" s="58">
        <v>0</v>
      </c>
      <c r="CT24" s="58">
        <v>0</v>
      </c>
      <c r="CU24" s="58">
        <v>0</v>
      </c>
      <c r="CV24" s="58">
        <v>0</v>
      </c>
      <c r="CW24" s="58">
        <v>0</v>
      </c>
      <c r="CX24" s="58">
        <v>0</v>
      </c>
    </row>
    <row r="25" spans="1:102" x14ac:dyDescent="0.25">
      <c r="A25" s="57" t="s">
        <v>812</v>
      </c>
      <c r="B25" s="62">
        <v>0.25</v>
      </c>
      <c r="C25" s="58">
        <v>1</v>
      </c>
      <c r="D25" s="58">
        <v>1</v>
      </c>
      <c r="E25" s="58">
        <v>1</v>
      </c>
      <c r="F25" s="58">
        <v>0</v>
      </c>
      <c r="G25" s="58">
        <v>0</v>
      </c>
      <c r="H25" s="58">
        <v>0</v>
      </c>
      <c r="I25" s="58">
        <v>0</v>
      </c>
      <c r="J25" s="58">
        <v>0</v>
      </c>
      <c r="K25" s="58">
        <v>0</v>
      </c>
      <c r="L25" s="58">
        <v>1</v>
      </c>
      <c r="M25" s="58">
        <v>1</v>
      </c>
      <c r="N25" s="58">
        <v>1</v>
      </c>
      <c r="O25" s="58">
        <v>0</v>
      </c>
      <c r="P25" s="58">
        <v>1</v>
      </c>
      <c r="Q25" s="58">
        <v>0</v>
      </c>
      <c r="R25" s="58">
        <v>0</v>
      </c>
      <c r="S25" s="58">
        <v>1</v>
      </c>
      <c r="T25" s="58">
        <v>0</v>
      </c>
      <c r="U25" s="58">
        <v>0</v>
      </c>
      <c r="V25" s="58">
        <v>0</v>
      </c>
      <c r="W25" s="58">
        <v>0</v>
      </c>
      <c r="X25" s="58">
        <v>0</v>
      </c>
      <c r="Y25" s="58">
        <v>0</v>
      </c>
      <c r="Z25" s="58">
        <v>1</v>
      </c>
      <c r="AA25" s="58">
        <v>1</v>
      </c>
      <c r="AB25" s="58">
        <v>0</v>
      </c>
      <c r="AC25" s="58">
        <v>0</v>
      </c>
      <c r="AD25" s="58">
        <v>1</v>
      </c>
      <c r="AE25" s="58">
        <v>0</v>
      </c>
      <c r="AF25" s="58">
        <v>0</v>
      </c>
      <c r="AG25" s="58">
        <v>0</v>
      </c>
      <c r="AH25" s="58">
        <v>0</v>
      </c>
      <c r="AI25" s="58">
        <v>0</v>
      </c>
      <c r="AJ25" s="58">
        <v>0</v>
      </c>
      <c r="AK25" s="58">
        <v>0</v>
      </c>
      <c r="AL25" s="58">
        <v>0</v>
      </c>
      <c r="AM25" s="58">
        <v>0</v>
      </c>
      <c r="AN25" s="58">
        <v>1</v>
      </c>
      <c r="AO25" s="58">
        <v>0</v>
      </c>
      <c r="AP25" s="58">
        <v>1</v>
      </c>
      <c r="AQ25" s="58">
        <v>0</v>
      </c>
      <c r="AR25" s="58">
        <v>1</v>
      </c>
      <c r="AS25" s="58">
        <v>0</v>
      </c>
      <c r="AT25" s="58">
        <v>0</v>
      </c>
      <c r="AU25" s="58">
        <v>1</v>
      </c>
      <c r="AV25" s="58">
        <v>0</v>
      </c>
      <c r="AW25" s="58">
        <v>0</v>
      </c>
      <c r="AX25" s="58">
        <v>0</v>
      </c>
      <c r="AY25" s="58">
        <v>0</v>
      </c>
      <c r="AZ25" s="58">
        <v>1</v>
      </c>
      <c r="BA25" s="58">
        <v>0</v>
      </c>
      <c r="BB25" s="58">
        <v>0</v>
      </c>
      <c r="BC25" s="58">
        <v>1</v>
      </c>
      <c r="BD25" s="58">
        <v>0</v>
      </c>
      <c r="BE25" s="58">
        <v>0</v>
      </c>
      <c r="BF25" s="58">
        <v>0</v>
      </c>
      <c r="BG25" s="58">
        <v>0</v>
      </c>
      <c r="BH25" s="58">
        <v>0</v>
      </c>
      <c r="BI25" s="58">
        <v>0</v>
      </c>
      <c r="BJ25" s="58">
        <v>1</v>
      </c>
      <c r="BK25" s="58">
        <v>1</v>
      </c>
      <c r="BL25" s="58">
        <v>0</v>
      </c>
      <c r="BM25" s="58">
        <v>0</v>
      </c>
      <c r="BN25" s="58">
        <v>1</v>
      </c>
      <c r="BO25" s="58">
        <v>0</v>
      </c>
      <c r="BP25" s="58">
        <v>0</v>
      </c>
      <c r="BQ25" s="58">
        <v>0</v>
      </c>
      <c r="BR25" s="58">
        <v>0</v>
      </c>
      <c r="BS25" s="58">
        <v>0</v>
      </c>
      <c r="BT25" s="58">
        <v>0</v>
      </c>
      <c r="BU25" s="58">
        <v>0</v>
      </c>
      <c r="BV25" s="58">
        <v>0</v>
      </c>
      <c r="BW25" s="58">
        <v>0</v>
      </c>
      <c r="BX25" s="58">
        <v>0</v>
      </c>
      <c r="BY25" s="58">
        <v>0</v>
      </c>
      <c r="BZ25" s="58">
        <v>1</v>
      </c>
      <c r="CA25" s="58">
        <v>0</v>
      </c>
      <c r="CB25" s="58">
        <v>1</v>
      </c>
      <c r="CC25" s="58">
        <v>0</v>
      </c>
      <c r="CD25" s="58">
        <v>0</v>
      </c>
      <c r="CE25" s="58">
        <v>0</v>
      </c>
      <c r="CF25" s="58">
        <v>0</v>
      </c>
      <c r="CG25" s="58">
        <v>0</v>
      </c>
      <c r="CH25" s="58">
        <v>1</v>
      </c>
      <c r="CI25" s="58">
        <v>0</v>
      </c>
      <c r="CJ25" s="58">
        <v>0</v>
      </c>
      <c r="CK25" s="58">
        <v>1</v>
      </c>
      <c r="CL25" s="58">
        <v>0</v>
      </c>
      <c r="CM25" s="58">
        <v>0</v>
      </c>
      <c r="CN25" s="58">
        <v>1</v>
      </c>
      <c r="CO25" s="58">
        <v>1</v>
      </c>
      <c r="CP25" s="58">
        <v>1</v>
      </c>
      <c r="CQ25" s="58">
        <v>0</v>
      </c>
      <c r="CR25" s="58">
        <v>1</v>
      </c>
      <c r="CS25" s="58">
        <v>0</v>
      </c>
      <c r="CT25" s="58">
        <v>0</v>
      </c>
      <c r="CU25" s="58">
        <v>0</v>
      </c>
      <c r="CV25" s="58">
        <v>0</v>
      </c>
      <c r="CW25" s="58">
        <v>1</v>
      </c>
      <c r="CX25" s="58">
        <v>0</v>
      </c>
    </row>
    <row r="26" spans="1:102" x14ac:dyDescent="0.25">
      <c r="A26" s="57" t="s">
        <v>845</v>
      </c>
      <c r="B26" s="62">
        <v>0.2</v>
      </c>
      <c r="C26" s="58">
        <v>0</v>
      </c>
      <c r="D26" s="58">
        <v>0</v>
      </c>
      <c r="E26" s="58">
        <v>0</v>
      </c>
      <c r="F26" s="58">
        <v>0</v>
      </c>
      <c r="G26" s="58">
        <v>0</v>
      </c>
      <c r="H26" s="58">
        <v>0</v>
      </c>
      <c r="I26" s="58">
        <v>1</v>
      </c>
      <c r="J26" s="58">
        <v>1</v>
      </c>
      <c r="K26" s="58">
        <v>0</v>
      </c>
      <c r="L26" s="58">
        <v>0</v>
      </c>
      <c r="M26" s="58">
        <v>0</v>
      </c>
      <c r="N26" s="58">
        <v>0</v>
      </c>
      <c r="O26" s="58">
        <v>0</v>
      </c>
      <c r="P26" s="58">
        <v>0</v>
      </c>
      <c r="Q26" s="58">
        <v>0</v>
      </c>
      <c r="R26" s="58">
        <v>0</v>
      </c>
      <c r="S26" s="58">
        <v>1</v>
      </c>
      <c r="T26" s="58">
        <v>1</v>
      </c>
      <c r="U26" s="58">
        <v>0</v>
      </c>
      <c r="V26" s="58">
        <v>1</v>
      </c>
      <c r="W26" s="58">
        <v>0</v>
      </c>
      <c r="X26" s="58">
        <v>1</v>
      </c>
      <c r="Y26" s="58">
        <v>0</v>
      </c>
      <c r="Z26" s="58">
        <v>0</v>
      </c>
      <c r="AA26" s="58">
        <v>0</v>
      </c>
      <c r="AB26" s="58">
        <v>0</v>
      </c>
      <c r="AC26" s="58">
        <v>0</v>
      </c>
      <c r="AD26" s="58">
        <v>1</v>
      </c>
      <c r="AE26" s="58">
        <v>0</v>
      </c>
      <c r="AF26" s="58">
        <v>0</v>
      </c>
      <c r="AG26" s="58">
        <v>0</v>
      </c>
      <c r="AH26" s="58">
        <v>0</v>
      </c>
      <c r="AI26" s="58">
        <v>0</v>
      </c>
      <c r="AJ26" s="58">
        <v>0</v>
      </c>
      <c r="AK26" s="58">
        <v>0</v>
      </c>
      <c r="AL26" s="58">
        <v>1</v>
      </c>
      <c r="AM26" s="58">
        <v>1</v>
      </c>
      <c r="AN26" s="58">
        <v>0</v>
      </c>
      <c r="AO26" s="58">
        <v>1</v>
      </c>
      <c r="AP26" s="58">
        <v>0</v>
      </c>
      <c r="AQ26" s="58">
        <v>0</v>
      </c>
      <c r="AR26" s="58">
        <v>1</v>
      </c>
      <c r="AS26" s="58">
        <v>0</v>
      </c>
      <c r="AT26" s="58">
        <v>0</v>
      </c>
      <c r="AU26" s="58">
        <v>0</v>
      </c>
      <c r="AV26" s="58">
        <v>1</v>
      </c>
      <c r="AW26" s="58">
        <v>0</v>
      </c>
      <c r="AX26" s="58">
        <v>1</v>
      </c>
      <c r="AY26" s="58">
        <v>0</v>
      </c>
      <c r="AZ26" s="58">
        <v>0</v>
      </c>
      <c r="BA26" s="58">
        <v>0</v>
      </c>
      <c r="BB26" s="58">
        <v>0</v>
      </c>
      <c r="BC26" s="58">
        <v>1</v>
      </c>
      <c r="BD26" s="58">
        <v>0</v>
      </c>
      <c r="BE26" s="58">
        <v>1</v>
      </c>
      <c r="BF26" s="58">
        <v>0</v>
      </c>
      <c r="BG26" s="58">
        <v>0</v>
      </c>
      <c r="BH26" s="58">
        <v>0</v>
      </c>
      <c r="BI26" s="58">
        <v>1</v>
      </c>
      <c r="BJ26" s="58">
        <v>0</v>
      </c>
      <c r="BK26" s="58">
        <v>0</v>
      </c>
      <c r="BL26" s="58">
        <v>0</v>
      </c>
      <c r="BM26" s="58">
        <v>0</v>
      </c>
      <c r="BN26" s="58">
        <v>0</v>
      </c>
      <c r="BO26" s="58">
        <v>0</v>
      </c>
      <c r="BP26" s="58">
        <v>1</v>
      </c>
      <c r="BQ26" s="58">
        <v>0</v>
      </c>
      <c r="BR26" s="58">
        <v>0</v>
      </c>
      <c r="BS26" s="58">
        <v>1</v>
      </c>
      <c r="BT26" s="58">
        <v>0</v>
      </c>
      <c r="BU26" s="58">
        <v>0</v>
      </c>
      <c r="BV26" s="58">
        <v>0</v>
      </c>
      <c r="BW26" s="58">
        <v>0</v>
      </c>
      <c r="BX26" s="58">
        <v>0</v>
      </c>
      <c r="BY26" s="58">
        <v>0</v>
      </c>
      <c r="BZ26" s="58">
        <v>1</v>
      </c>
      <c r="CA26" s="58">
        <v>0</v>
      </c>
      <c r="CB26" s="58">
        <v>0</v>
      </c>
      <c r="CC26" s="58">
        <v>0</v>
      </c>
      <c r="CD26" s="58">
        <v>1</v>
      </c>
      <c r="CE26" s="58">
        <v>0</v>
      </c>
      <c r="CF26" s="58">
        <v>0</v>
      </c>
      <c r="CG26" s="58">
        <v>0</v>
      </c>
      <c r="CH26" s="58">
        <v>1</v>
      </c>
      <c r="CI26" s="58">
        <v>0</v>
      </c>
      <c r="CJ26" s="58">
        <v>0</v>
      </c>
      <c r="CK26" s="58">
        <v>1</v>
      </c>
      <c r="CL26" s="58">
        <v>0</v>
      </c>
      <c r="CM26" s="58">
        <v>0</v>
      </c>
      <c r="CN26" s="58">
        <v>1</v>
      </c>
      <c r="CO26" s="58">
        <v>0</v>
      </c>
      <c r="CP26" s="58">
        <v>1</v>
      </c>
      <c r="CQ26" s="58">
        <v>0</v>
      </c>
      <c r="CR26" s="58">
        <v>0</v>
      </c>
      <c r="CS26" s="58">
        <v>0</v>
      </c>
      <c r="CT26" s="58">
        <v>1</v>
      </c>
      <c r="CU26" s="58">
        <v>0</v>
      </c>
      <c r="CV26" s="58">
        <v>1</v>
      </c>
      <c r="CW26" s="58">
        <v>0</v>
      </c>
      <c r="CX26" s="58">
        <v>0</v>
      </c>
    </row>
    <row r="27" spans="1:102" x14ac:dyDescent="0.25">
      <c r="A27" s="57" t="s">
        <v>813</v>
      </c>
      <c r="B27" s="62">
        <v>0.3</v>
      </c>
      <c r="C27" s="58">
        <v>1</v>
      </c>
      <c r="D27" s="58">
        <v>1</v>
      </c>
      <c r="E27" s="58">
        <v>1</v>
      </c>
      <c r="F27" s="58">
        <v>1</v>
      </c>
      <c r="G27" s="58">
        <v>0</v>
      </c>
      <c r="H27" s="58">
        <v>0</v>
      </c>
      <c r="I27" s="58">
        <v>0</v>
      </c>
      <c r="J27" s="58">
        <v>0</v>
      </c>
      <c r="K27" s="58">
        <v>0</v>
      </c>
      <c r="L27" s="58">
        <v>0</v>
      </c>
      <c r="M27" s="58">
        <v>0</v>
      </c>
      <c r="N27" s="58">
        <v>0</v>
      </c>
      <c r="O27" s="58">
        <v>0</v>
      </c>
      <c r="P27" s="58">
        <v>0</v>
      </c>
      <c r="Q27" s="58">
        <v>0</v>
      </c>
      <c r="R27" s="58">
        <v>1</v>
      </c>
      <c r="S27" s="58">
        <v>0</v>
      </c>
      <c r="T27" s="58">
        <v>1</v>
      </c>
      <c r="U27" s="58">
        <v>0</v>
      </c>
      <c r="V27" s="58">
        <v>0</v>
      </c>
      <c r="W27" s="58">
        <v>1</v>
      </c>
      <c r="X27" s="58">
        <v>1</v>
      </c>
      <c r="Y27" s="58">
        <v>1</v>
      </c>
      <c r="Z27" s="58">
        <v>1</v>
      </c>
      <c r="AA27" s="58">
        <v>0</v>
      </c>
      <c r="AB27" s="58">
        <v>0</v>
      </c>
      <c r="AC27" s="58">
        <v>1</v>
      </c>
      <c r="AD27" s="58">
        <v>0</v>
      </c>
      <c r="AE27" s="58">
        <v>0</v>
      </c>
      <c r="AF27" s="58">
        <v>0</v>
      </c>
      <c r="AG27" s="58">
        <v>0</v>
      </c>
      <c r="AH27" s="58">
        <v>0</v>
      </c>
      <c r="AI27" s="58">
        <v>0</v>
      </c>
      <c r="AJ27" s="58">
        <v>0</v>
      </c>
      <c r="AK27" s="58">
        <v>0</v>
      </c>
      <c r="AL27" s="58">
        <v>0</v>
      </c>
      <c r="AM27" s="58">
        <v>1</v>
      </c>
      <c r="AN27" s="58">
        <v>0</v>
      </c>
      <c r="AO27" s="58">
        <v>1</v>
      </c>
      <c r="AP27" s="58">
        <v>0</v>
      </c>
      <c r="AQ27" s="58">
        <v>1</v>
      </c>
      <c r="AR27" s="58">
        <v>0</v>
      </c>
      <c r="AS27" s="58">
        <v>0</v>
      </c>
      <c r="AT27" s="58">
        <v>0</v>
      </c>
      <c r="AU27" s="58">
        <v>0</v>
      </c>
      <c r="AV27" s="58">
        <v>1</v>
      </c>
      <c r="AW27" s="58">
        <v>0</v>
      </c>
      <c r="AX27" s="58">
        <v>1</v>
      </c>
      <c r="AY27" s="58">
        <v>1</v>
      </c>
      <c r="AZ27" s="58">
        <v>0</v>
      </c>
      <c r="BA27" s="58">
        <v>0</v>
      </c>
      <c r="BB27" s="58">
        <v>0</v>
      </c>
      <c r="BC27" s="58">
        <v>0</v>
      </c>
      <c r="BD27" s="58">
        <v>0</v>
      </c>
      <c r="BE27" s="58">
        <v>0</v>
      </c>
      <c r="BF27" s="58">
        <v>0</v>
      </c>
      <c r="BG27" s="58">
        <v>0</v>
      </c>
      <c r="BH27" s="58">
        <v>0</v>
      </c>
      <c r="BI27" s="58">
        <v>0</v>
      </c>
      <c r="BJ27" s="58">
        <v>1</v>
      </c>
      <c r="BK27" s="58">
        <v>0</v>
      </c>
      <c r="BL27" s="58">
        <v>1</v>
      </c>
      <c r="BM27" s="58">
        <v>1</v>
      </c>
      <c r="BN27" s="58">
        <v>1</v>
      </c>
      <c r="BO27" s="58">
        <v>1</v>
      </c>
      <c r="BP27" s="58">
        <v>1</v>
      </c>
      <c r="BQ27" s="58">
        <v>1</v>
      </c>
      <c r="BR27" s="58">
        <v>0</v>
      </c>
      <c r="BS27" s="58">
        <v>0</v>
      </c>
      <c r="BT27" s="58">
        <v>0</v>
      </c>
      <c r="BU27" s="58">
        <v>0</v>
      </c>
      <c r="BV27" s="58">
        <v>0</v>
      </c>
      <c r="BW27" s="58">
        <v>0</v>
      </c>
      <c r="BX27" s="58">
        <v>0</v>
      </c>
      <c r="BY27" s="58">
        <v>1</v>
      </c>
      <c r="BZ27" s="58">
        <v>1</v>
      </c>
      <c r="CA27" s="58">
        <v>1</v>
      </c>
      <c r="CB27" s="58">
        <v>0</v>
      </c>
      <c r="CC27" s="58">
        <v>0</v>
      </c>
      <c r="CD27" s="58">
        <v>0</v>
      </c>
      <c r="CE27" s="58">
        <v>0</v>
      </c>
      <c r="CF27" s="58">
        <v>0</v>
      </c>
      <c r="CG27" s="58">
        <v>1</v>
      </c>
      <c r="CH27" s="58">
        <v>0</v>
      </c>
      <c r="CI27" s="58">
        <v>0</v>
      </c>
      <c r="CJ27" s="58">
        <v>1</v>
      </c>
      <c r="CK27" s="58">
        <v>1</v>
      </c>
      <c r="CL27" s="58">
        <v>1</v>
      </c>
      <c r="CM27" s="58">
        <v>0</v>
      </c>
      <c r="CN27" s="58">
        <v>1</v>
      </c>
      <c r="CO27" s="58">
        <v>0</v>
      </c>
      <c r="CP27" s="58">
        <v>0</v>
      </c>
      <c r="CQ27" s="58">
        <v>0</v>
      </c>
      <c r="CR27" s="58">
        <v>0</v>
      </c>
      <c r="CS27" s="58">
        <v>1</v>
      </c>
      <c r="CT27" s="58">
        <v>0</v>
      </c>
      <c r="CU27" s="58">
        <v>0</v>
      </c>
      <c r="CV27" s="58">
        <v>0</v>
      </c>
      <c r="CW27" s="58">
        <v>1</v>
      </c>
      <c r="CX27" s="58">
        <v>1</v>
      </c>
    </row>
    <row r="28" spans="1:102" x14ac:dyDescent="0.25">
      <c r="A28" s="57" t="s">
        <v>814</v>
      </c>
      <c r="B28" s="62">
        <v>0.22</v>
      </c>
      <c r="C28" s="58">
        <v>0</v>
      </c>
      <c r="D28" s="58">
        <v>0</v>
      </c>
      <c r="E28" s="58">
        <v>0</v>
      </c>
      <c r="F28" s="58">
        <v>1</v>
      </c>
      <c r="G28" s="58">
        <v>0</v>
      </c>
      <c r="H28" s="58">
        <v>0</v>
      </c>
      <c r="I28" s="58">
        <v>0</v>
      </c>
      <c r="J28" s="58">
        <v>0</v>
      </c>
      <c r="K28" s="58">
        <v>0</v>
      </c>
      <c r="L28" s="58">
        <v>1</v>
      </c>
      <c r="M28" s="58">
        <v>0</v>
      </c>
      <c r="N28" s="58">
        <v>0</v>
      </c>
      <c r="O28" s="58">
        <v>0</v>
      </c>
      <c r="P28" s="58">
        <v>1</v>
      </c>
      <c r="Q28" s="58">
        <v>1</v>
      </c>
      <c r="R28" s="58">
        <v>0</v>
      </c>
      <c r="S28" s="58">
        <v>0</v>
      </c>
      <c r="T28" s="58">
        <v>1</v>
      </c>
      <c r="U28" s="58">
        <v>1</v>
      </c>
      <c r="V28" s="58">
        <v>1</v>
      </c>
      <c r="W28" s="58">
        <v>1</v>
      </c>
      <c r="X28" s="58">
        <v>0</v>
      </c>
      <c r="Y28" s="58">
        <v>1</v>
      </c>
      <c r="Z28" s="58">
        <v>1</v>
      </c>
      <c r="AA28" s="58">
        <v>0</v>
      </c>
      <c r="AB28" s="58">
        <v>0</v>
      </c>
      <c r="AC28" s="58">
        <v>0</v>
      </c>
      <c r="AD28" s="58">
        <v>0</v>
      </c>
      <c r="AE28" s="58">
        <v>0</v>
      </c>
      <c r="AF28" s="58">
        <v>0</v>
      </c>
      <c r="AG28" s="58">
        <v>0</v>
      </c>
      <c r="AH28" s="58">
        <v>1</v>
      </c>
      <c r="AI28" s="58">
        <v>1</v>
      </c>
      <c r="AJ28" s="58">
        <v>0</v>
      </c>
      <c r="AK28" s="58">
        <v>0</v>
      </c>
      <c r="AL28" s="58">
        <v>1</v>
      </c>
      <c r="AM28" s="58">
        <v>1</v>
      </c>
      <c r="AN28" s="58">
        <v>1</v>
      </c>
      <c r="AO28" s="58">
        <v>1</v>
      </c>
      <c r="AP28" s="58">
        <v>0</v>
      </c>
      <c r="AQ28" s="58">
        <v>0</v>
      </c>
      <c r="AR28" s="58">
        <v>0</v>
      </c>
      <c r="AS28" s="58">
        <v>0</v>
      </c>
      <c r="AT28" s="58">
        <v>0</v>
      </c>
      <c r="AU28" s="58">
        <v>0</v>
      </c>
      <c r="AV28" s="58">
        <v>0</v>
      </c>
      <c r="AW28" s="58">
        <v>0</v>
      </c>
      <c r="AX28" s="58">
        <v>0</v>
      </c>
      <c r="AY28" s="58">
        <v>0</v>
      </c>
      <c r="AZ28" s="58">
        <v>0</v>
      </c>
      <c r="BA28" s="58">
        <v>1</v>
      </c>
      <c r="BB28" s="58">
        <v>0</v>
      </c>
      <c r="BC28" s="58">
        <v>0</v>
      </c>
      <c r="BD28" s="58">
        <v>0</v>
      </c>
      <c r="BE28" s="58">
        <v>0</v>
      </c>
      <c r="BF28" s="58">
        <v>1</v>
      </c>
      <c r="BG28" s="58">
        <v>0</v>
      </c>
      <c r="BH28" s="58">
        <v>0</v>
      </c>
      <c r="BI28" s="58">
        <v>0</v>
      </c>
      <c r="BJ28" s="58">
        <v>1</v>
      </c>
      <c r="BK28" s="58">
        <v>0</v>
      </c>
      <c r="BL28" s="58">
        <v>1</v>
      </c>
      <c r="BM28" s="58">
        <v>0</v>
      </c>
      <c r="BN28" s="58">
        <v>0</v>
      </c>
      <c r="BO28" s="58">
        <v>1</v>
      </c>
      <c r="BP28" s="58">
        <v>0</v>
      </c>
      <c r="BQ28" s="58">
        <v>1</v>
      </c>
      <c r="BR28" s="58">
        <v>1</v>
      </c>
      <c r="BS28" s="58">
        <v>0</v>
      </c>
      <c r="BT28" s="58">
        <v>0</v>
      </c>
      <c r="BU28" s="58">
        <v>0</v>
      </c>
      <c r="BV28" s="58">
        <v>0</v>
      </c>
      <c r="BW28" s="58">
        <v>0</v>
      </c>
      <c r="BX28" s="58">
        <v>1</v>
      </c>
      <c r="BY28" s="58">
        <v>1</v>
      </c>
      <c r="BZ28" s="58">
        <v>0</v>
      </c>
      <c r="CA28" s="58">
        <v>0</v>
      </c>
      <c r="CB28" s="58">
        <v>0</v>
      </c>
      <c r="CC28" s="58">
        <v>0</v>
      </c>
      <c r="CD28" s="58">
        <v>0</v>
      </c>
      <c r="CE28" s="58">
        <v>1</v>
      </c>
      <c r="CF28" s="58">
        <v>1</v>
      </c>
      <c r="CG28" s="58">
        <v>0</v>
      </c>
      <c r="CH28" s="58">
        <v>0</v>
      </c>
      <c r="CI28" s="58">
        <v>1</v>
      </c>
      <c r="CJ28" s="58">
        <v>0</v>
      </c>
      <c r="CK28" s="58">
        <v>0</v>
      </c>
      <c r="CL28" s="58">
        <v>1</v>
      </c>
      <c r="CM28" s="58">
        <v>0</v>
      </c>
      <c r="CN28" s="58">
        <v>0</v>
      </c>
      <c r="CO28" s="58">
        <v>0</v>
      </c>
      <c r="CP28" s="58">
        <v>0</v>
      </c>
      <c r="CQ28" s="58">
        <v>1</v>
      </c>
      <c r="CR28" s="58">
        <v>0</v>
      </c>
      <c r="CS28" s="58">
        <v>0</v>
      </c>
      <c r="CT28" s="58">
        <v>1</v>
      </c>
      <c r="CU28" s="58">
        <v>1</v>
      </c>
      <c r="CV28" s="58">
        <v>0</v>
      </c>
      <c r="CW28" s="58">
        <v>1</v>
      </c>
      <c r="CX28" s="58">
        <v>0</v>
      </c>
    </row>
    <row r="29" spans="1:102" x14ac:dyDescent="0.25">
      <c r="A29" s="57" t="s">
        <v>815</v>
      </c>
      <c r="B29" s="62">
        <v>0.1</v>
      </c>
      <c r="C29" s="58">
        <v>0</v>
      </c>
      <c r="D29" s="58">
        <v>0</v>
      </c>
      <c r="E29" s="58">
        <v>0</v>
      </c>
      <c r="F29" s="58">
        <v>0</v>
      </c>
      <c r="G29" s="58">
        <v>0</v>
      </c>
      <c r="H29" s="58">
        <v>1</v>
      </c>
      <c r="I29" s="58">
        <v>0</v>
      </c>
      <c r="J29" s="58">
        <v>0</v>
      </c>
      <c r="K29" s="58">
        <v>0</v>
      </c>
      <c r="L29" s="58">
        <v>0</v>
      </c>
      <c r="M29" s="58">
        <v>0</v>
      </c>
      <c r="N29" s="58">
        <v>0</v>
      </c>
      <c r="O29" s="58">
        <v>0</v>
      </c>
      <c r="P29" s="58">
        <v>0</v>
      </c>
      <c r="Q29" s="58">
        <v>0</v>
      </c>
      <c r="R29" s="58">
        <v>0</v>
      </c>
      <c r="S29" s="58">
        <v>0</v>
      </c>
      <c r="T29" s="58">
        <v>0</v>
      </c>
      <c r="U29" s="58">
        <v>0</v>
      </c>
      <c r="V29" s="58">
        <v>0</v>
      </c>
      <c r="W29" s="58">
        <v>0</v>
      </c>
      <c r="X29" s="58">
        <v>0</v>
      </c>
      <c r="Y29" s="58">
        <v>0</v>
      </c>
      <c r="Z29" s="58">
        <v>0</v>
      </c>
      <c r="AA29" s="58">
        <v>0</v>
      </c>
      <c r="AB29" s="58">
        <v>0</v>
      </c>
      <c r="AC29" s="58">
        <v>0</v>
      </c>
      <c r="AD29" s="58">
        <v>0</v>
      </c>
      <c r="AE29" s="58">
        <v>0</v>
      </c>
      <c r="AF29" s="58">
        <v>0</v>
      </c>
      <c r="AG29" s="58">
        <v>0</v>
      </c>
      <c r="AH29" s="58">
        <v>0</v>
      </c>
      <c r="AI29" s="58">
        <v>0</v>
      </c>
      <c r="AJ29" s="58">
        <v>1</v>
      </c>
      <c r="AK29" s="58">
        <v>0</v>
      </c>
      <c r="AL29" s="58">
        <v>0</v>
      </c>
      <c r="AM29" s="58">
        <v>0</v>
      </c>
      <c r="AN29" s="58">
        <v>0</v>
      </c>
      <c r="AO29" s="58">
        <v>0</v>
      </c>
      <c r="AP29" s="58">
        <v>0</v>
      </c>
      <c r="AQ29" s="58">
        <v>0</v>
      </c>
      <c r="AR29" s="58">
        <v>1</v>
      </c>
      <c r="AS29" s="58">
        <v>1</v>
      </c>
      <c r="AT29" s="58">
        <v>0</v>
      </c>
      <c r="AU29" s="58">
        <v>0</v>
      </c>
      <c r="AV29" s="58">
        <v>0</v>
      </c>
      <c r="AW29" s="58">
        <v>0</v>
      </c>
      <c r="AX29" s="58">
        <v>0</v>
      </c>
      <c r="AY29" s="58">
        <v>0</v>
      </c>
      <c r="AZ29" s="58">
        <v>0</v>
      </c>
      <c r="BA29" s="58">
        <v>0</v>
      </c>
      <c r="BB29" s="58">
        <v>1</v>
      </c>
      <c r="BC29" s="58">
        <v>0</v>
      </c>
      <c r="BD29" s="58">
        <v>0</v>
      </c>
      <c r="BE29" s="58">
        <v>0</v>
      </c>
      <c r="BF29" s="58">
        <v>0</v>
      </c>
      <c r="BG29" s="58">
        <v>0</v>
      </c>
      <c r="BH29" s="58">
        <v>0</v>
      </c>
      <c r="BI29" s="58">
        <v>0</v>
      </c>
      <c r="BJ29" s="58">
        <v>0</v>
      </c>
      <c r="BK29" s="58">
        <v>0</v>
      </c>
      <c r="BL29" s="58">
        <v>0</v>
      </c>
      <c r="BM29" s="58">
        <v>0</v>
      </c>
      <c r="BN29" s="58">
        <v>0</v>
      </c>
      <c r="BO29" s="58">
        <v>0</v>
      </c>
      <c r="BP29" s="58">
        <v>1</v>
      </c>
      <c r="BQ29" s="58">
        <v>0</v>
      </c>
      <c r="BR29" s="58">
        <v>0</v>
      </c>
      <c r="BS29" s="58">
        <v>0</v>
      </c>
      <c r="BT29" s="58">
        <v>0</v>
      </c>
      <c r="BU29" s="58">
        <v>0</v>
      </c>
      <c r="BV29" s="58">
        <v>1</v>
      </c>
      <c r="BW29" s="58">
        <v>0</v>
      </c>
      <c r="BX29" s="58">
        <v>0</v>
      </c>
      <c r="BY29" s="58">
        <v>0</v>
      </c>
      <c r="BZ29" s="58">
        <v>0</v>
      </c>
      <c r="CA29" s="58">
        <v>0</v>
      </c>
      <c r="CB29" s="58">
        <v>0</v>
      </c>
      <c r="CC29" s="58">
        <v>0</v>
      </c>
      <c r="CD29" s="58">
        <v>0</v>
      </c>
      <c r="CE29" s="58">
        <v>0</v>
      </c>
      <c r="CF29" s="58">
        <v>0</v>
      </c>
      <c r="CG29" s="58">
        <v>0</v>
      </c>
      <c r="CH29" s="58">
        <v>0</v>
      </c>
      <c r="CI29" s="58">
        <v>0</v>
      </c>
      <c r="CJ29" s="58">
        <v>0</v>
      </c>
      <c r="CK29" s="58">
        <v>1</v>
      </c>
      <c r="CL29" s="58">
        <v>0</v>
      </c>
      <c r="CM29" s="58">
        <v>0</v>
      </c>
      <c r="CN29" s="58">
        <v>0</v>
      </c>
      <c r="CO29" s="58">
        <v>0</v>
      </c>
      <c r="CP29" s="58">
        <v>0</v>
      </c>
      <c r="CQ29" s="58">
        <v>0</v>
      </c>
      <c r="CR29" s="58">
        <v>0</v>
      </c>
      <c r="CS29" s="58">
        <v>0</v>
      </c>
      <c r="CT29" s="58">
        <v>0</v>
      </c>
      <c r="CU29" s="58">
        <v>0</v>
      </c>
      <c r="CV29" s="58">
        <v>0</v>
      </c>
      <c r="CW29" s="58">
        <v>0</v>
      </c>
      <c r="CX29" s="58">
        <v>0</v>
      </c>
    </row>
    <row r="30" spans="1:102" ht="25.5" x14ac:dyDescent="0.25">
      <c r="A30" s="57" t="s">
        <v>816</v>
      </c>
      <c r="B30" s="62">
        <v>0.15</v>
      </c>
      <c r="C30" s="58">
        <v>0</v>
      </c>
      <c r="D30" s="58">
        <v>1</v>
      </c>
      <c r="E30" s="58">
        <v>0</v>
      </c>
      <c r="F30" s="58">
        <v>0</v>
      </c>
      <c r="G30" s="58">
        <v>0</v>
      </c>
      <c r="H30" s="58">
        <v>0</v>
      </c>
      <c r="I30" s="58">
        <v>0</v>
      </c>
      <c r="J30" s="58">
        <v>0</v>
      </c>
      <c r="K30" s="58">
        <v>0</v>
      </c>
      <c r="L30" s="58">
        <v>0</v>
      </c>
      <c r="M30" s="58">
        <v>0</v>
      </c>
      <c r="N30" s="58">
        <v>0</v>
      </c>
      <c r="O30" s="58">
        <v>0</v>
      </c>
      <c r="P30" s="58">
        <v>0</v>
      </c>
      <c r="Q30" s="58">
        <v>0</v>
      </c>
      <c r="R30" s="58">
        <v>0</v>
      </c>
      <c r="S30" s="58">
        <v>0</v>
      </c>
      <c r="T30" s="58">
        <v>1</v>
      </c>
      <c r="U30" s="58">
        <v>0</v>
      </c>
      <c r="V30" s="58">
        <v>0</v>
      </c>
      <c r="W30" s="58">
        <v>0</v>
      </c>
      <c r="X30" s="58">
        <v>0</v>
      </c>
      <c r="Y30" s="58">
        <v>1</v>
      </c>
      <c r="Z30" s="58">
        <v>0</v>
      </c>
      <c r="AA30" s="58">
        <v>0</v>
      </c>
      <c r="AB30" s="58">
        <v>0</v>
      </c>
      <c r="AC30" s="58">
        <v>1</v>
      </c>
      <c r="AD30" s="58">
        <v>0</v>
      </c>
      <c r="AE30" s="58">
        <v>0</v>
      </c>
      <c r="AF30" s="58">
        <v>0</v>
      </c>
      <c r="AG30" s="58">
        <v>0</v>
      </c>
      <c r="AH30" s="58">
        <v>0</v>
      </c>
      <c r="AI30" s="58">
        <v>0</v>
      </c>
      <c r="AJ30" s="58">
        <v>0</v>
      </c>
      <c r="AK30" s="58">
        <v>0</v>
      </c>
      <c r="AL30" s="58">
        <v>0</v>
      </c>
      <c r="AM30" s="58">
        <v>0</v>
      </c>
      <c r="AN30" s="58">
        <v>0</v>
      </c>
      <c r="AO30" s="58">
        <v>1</v>
      </c>
      <c r="AP30" s="58">
        <v>0</v>
      </c>
      <c r="AQ30" s="58">
        <v>0</v>
      </c>
      <c r="AR30" s="58">
        <v>0</v>
      </c>
      <c r="AS30" s="58">
        <v>0</v>
      </c>
      <c r="AT30" s="58">
        <v>0</v>
      </c>
      <c r="AU30" s="58">
        <v>0</v>
      </c>
      <c r="AV30" s="58">
        <v>0</v>
      </c>
      <c r="AW30" s="58">
        <v>1</v>
      </c>
      <c r="AX30" s="58">
        <v>0</v>
      </c>
      <c r="AY30" s="58">
        <v>0</v>
      </c>
      <c r="AZ30" s="58">
        <v>0</v>
      </c>
      <c r="BA30" s="58">
        <v>0</v>
      </c>
      <c r="BB30" s="58">
        <v>1</v>
      </c>
      <c r="BC30" s="58">
        <v>0</v>
      </c>
      <c r="BD30" s="58">
        <v>0</v>
      </c>
      <c r="BE30" s="58">
        <v>0</v>
      </c>
      <c r="BF30" s="58">
        <v>0</v>
      </c>
      <c r="BG30" s="58">
        <v>1</v>
      </c>
      <c r="BH30" s="58">
        <v>0</v>
      </c>
      <c r="BI30" s="58">
        <v>0</v>
      </c>
      <c r="BJ30" s="58">
        <v>0</v>
      </c>
      <c r="BK30" s="58">
        <v>0</v>
      </c>
      <c r="BL30" s="58">
        <v>0</v>
      </c>
      <c r="BM30" s="58">
        <v>0</v>
      </c>
      <c r="BN30" s="58">
        <v>0</v>
      </c>
      <c r="BO30" s="58">
        <v>0</v>
      </c>
      <c r="BP30" s="58">
        <v>0</v>
      </c>
      <c r="BQ30" s="58">
        <v>0</v>
      </c>
      <c r="BR30" s="58">
        <v>0</v>
      </c>
      <c r="BS30" s="58">
        <v>0</v>
      </c>
      <c r="BT30" s="58">
        <v>0</v>
      </c>
      <c r="BU30" s="58">
        <v>0</v>
      </c>
      <c r="BV30" s="58">
        <v>0</v>
      </c>
      <c r="BW30" s="58">
        <v>0</v>
      </c>
      <c r="BX30" s="58">
        <v>0</v>
      </c>
      <c r="BY30" s="58">
        <v>0</v>
      </c>
      <c r="BZ30" s="58">
        <v>0</v>
      </c>
      <c r="CA30" s="58">
        <v>0</v>
      </c>
      <c r="CB30" s="58">
        <v>0</v>
      </c>
      <c r="CC30" s="58">
        <v>0</v>
      </c>
      <c r="CD30" s="58">
        <v>0</v>
      </c>
      <c r="CE30" s="58">
        <v>0</v>
      </c>
      <c r="CF30" s="58">
        <v>0</v>
      </c>
      <c r="CG30" s="58">
        <v>0</v>
      </c>
      <c r="CH30" s="58">
        <v>0</v>
      </c>
      <c r="CI30" s="58">
        <v>0</v>
      </c>
      <c r="CJ30" s="58">
        <v>0</v>
      </c>
      <c r="CK30" s="58">
        <v>0</v>
      </c>
      <c r="CL30" s="58">
        <v>1</v>
      </c>
      <c r="CM30" s="58">
        <v>0</v>
      </c>
      <c r="CN30" s="58">
        <v>0</v>
      </c>
      <c r="CO30" s="58">
        <v>1</v>
      </c>
      <c r="CP30" s="58">
        <v>0</v>
      </c>
      <c r="CQ30" s="58">
        <v>0</v>
      </c>
      <c r="CR30" s="58">
        <v>0</v>
      </c>
      <c r="CS30" s="58">
        <v>0</v>
      </c>
      <c r="CT30" s="58">
        <v>0</v>
      </c>
      <c r="CU30" s="58">
        <v>0</v>
      </c>
      <c r="CV30" s="58">
        <v>0</v>
      </c>
      <c r="CW30" s="58">
        <v>1</v>
      </c>
      <c r="CX30" s="58">
        <v>0</v>
      </c>
    </row>
    <row r="31" spans="1:102" x14ac:dyDescent="0.25">
      <c r="A31" s="57" t="s">
        <v>817</v>
      </c>
      <c r="B31" s="62">
        <v>0.25</v>
      </c>
      <c r="C31" s="58">
        <v>0</v>
      </c>
      <c r="D31" s="58">
        <v>0</v>
      </c>
      <c r="E31" s="58">
        <v>0</v>
      </c>
      <c r="F31" s="58">
        <v>0</v>
      </c>
      <c r="G31" s="58">
        <v>0</v>
      </c>
      <c r="H31" s="58">
        <v>0</v>
      </c>
      <c r="I31" s="58">
        <v>0</v>
      </c>
      <c r="J31" s="58">
        <v>0</v>
      </c>
      <c r="K31" s="58">
        <v>0</v>
      </c>
      <c r="L31" s="58">
        <v>1</v>
      </c>
      <c r="M31" s="58">
        <v>0</v>
      </c>
      <c r="N31" s="58">
        <v>0</v>
      </c>
      <c r="O31" s="58">
        <v>1</v>
      </c>
      <c r="P31" s="58">
        <v>1</v>
      </c>
      <c r="Q31" s="58">
        <v>0</v>
      </c>
      <c r="R31" s="58">
        <v>0</v>
      </c>
      <c r="S31" s="58">
        <v>0</v>
      </c>
      <c r="T31" s="58">
        <v>1</v>
      </c>
      <c r="U31" s="58">
        <v>0</v>
      </c>
      <c r="V31" s="58">
        <v>1</v>
      </c>
      <c r="W31" s="58">
        <v>1</v>
      </c>
      <c r="X31" s="58">
        <v>0</v>
      </c>
      <c r="Y31" s="58">
        <v>0</v>
      </c>
      <c r="Z31" s="58">
        <v>1</v>
      </c>
      <c r="AA31" s="58">
        <v>0</v>
      </c>
      <c r="AB31" s="58">
        <v>1</v>
      </c>
      <c r="AC31" s="58">
        <v>1</v>
      </c>
      <c r="AD31" s="58">
        <v>1</v>
      </c>
      <c r="AE31" s="58">
        <v>0</v>
      </c>
      <c r="AF31" s="58">
        <v>0</v>
      </c>
      <c r="AG31" s="58">
        <v>1</v>
      </c>
      <c r="AH31" s="58">
        <v>1</v>
      </c>
      <c r="AI31" s="58">
        <v>0</v>
      </c>
      <c r="AJ31" s="58">
        <v>0</v>
      </c>
      <c r="AK31" s="58">
        <v>0</v>
      </c>
      <c r="AL31" s="58">
        <v>1</v>
      </c>
      <c r="AM31" s="58">
        <v>0</v>
      </c>
      <c r="AN31" s="58">
        <v>1</v>
      </c>
      <c r="AO31" s="58">
        <v>0</v>
      </c>
      <c r="AP31" s="58">
        <v>0</v>
      </c>
      <c r="AQ31" s="58">
        <v>0</v>
      </c>
      <c r="AR31" s="58">
        <v>1</v>
      </c>
      <c r="AS31" s="58">
        <v>0</v>
      </c>
      <c r="AT31" s="58">
        <v>1</v>
      </c>
      <c r="AU31" s="58">
        <v>0</v>
      </c>
      <c r="AV31" s="58">
        <v>0</v>
      </c>
      <c r="AW31" s="58">
        <v>0</v>
      </c>
      <c r="AX31" s="58">
        <v>1</v>
      </c>
      <c r="AY31" s="58">
        <v>0</v>
      </c>
      <c r="AZ31" s="58">
        <v>0</v>
      </c>
      <c r="BA31" s="58">
        <v>0</v>
      </c>
      <c r="BB31" s="58">
        <v>0</v>
      </c>
      <c r="BC31" s="58">
        <v>1</v>
      </c>
      <c r="BD31" s="58">
        <v>0</v>
      </c>
      <c r="BE31" s="58">
        <v>0</v>
      </c>
      <c r="BF31" s="58">
        <v>0</v>
      </c>
      <c r="BG31" s="58">
        <v>1</v>
      </c>
      <c r="BH31" s="58">
        <v>0</v>
      </c>
      <c r="BI31" s="58">
        <v>1</v>
      </c>
      <c r="BJ31" s="58">
        <v>0</v>
      </c>
      <c r="BK31" s="58">
        <v>0</v>
      </c>
      <c r="BL31" s="58">
        <v>0</v>
      </c>
      <c r="BM31" s="58">
        <v>1</v>
      </c>
      <c r="BN31" s="58">
        <v>0</v>
      </c>
      <c r="BO31" s="58">
        <v>0</v>
      </c>
      <c r="BP31" s="58">
        <v>0</v>
      </c>
      <c r="BQ31" s="58">
        <v>0</v>
      </c>
      <c r="BR31" s="58">
        <v>0</v>
      </c>
      <c r="BS31" s="58">
        <v>0</v>
      </c>
      <c r="BT31" s="58">
        <v>0</v>
      </c>
      <c r="BU31" s="58">
        <v>1</v>
      </c>
      <c r="BV31" s="58">
        <v>0</v>
      </c>
      <c r="BW31" s="58">
        <v>1</v>
      </c>
      <c r="BX31" s="58">
        <v>0</v>
      </c>
      <c r="BY31" s="58">
        <v>1</v>
      </c>
      <c r="BZ31" s="58">
        <v>0</v>
      </c>
      <c r="CA31" s="58">
        <v>0</v>
      </c>
      <c r="CB31" s="58">
        <v>0</v>
      </c>
      <c r="CC31" s="58">
        <v>0</v>
      </c>
      <c r="CD31" s="58">
        <v>1</v>
      </c>
      <c r="CE31" s="58">
        <v>0</v>
      </c>
      <c r="CF31" s="58">
        <v>0</v>
      </c>
      <c r="CG31" s="58">
        <v>0</v>
      </c>
      <c r="CH31" s="58">
        <v>0</v>
      </c>
      <c r="CI31" s="58">
        <v>0</v>
      </c>
      <c r="CJ31" s="58">
        <v>0</v>
      </c>
      <c r="CK31" s="58">
        <v>0</v>
      </c>
      <c r="CL31" s="58">
        <v>1</v>
      </c>
      <c r="CM31" s="58">
        <v>0</v>
      </c>
      <c r="CN31" s="58">
        <v>0</v>
      </c>
      <c r="CO31" s="58">
        <v>0</v>
      </c>
      <c r="CP31" s="58">
        <v>0</v>
      </c>
      <c r="CQ31" s="58">
        <v>0</v>
      </c>
      <c r="CR31" s="58">
        <v>0</v>
      </c>
      <c r="CS31" s="58">
        <v>1</v>
      </c>
      <c r="CT31" s="58">
        <v>0</v>
      </c>
      <c r="CU31" s="58">
        <v>1</v>
      </c>
      <c r="CV31" s="58">
        <v>0</v>
      </c>
      <c r="CW31" s="58">
        <v>0</v>
      </c>
      <c r="CX31" s="58">
        <v>0</v>
      </c>
    </row>
    <row r="32" spans="1:102" ht="25.5" x14ac:dyDescent="0.25">
      <c r="A32" s="57" t="s">
        <v>818</v>
      </c>
      <c r="B32" s="62">
        <v>0.22</v>
      </c>
      <c r="C32" s="58">
        <v>1</v>
      </c>
      <c r="D32" s="58">
        <v>0</v>
      </c>
      <c r="E32" s="58">
        <v>0</v>
      </c>
      <c r="F32" s="58">
        <v>0</v>
      </c>
      <c r="G32" s="58">
        <v>0</v>
      </c>
      <c r="H32" s="58">
        <v>0</v>
      </c>
      <c r="I32" s="58">
        <v>0</v>
      </c>
      <c r="J32" s="58">
        <v>0</v>
      </c>
      <c r="K32" s="58">
        <v>0</v>
      </c>
      <c r="L32" s="58">
        <v>1</v>
      </c>
      <c r="M32" s="58">
        <v>1</v>
      </c>
      <c r="N32" s="58">
        <v>0</v>
      </c>
      <c r="O32" s="58">
        <v>0</v>
      </c>
      <c r="P32" s="58">
        <v>0</v>
      </c>
      <c r="Q32" s="58">
        <v>0</v>
      </c>
      <c r="R32" s="58">
        <v>0</v>
      </c>
      <c r="S32" s="58">
        <v>0</v>
      </c>
      <c r="T32" s="58">
        <v>0</v>
      </c>
      <c r="U32" s="58">
        <v>0</v>
      </c>
      <c r="V32" s="58">
        <v>1</v>
      </c>
      <c r="W32" s="58">
        <v>1</v>
      </c>
      <c r="X32" s="58">
        <v>0</v>
      </c>
      <c r="Y32" s="58">
        <v>0</v>
      </c>
      <c r="Z32" s="58">
        <v>1</v>
      </c>
      <c r="AA32" s="58">
        <v>1</v>
      </c>
      <c r="AB32" s="58">
        <v>0</v>
      </c>
      <c r="AC32" s="58">
        <v>0</v>
      </c>
      <c r="AD32" s="58">
        <v>0</v>
      </c>
      <c r="AE32" s="58">
        <v>0</v>
      </c>
      <c r="AF32" s="58">
        <v>0</v>
      </c>
      <c r="AG32" s="58">
        <v>1</v>
      </c>
      <c r="AH32" s="58">
        <v>0</v>
      </c>
      <c r="AI32" s="58">
        <v>1</v>
      </c>
      <c r="AJ32" s="58">
        <v>0</v>
      </c>
      <c r="AK32" s="58">
        <v>0</v>
      </c>
      <c r="AL32" s="58">
        <v>0</v>
      </c>
      <c r="AM32" s="58">
        <v>1</v>
      </c>
      <c r="AN32" s="58">
        <v>0</v>
      </c>
      <c r="AO32" s="58">
        <v>0</v>
      </c>
      <c r="AP32" s="58">
        <v>0</v>
      </c>
      <c r="AQ32" s="58">
        <v>0</v>
      </c>
      <c r="AR32" s="58">
        <v>0</v>
      </c>
      <c r="AS32" s="58">
        <v>0</v>
      </c>
      <c r="AT32" s="58">
        <v>0</v>
      </c>
      <c r="AU32" s="58">
        <v>0</v>
      </c>
      <c r="AV32" s="58">
        <v>0</v>
      </c>
      <c r="AW32" s="58">
        <v>0</v>
      </c>
      <c r="AX32" s="58">
        <v>0</v>
      </c>
      <c r="AY32" s="58">
        <v>0</v>
      </c>
      <c r="AZ32" s="58">
        <v>0</v>
      </c>
      <c r="BA32" s="58">
        <v>0</v>
      </c>
      <c r="BB32" s="58">
        <v>0</v>
      </c>
      <c r="BC32" s="58">
        <v>1</v>
      </c>
      <c r="BD32" s="58">
        <v>1</v>
      </c>
      <c r="BE32" s="58">
        <v>0</v>
      </c>
      <c r="BF32" s="58">
        <v>0</v>
      </c>
      <c r="BG32" s="58">
        <v>0</v>
      </c>
      <c r="BH32" s="58">
        <v>0</v>
      </c>
      <c r="BI32" s="58">
        <v>0</v>
      </c>
      <c r="BJ32" s="58">
        <v>0</v>
      </c>
      <c r="BK32" s="58">
        <v>0</v>
      </c>
      <c r="BL32" s="58">
        <v>1</v>
      </c>
      <c r="BM32" s="58">
        <v>0</v>
      </c>
      <c r="BN32" s="58">
        <v>1</v>
      </c>
      <c r="BO32" s="58">
        <v>1</v>
      </c>
      <c r="BP32" s="58">
        <v>0</v>
      </c>
      <c r="BQ32" s="58">
        <v>0</v>
      </c>
      <c r="BR32" s="58">
        <v>0</v>
      </c>
      <c r="BS32" s="58">
        <v>0</v>
      </c>
      <c r="BT32" s="58">
        <v>1</v>
      </c>
      <c r="BU32" s="58">
        <v>0</v>
      </c>
      <c r="BV32" s="58">
        <v>0</v>
      </c>
      <c r="BW32" s="58">
        <v>0</v>
      </c>
      <c r="BX32" s="58">
        <v>0</v>
      </c>
      <c r="BY32" s="58">
        <v>0</v>
      </c>
      <c r="BZ32" s="58">
        <v>0</v>
      </c>
      <c r="CA32" s="58">
        <v>0</v>
      </c>
      <c r="CB32" s="58">
        <v>0</v>
      </c>
      <c r="CC32" s="58">
        <v>0</v>
      </c>
      <c r="CD32" s="58">
        <v>0</v>
      </c>
      <c r="CE32" s="58">
        <v>1</v>
      </c>
      <c r="CF32" s="58">
        <v>1</v>
      </c>
      <c r="CG32" s="58">
        <v>1</v>
      </c>
      <c r="CH32" s="58">
        <v>0</v>
      </c>
      <c r="CI32" s="58">
        <v>0</v>
      </c>
      <c r="CJ32" s="58">
        <v>0</v>
      </c>
      <c r="CK32" s="58">
        <v>0</v>
      </c>
      <c r="CL32" s="58">
        <v>1</v>
      </c>
      <c r="CM32" s="58">
        <v>1</v>
      </c>
      <c r="CN32" s="58">
        <v>1</v>
      </c>
      <c r="CO32" s="58">
        <v>0</v>
      </c>
      <c r="CP32" s="58">
        <v>0</v>
      </c>
      <c r="CQ32" s="58">
        <v>0</v>
      </c>
      <c r="CR32" s="58">
        <v>0</v>
      </c>
      <c r="CS32" s="58">
        <v>1</v>
      </c>
      <c r="CT32" s="58">
        <v>0</v>
      </c>
      <c r="CU32" s="58">
        <v>1</v>
      </c>
      <c r="CV32" s="58">
        <v>0</v>
      </c>
      <c r="CW32" s="58">
        <v>0</v>
      </c>
      <c r="CX32" s="58">
        <v>0</v>
      </c>
    </row>
    <row r="33" spans="1:102" x14ac:dyDescent="0.25">
      <c r="A33" s="57" t="s">
        <v>846</v>
      </c>
      <c r="B33" s="62">
        <v>0.15</v>
      </c>
      <c r="C33" s="58">
        <v>0</v>
      </c>
      <c r="D33" s="58">
        <v>0</v>
      </c>
      <c r="E33" s="58">
        <v>1</v>
      </c>
      <c r="F33" s="58">
        <v>0</v>
      </c>
      <c r="G33" s="58">
        <v>0</v>
      </c>
      <c r="H33" s="58">
        <v>0</v>
      </c>
      <c r="I33" s="58">
        <v>0</v>
      </c>
      <c r="J33" s="58">
        <v>1</v>
      </c>
      <c r="K33" s="58">
        <v>0</v>
      </c>
      <c r="L33" s="58">
        <v>0</v>
      </c>
      <c r="M33" s="58">
        <v>0</v>
      </c>
      <c r="N33" s="58">
        <v>1</v>
      </c>
      <c r="O33" s="58">
        <v>0</v>
      </c>
      <c r="P33" s="58">
        <v>1</v>
      </c>
      <c r="Q33" s="58">
        <v>0</v>
      </c>
      <c r="R33" s="58">
        <v>0</v>
      </c>
      <c r="S33" s="58">
        <v>0</v>
      </c>
      <c r="T33" s="58">
        <v>0</v>
      </c>
      <c r="U33" s="58">
        <v>0</v>
      </c>
      <c r="V33" s="58">
        <v>0</v>
      </c>
      <c r="W33" s="58">
        <v>0</v>
      </c>
      <c r="X33" s="58">
        <v>0</v>
      </c>
      <c r="Y33" s="58">
        <v>0</v>
      </c>
      <c r="Z33" s="58">
        <v>0</v>
      </c>
      <c r="AA33" s="58">
        <v>0</v>
      </c>
      <c r="AB33" s="58">
        <v>1</v>
      </c>
      <c r="AC33" s="58">
        <v>0</v>
      </c>
      <c r="AD33" s="58">
        <v>0</v>
      </c>
      <c r="AE33" s="58">
        <v>0</v>
      </c>
      <c r="AF33" s="58">
        <v>0</v>
      </c>
      <c r="AG33" s="58">
        <v>1</v>
      </c>
      <c r="AH33" s="58">
        <v>0</v>
      </c>
      <c r="AI33" s="58">
        <v>0</v>
      </c>
      <c r="AJ33" s="58">
        <v>0</v>
      </c>
      <c r="AK33" s="58">
        <v>0</v>
      </c>
      <c r="AL33" s="58">
        <v>0</v>
      </c>
      <c r="AM33" s="58">
        <v>0</v>
      </c>
      <c r="AN33" s="58">
        <v>0</v>
      </c>
      <c r="AO33" s="58">
        <v>0</v>
      </c>
      <c r="AP33" s="58">
        <v>0</v>
      </c>
      <c r="AQ33" s="58">
        <v>0</v>
      </c>
      <c r="AR33" s="58">
        <v>1</v>
      </c>
      <c r="AS33" s="58">
        <v>0</v>
      </c>
      <c r="AT33" s="58">
        <v>0</v>
      </c>
      <c r="AU33" s="58">
        <v>0</v>
      </c>
      <c r="AV33" s="58">
        <v>1</v>
      </c>
      <c r="AW33" s="58">
        <v>1</v>
      </c>
      <c r="AX33" s="58">
        <v>0</v>
      </c>
      <c r="AY33" s="58">
        <v>0</v>
      </c>
      <c r="AZ33" s="58">
        <v>0</v>
      </c>
      <c r="BA33" s="58">
        <v>0</v>
      </c>
      <c r="BB33" s="58">
        <v>0</v>
      </c>
      <c r="BC33" s="58">
        <v>0</v>
      </c>
      <c r="BD33" s="58">
        <v>0</v>
      </c>
      <c r="BE33" s="58">
        <v>0</v>
      </c>
      <c r="BF33" s="58">
        <v>0</v>
      </c>
      <c r="BG33" s="58">
        <v>0</v>
      </c>
      <c r="BH33" s="58">
        <v>0</v>
      </c>
      <c r="BI33" s="58">
        <v>0</v>
      </c>
      <c r="BJ33" s="58">
        <v>0</v>
      </c>
      <c r="BK33" s="58">
        <v>0</v>
      </c>
      <c r="BL33" s="58">
        <v>1</v>
      </c>
      <c r="BM33" s="58">
        <v>0</v>
      </c>
      <c r="BN33" s="58">
        <v>0</v>
      </c>
      <c r="BO33" s="58">
        <v>0</v>
      </c>
      <c r="BP33" s="58">
        <v>0</v>
      </c>
      <c r="BQ33" s="58">
        <v>0</v>
      </c>
      <c r="BR33" s="58">
        <v>1</v>
      </c>
      <c r="BS33" s="58">
        <v>1</v>
      </c>
      <c r="BT33" s="58">
        <v>0</v>
      </c>
      <c r="BU33" s="58">
        <v>0</v>
      </c>
      <c r="BV33" s="58">
        <v>1</v>
      </c>
      <c r="BW33" s="58">
        <v>0</v>
      </c>
      <c r="BX33" s="58">
        <v>0</v>
      </c>
      <c r="BY33" s="58">
        <v>0</v>
      </c>
      <c r="BZ33" s="58">
        <v>0</v>
      </c>
      <c r="CA33" s="58">
        <v>0</v>
      </c>
      <c r="CB33" s="58">
        <v>0</v>
      </c>
      <c r="CC33" s="58">
        <v>0</v>
      </c>
      <c r="CD33" s="58">
        <v>0</v>
      </c>
      <c r="CE33" s="58">
        <v>0</v>
      </c>
      <c r="CF33" s="58">
        <v>0</v>
      </c>
      <c r="CG33" s="58">
        <v>0</v>
      </c>
      <c r="CH33" s="58">
        <v>0</v>
      </c>
      <c r="CI33" s="58">
        <v>0</v>
      </c>
      <c r="CJ33" s="58">
        <v>0</v>
      </c>
      <c r="CK33" s="58">
        <v>1</v>
      </c>
      <c r="CL33" s="58">
        <v>0</v>
      </c>
      <c r="CM33" s="58">
        <v>0</v>
      </c>
      <c r="CN33" s="58">
        <v>0</v>
      </c>
      <c r="CO33" s="58">
        <v>0</v>
      </c>
      <c r="CP33" s="58">
        <v>0</v>
      </c>
      <c r="CQ33" s="58">
        <v>0</v>
      </c>
      <c r="CR33" s="58">
        <v>0</v>
      </c>
      <c r="CS33" s="58">
        <v>0</v>
      </c>
      <c r="CT33" s="58">
        <v>0</v>
      </c>
      <c r="CU33" s="58">
        <v>0</v>
      </c>
      <c r="CV33" s="58">
        <v>0</v>
      </c>
      <c r="CW33" s="58">
        <v>1</v>
      </c>
      <c r="CX33" s="58">
        <v>0</v>
      </c>
    </row>
    <row r="34" spans="1:102" x14ac:dyDescent="0.25">
      <c r="A34" s="57" t="s">
        <v>819</v>
      </c>
      <c r="B34" s="62">
        <v>0.14000000000000001</v>
      </c>
      <c r="C34" s="58">
        <v>0</v>
      </c>
      <c r="D34" s="58">
        <v>0</v>
      </c>
      <c r="E34" s="58">
        <v>0</v>
      </c>
      <c r="F34" s="58">
        <v>1</v>
      </c>
      <c r="G34" s="58">
        <v>0</v>
      </c>
      <c r="H34" s="58">
        <v>0</v>
      </c>
      <c r="I34" s="58">
        <v>0</v>
      </c>
      <c r="J34" s="58">
        <v>0</v>
      </c>
      <c r="K34" s="58">
        <v>0</v>
      </c>
      <c r="L34" s="58">
        <v>0</v>
      </c>
      <c r="M34" s="58">
        <v>0</v>
      </c>
      <c r="N34" s="58">
        <v>0</v>
      </c>
      <c r="O34" s="58">
        <v>0</v>
      </c>
      <c r="P34" s="58">
        <v>0</v>
      </c>
      <c r="Q34" s="58">
        <v>0</v>
      </c>
      <c r="R34" s="58">
        <v>0</v>
      </c>
      <c r="S34" s="58">
        <v>0</v>
      </c>
      <c r="T34" s="58">
        <v>0</v>
      </c>
      <c r="U34" s="58">
        <v>0</v>
      </c>
      <c r="V34" s="58">
        <v>0</v>
      </c>
      <c r="W34" s="58">
        <v>0</v>
      </c>
      <c r="X34" s="58">
        <v>0</v>
      </c>
      <c r="Y34" s="58">
        <v>0</v>
      </c>
      <c r="Z34" s="58">
        <v>0</v>
      </c>
      <c r="AA34" s="58">
        <v>0</v>
      </c>
      <c r="AB34" s="58">
        <v>0</v>
      </c>
      <c r="AC34" s="58">
        <v>1</v>
      </c>
      <c r="AD34" s="58">
        <v>0</v>
      </c>
      <c r="AE34" s="58">
        <v>0</v>
      </c>
      <c r="AF34" s="58">
        <v>0</v>
      </c>
      <c r="AG34" s="58">
        <v>0</v>
      </c>
      <c r="AH34" s="58">
        <v>0</v>
      </c>
      <c r="AI34" s="58">
        <v>0</v>
      </c>
      <c r="AJ34" s="58">
        <v>0</v>
      </c>
      <c r="AK34" s="58">
        <v>0</v>
      </c>
      <c r="AL34" s="58">
        <v>0</v>
      </c>
      <c r="AM34" s="58">
        <v>1</v>
      </c>
      <c r="AN34" s="58">
        <v>0</v>
      </c>
      <c r="AO34" s="58">
        <v>0</v>
      </c>
      <c r="AP34" s="58">
        <v>0</v>
      </c>
      <c r="AQ34" s="58">
        <v>0</v>
      </c>
      <c r="AR34" s="58">
        <v>0</v>
      </c>
      <c r="AS34" s="58">
        <v>0</v>
      </c>
      <c r="AT34" s="58">
        <v>0</v>
      </c>
      <c r="AU34" s="58">
        <v>0</v>
      </c>
      <c r="AV34" s="58">
        <v>0</v>
      </c>
      <c r="AW34" s="58">
        <v>1</v>
      </c>
      <c r="AX34" s="58">
        <v>0</v>
      </c>
      <c r="AY34" s="58">
        <v>0</v>
      </c>
      <c r="AZ34" s="58">
        <v>0</v>
      </c>
      <c r="BA34" s="58">
        <v>0</v>
      </c>
      <c r="BB34" s="58">
        <v>0</v>
      </c>
      <c r="BC34" s="58">
        <v>0</v>
      </c>
      <c r="BD34" s="58">
        <v>1</v>
      </c>
      <c r="BE34" s="58">
        <v>0</v>
      </c>
      <c r="BF34" s="58">
        <v>0</v>
      </c>
      <c r="BG34" s="58">
        <v>0</v>
      </c>
      <c r="BH34" s="58">
        <v>0</v>
      </c>
      <c r="BI34" s="58">
        <v>0</v>
      </c>
      <c r="BJ34" s="58">
        <v>0</v>
      </c>
      <c r="BK34" s="58">
        <v>0</v>
      </c>
      <c r="BL34" s="58">
        <v>1</v>
      </c>
      <c r="BM34" s="58">
        <v>0</v>
      </c>
      <c r="BN34" s="58">
        <v>0</v>
      </c>
      <c r="BO34" s="58">
        <v>1</v>
      </c>
      <c r="BP34" s="58">
        <v>0</v>
      </c>
      <c r="BQ34" s="58">
        <v>0</v>
      </c>
      <c r="BR34" s="58">
        <v>0</v>
      </c>
      <c r="BS34" s="58">
        <v>0</v>
      </c>
      <c r="BT34" s="58">
        <v>0</v>
      </c>
      <c r="BU34" s="58">
        <v>0</v>
      </c>
      <c r="BV34" s="58">
        <v>0</v>
      </c>
      <c r="BW34" s="58">
        <v>0</v>
      </c>
      <c r="BX34" s="58">
        <v>0</v>
      </c>
      <c r="BY34" s="58">
        <v>0</v>
      </c>
      <c r="BZ34" s="58">
        <v>0</v>
      </c>
      <c r="CA34" s="58">
        <v>1</v>
      </c>
      <c r="CB34" s="58">
        <v>0</v>
      </c>
      <c r="CC34" s="58">
        <v>0</v>
      </c>
      <c r="CD34" s="58">
        <v>0</v>
      </c>
      <c r="CE34" s="58">
        <v>0</v>
      </c>
      <c r="CF34" s="58">
        <v>0</v>
      </c>
      <c r="CG34" s="58">
        <v>0</v>
      </c>
      <c r="CH34" s="58">
        <v>0</v>
      </c>
      <c r="CI34" s="58">
        <v>1</v>
      </c>
      <c r="CJ34" s="58">
        <v>0</v>
      </c>
      <c r="CK34" s="58">
        <v>1</v>
      </c>
      <c r="CL34" s="58">
        <v>0</v>
      </c>
      <c r="CM34" s="58">
        <v>0</v>
      </c>
      <c r="CN34" s="58">
        <v>0</v>
      </c>
      <c r="CO34" s="58">
        <v>0</v>
      </c>
      <c r="CP34" s="58">
        <v>0</v>
      </c>
      <c r="CQ34" s="58">
        <v>1</v>
      </c>
      <c r="CR34" s="58">
        <v>0</v>
      </c>
      <c r="CS34" s="58">
        <v>0</v>
      </c>
      <c r="CT34" s="58">
        <v>0</v>
      </c>
      <c r="CU34" s="58">
        <v>0</v>
      </c>
      <c r="CV34" s="58">
        <v>0</v>
      </c>
      <c r="CW34" s="58">
        <v>0</v>
      </c>
      <c r="CX34" s="58">
        <v>0</v>
      </c>
    </row>
    <row r="35" spans="1:102" x14ac:dyDescent="0.25">
      <c r="A35" s="57" t="s">
        <v>820</v>
      </c>
      <c r="B35" s="62">
        <v>0.14000000000000001</v>
      </c>
      <c r="C35" s="58">
        <v>0</v>
      </c>
      <c r="D35" s="58">
        <v>0</v>
      </c>
      <c r="E35" s="58">
        <v>0</v>
      </c>
      <c r="F35" s="58">
        <v>0</v>
      </c>
      <c r="G35" s="58">
        <v>1</v>
      </c>
      <c r="H35" s="58">
        <v>0</v>
      </c>
      <c r="I35" s="58">
        <v>0</v>
      </c>
      <c r="J35" s="58">
        <v>0</v>
      </c>
      <c r="K35" s="58">
        <v>0</v>
      </c>
      <c r="L35" s="58">
        <v>0</v>
      </c>
      <c r="M35" s="58">
        <v>1</v>
      </c>
      <c r="N35" s="58">
        <v>0</v>
      </c>
      <c r="O35" s="58">
        <v>0</v>
      </c>
      <c r="P35" s="58">
        <v>0</v>
      </c>
      <c r="Q35" s="58">
        <v>0</v>
      </c>
      <c r="R35" s="58">
        <v>0</v>
      </c>
      <c r="S35" s="58">
        <v>0</v>
      </c>
      <c r="T35" s="58">
        <v>0</v>
      </c>
      <c r="U35" s="58">
        <v>0</v>
      </c>
      <c r="V35" s="58">
        <v>0</v>
      </c>
      <c r="W35" s="58">
        <v>0</v>
      </c>
      <c r="X35" s="58">
        <v>1</v>
      </c>
      <c r="Y35" s="58">
        <v>0</v>
      </c>
      <c r="Z35" s="58">
        <v>0</v>
      </c>
      <c r="AA35" s="58">
        <v>0</v>
      </c>
      <c r="AB35" s="58">
        <v>0</v>
      </c>
      <c r="AC35" s="58">
        <v>0</v>
      </c>
      <c r="AD35" s="58">
        <v>0</v>
      </c>
      <c r="AE35" s="58">
        <v>0</v>
      </c>
      <c r="AF35" s="58">
        <v>0</v>
      </c>
      <c r="AG35" s="58">
        <v>0</v>
      </c>
      <c r="AH35" s="58">
        <v>1</v>
      </c>
      <c r="AI35" s="58">
        <v>0</v>
      </c>
      <c r="AJ35" s="58">
        <v>0</v>
      </c>
      <c r="AK35" s="58">
        <v>0</v>
      </c>
      <c r="AL35" s="58">
        <v>1</v>
      </c>
      <c r="AM35" s="58">
        <v>0</v>
      </c>
      <c r="AN35" s="58">
        <v>0</v>
      </c>
      <c r="AO35" s="58">
        <v>0</v>
      </c>
      <c r="AP35" s="58">
        <v>1</v>
      </c>
      <c r="AQ35" s="58">
        <v>1</v>
      </c>
      <c r="AR35" s="58">
        <v>0</v>
      </c>
      <c r="AS35" s="58">
        <v>0</v>
      </c>
      <c r="AT35" s="58">
        <v>0</v>
      </c>
      <c r="AU35" s="58">
        <v>0</v>
      </c>
      <c r="AV35" s="58">
        <v>0</v>
      </c>
      <c r="AW35" s="58">
        <v>0</v>
      </c>
      <c r="AX35" s="58">
        <v>0</v>
      </c>
      <c r="AY35" s="58">
        <v>0</v>
      </c>
      <c r="AZ35" s="58">
        <v>0</v>
      </c>
      <c r="BA35" s="58">
        <v>0</v>
      </c>
      <c r="BB35" s="58">
        <v>0</v>
      </c>
      <c r="BC35" s="58">
        <v>0</v>
      </c>
      <c r="BD35" s="58">
        <v>0</v>
      </c>
      <c r="BE35" s="58">
        <v>0</v>
      </c>
      <c r="BF35" s="58">
        <v>1</v>
      </c>
      <c r="BG35" s="58">
        <v>1</v>
      </c>
      <c r="BH35" s="58">
        <v>0</v>
      </c>
      <c r="BI35" s="58">
        <v>0</v>
      </c>
      <c r="BJ35" s="58">
        <v>0</v>
      </c>
      <c r="BK35" s="58">
        <v>0</v>
      </c>
      <c r="BL35" s="58">
        <v>0</v>
      </c>
      <c r="BM35" s="58">
        <v>0</v>
      </c>
      <c r="BN35" s="58">
        <v>0</v>
      </c>
      <c r="BO35" s="58">
        <v>0</v>
      </c>
      <c r="BP35" s="58">
        <v>0</v>
      </c>
      <c r="BQ35" s="58">
        <v>0</v>
      </c>
      <c r="BR35" s="58">
        <v>0</v>
      </c>
      <c r="BS35" s="58">
        <v>0</v>
      </c>
      <c r="BT35" s="58">
        <v>0</v>
      </c>
      <c r="BU35" s="58">
        <v>1</v>
      </c>
      <c r="BV35" s="58">
        <v>0</v>
      </c>
      <c r="BW35" s="58">
        <v>0</v>
      </c>
      <c r="BX35" s="58">
        <v>0</v>
      </c>
      <c r="BY35" s="58">
        <v>0</v>
      </c>
      <c r="BZ35" s="58">
        <v>0</v>
      </c>
      <c r="CA35" s="58">
        <v>0</v>
      </c>
      <c r="CB35" s="58">
        <v>0</v>
      </c>
      <c r="CC35" s="58">
        <v>0</v>
      </c>
      <c r="CD35" s="58">
        <v>1</v>
      </c>
      <c r="CE35" s="58">
        <v>0</v>
      </c>
      <c r="CF35" s="58">
        <v>0</v>
      </c>
      <c r="CG35" s="58">
        <v>0</v>
      </c>
      <c r="CH35" s="58">
        <v>0</v>
      </c>
      <c r="CI35" s="58">
        <v>0</v>
      </c>
      <c r="CJ35" s="58">
        <v>0</v>
      </c>
      <c r="CK35" s="58">
        <v>0</v>
      </c>
      <c r="CL35" s="58">
        <v>0</v>
      </c>
      <c r="CM35" s="58">
        <v>0</v>
      </c>
      <c r="CN35" s="58">
        <v>0</v>
      </c>
      <c r="CO35" s="58">
        <v>0</v>
      </c>
      <c r="CP35" s="58">
        <v>0</v>
      </c>
      <c r="CQ35" s="58">
        <v>1</v>
      </c>
      <c r="CR35" s="58">
        <v>0</v>
      </c>
      <c r="CS35" s="58">
        <v>1</v>
      </c>
      <c r="CT35" s="58">
        <v>0</v>
      </c>
      <c r="CU35" s="58">
        <v>0</v>
      </c>
      <c r="CV35" s="58">
        <v>0</v>
      </c>
      <c r="CW35" s="58">
        <v>0</v>
      </c>
      <c r="CX35" s="58">
        <v>0</v>
      </c>
    </row>
    <row r="36" spans="1:102" x14ac:dyDescent="0.25">
      <c r="A36" s="57" t="s">
        <v>821</v>
      </c>
      <c r="B36" s="62">
        <v>0.22</v>
      </c>
      <c r="C36" s="58">
        <v>0</v>
      </c>
      <c r="D36" s="58">
        <v>1</v>
      </c>
      <c r="E36" s="58">
        <v>1</v>
      </c>
      <c r="F36" s="58">
        <v>0</v>
      </c>
      <c r="G36" s="58">
        <v>0</v>
      </c>
      <c r="H36" s="58">
        <v>0</v>
      </c>
      <c r="I36" s="58">
        <v>0</v>
      </c>
      <c r="J36" s="58">
        <v>0</v>
      </c>
      <c r="K36" s="58">
        <v>0</v>
      </c>
      <c r="L36" s="58">
        <v>0</v>
      </c>
      <c r="M36" s="58">
        <v>0</v>
      </c>
      <c r="N36" s="58">
        <v>0</v>
      </c>
      <c r="O36" s="58">
        <v>0</v>
      </c>
      <c r="P36" s="58">
        <v>0</v>
      </c>
      <c r="Q36" s="58">
        <v>1</v>
      </c>
      <c r="R36" s="58">
        <v>0</v>
      </c>
      <c r="S36" s="58">
        <v>0</v>
      </c>
      <c r="T36" s="58">
        <v>0</v>
      </c>
      <c r="U36" s="58">
        <v>0</v>
      </c>
      <c r="V36" s="58">
        <v>1</v>
      </c>
      <c r="W36" s="58">
        <v>0</v>
      </c>
      <c r="X36" s="58">
        <v>0</v>
      </c>
      <c r="Y36" s="58">
        <v>0</v>
      </c>
      <c r="Z36" s="58">
        <v>0</v>
      </c>
      <c r="AA36" s="58">
        <v>1</v>
      </c>
      <c r="AB36" s="58">
        <v>1</v>
      </c>
      <c r="AC36" s="58">
        <v>0</v>
      </c>
      <c r="AD36" s="58">
        <v>0</v>
      </c>
      <c r="AE36" s="58">
        <v>0</v>
      </c>
      <c r="AF36" s="58">
        <v>0</v>
      </c>
      <c r="AG36" s="58">
        <v>1</v>
      </c>
      <c r="AH36" s="58">
        <v>0</v>
      </c>
      <c r="AI36" s="58">
        <v>0</v>
      </c>
      <c r="AJ36" s="58">
        <v>0</v>
      </c>
      <c r="AK36" s="58">
        <v>1</v>
      </c>
      <c r="AL36" s="58">
        <v>0</v>
      </c>
      <c r="AM36" s="58">
        <v>0</v>
      </c>
      <c r="AN36" s="58">
        <v>0</v>
      </c>
      <c r="AO36" s="58">
        <v>0</v>
      </c>
      <c r="AP36" s="58">
        <v>0</v>
      </c>
      <c r="AQ36" s="58">
        <v>1</v>
      </c>
      <c r="AR36" s="58">
        <v>0</v>
      </c>
      <c r="AS36" s="58">
        <v>0</v>
      </c>
      <c r="AT36" s="58">
        <v>0</v>
      </c>
      <c r="AU36" s="58">
        <v>0</v>
      </c>
      <c r="AV36" s="58">
        <v>0</v>
      </c>
      <c r="AW36" s="58">
        <v>0</v>
      </c>
      <c r="AX36" s="58">
        <v>1</v>
      </c>
      <c r="AY36" s="58">
        <v>1</v>
      </c>
      <c r="AZ36" s="58">
        <v>0</v>
      </c>
      <c r="BA36" s="58">
        <v>1</v>
      </c>
      <c r="BB36" s="58">
        <v>1</v>
      </c>
      <c r="BC36" s="58">
        <v>1</v>
      </c>
      <c r="BD36" s="58">
        <v>0</v>
      </c>
      <c r="BE36" s="58">
        <v>0</v>
      </c>
      <c r="BF36" s="58">
        <v>0</v>
      </c>
      <c r="BG36" s="58">
        <v>0</v>
      </c>
      <c r="BH36" s="58">
        <v>1</v>
      </c>
      <c r="BI36" s="58">
        <v>0</v>
      </c>
      <c r="BJ36" s="58">
        <v>0</v>
      </c>
      <c r="BK36" s="58">
        <v>0</v>
      </c>
      <c r="BL36" s="58">
        <v>0</v>
      </c>
      <c r="BM36" s="58">
        <v>0</v>
      </c>
      <c r="BN36" s="58">
        <v>0</v>
      </c>
      <c r="BO36" s="58">
        <v>0</v>
      </c>
      <c r="BP36" s="58">
        <v>0</v>
      </c>
      <c r="BQ36" s="58">
        <v>0</v>
      </c>
      <c r="BR36" s="58">
        <v>0</v>
      </c>
      <c r="BS36" s="58">
        <v>0</v>
      </c>
      <c r="BT36" s="58">
        <v>0</v>
      </c>
      <c r="BU36" s="58">
        <v>0</v>
      </c>
      <c r="BV36" s="58">
        <v>0</v>
      </c>
      <c r="BW36" s="58">
        <v>1</v>
      </c>
      <c r="BX36" s="58">
        <v>0</v>
      </c>
      <c r="BY36" s="58">
        <v>0</v>
      </c>
      <c r="BZ36" s="58">
        <v>0</v>
      </c>
      <c r="CA36" s="58">
        <v>0</v>
      </c>
      <c r="CB36" s="58">
        <v>0</v>
      </c>
      <c r="CC36" s="58">
        <v>1</v>
      </c>
      <c r="CD36" s="58">
        <v>1</v>
      </c>
      <c r="CE36" s="58">
        <v>1</v>
      </c>
      <c r="CF36" s="58">
        <v>0</v>
      </c>
      <c r="CG36" s="58">
        <v>0</v>
      </c>
      <c r="CH36" s="58">
        <v>0</v>
      </c>
      <c r="CI36" s="58">
        <v>0</v>
      </c>
      <c r="CJ36" s="58">
        <v>0</v>
      </c>
      <c r="CK36" s="58">
        <v>0</v>
      </c>
      <c r="CL36" s="58">
        <v>0</v>
      </c>
      <c r="CM36" s="58">
        <v>0</v>
      </c>
      <c r="CN36" s="58">
        <v>0</v>
      </c>
      <c r="CO36" s="58">
        <v>0</v>
      </c>
      <c r="CP36" s="58">
        <v>1</v>
      </c>
      <c r="CQ36" s="58">
        <v>0</v>
      </c>
      <c r="CR36" s="58">
        <v>0</v>
      </c>
      <c r="CS36" s="58">
        <v>0</v>
      </c>
      <c r="CT36" s="58">
        <v>0</v>
      </c>
      <c r="CU36" s="58">
        <v>0</v>
      </c>
      <c r="CV36" s="58">
        <v>0</v>
      </c>
      <c r="CW36" s="58">
        <v>0</v>
      </c>
      <c r="CX36" s="58">
        <v>0</v>
      </c>
    </row>
    <row r="37" spans="1:102" x14ac:dyDescent="0.25">
      <c r="A37" s="57" t="s">
        <v>822</v>
      </c>
      <c r="B37" s="62">
        <v>0.15</v>
      </c>
      <c r="C37" s="58">
        <v>0</v>
      </c>
      <c r="D37" s="58">
        <v>0</v>
      </c>
      <c r="E37" s="58">
        <v>0</v>
      </c>
      <c r="F37" s="58">
        <v>0</v>
      </c>
      <c r="G37" s="58">
        <v>1</v>
      </c>
      <c r="H37" s="58">
        <v>0</v>
      </c>
      <c r="I37" s="58">
        <v>0</v>
      </c>
      <c r="J37" s="58">
        <v>0</v>
      </c>
      <c r="K37" s="58">
        <v>0</v>
      </c>
      <c r="L37" s="58">
        <v>0</v>
      </c>
      <c r="M37" s="58">
        <v>0</v>
      </c>
      <c r="N37" s="58">
        <v>0</v>
      </c>
      <c r="O37" s="58">
        <v>0</v>
      </c>
      <c r="P37" s="58">
        <v>0</v>
      </c>
      <c r="Q37" s="58">
        <v>0</v>
      </c>
      <c r="R37" s="58">
        <v>0</v>
      </c>
      <c r="S37" s="58">
        <v>0</v>
      </c>
      <c r="T37" s="58">
        <v>0</v>
      </c>
      <c r="U37" s="58">
        <v>0</v>
      </c>
      <c r="V37" s="58">
        <v>0</v>
      </c>
      <c r="W37" s="58">
        <v>0</v>
      </c>
      <c r="X37" s="58">
        <v>1</v>
      </c>
      <c r="Y37" s="58">
        <v>0</v>
      </c>
      <c r="Z37" s="58">
        <v>0</v>
      </c>
      <c r="AA37" s="58">
        <v>0</v>
      </c>
      <c r="AB37" s="58">
        <v>1</v>
      </c>
      <c r="AC37" s="58">
        <v>0</v>
      </c>
      <c r="AD37" s="58">
        <v>1</v>
      </c>
      <c r="AE37" s="58">
        <v>0</v>
      </c>
      <c r="AF37" s="58">
        <v>0</v>
      </c>
      <c r="AG37" s="58">
        <v>0</v>
      </c>
      <c r="AH37" s="58">
        <v>1</v>
      </c>
      <c r="AI37" s="58">
        <v>0</v>
      </c>
      <c r="AJ37" s="58">
        <v>0</v>
      </c>
      <c r="AK37" s="58">
        <v>0</v>
      </c>
      <c r="AL37" s="58">
        <v>0</v>
      </c>
      <c r="AM37" s="58">
        <v>0</v>
      </c>
      <c r="AN37" s="58">
        <v>1</v>
      </c>
      <c r="AO37" s="58">
        <v>0</v>
      </c>
      <c r="AP37" s="58">
        <v>0</v>
      </c>
      <c r="AQ37" s="58">
        <v>0</v>
      </c>
      <c r="AR37" s="58">
        <v>0</v>
      </c>
      <c r="AS37" s="58">
        <v>0</v>
      </c>
      <c r="AT37" s="58">
        <v>0</v>
      </c>
      <c r="AU37" s="58">
        <v>0</v>
      </c>
      <c r="AV37" s="58">
        <v>0</v>
      </c>
      <c r="AW37" s="58">
        <v>0</v>
      </c>
      <c r="AX37" s="58">
        <v>0</v>
      </c>
      <c r="AY37" s="58">
        <v>0</v>
      </c>
      <c r="AZ37" s="58">
        <v>1</v>
      </c>
      <c r="BA37" s="58">
        <v>0</v>
      </c>
      <c r="BB37" s="58">
        <v>0</v>
      </c>
      <c r="BC37" s="58">
        <v>0</v>
      </c>
      <c r="BD37" s="58">
        <v>0</v>
      </c>
      <c r="BE37" s="58">
        <v>0</v>
      </c>
      <c r="BF37" s="58">
        <v>0</v>
      </c>
      <c r="BG37" s="58">
        <v>0</v>
      </c>
      <c r="BH37" s="58">
        <v>0</v>
      </c>
      <c r="BI37" s="58">
        <v>1</v>
      </c>
      <c r="BJ37" s="58">
        <v>0</v>
      </c>
      <c r="BK37" s="58">
        <v>0</v>
      </c>
      <c r="BL37" s="58">
        <v>0</v>
      </c>
      <c r="BM37" s="58">
        <v>0</v>
      </c>
      <c r="BN37" s="58">
        <v>0</v>
      </c>
      <c r="BO37" s="58">
        <v>0</v>
      </c>
      <c r="BP37" s="58">
        <v>0</v>
      </c>
      <c r="BQ37" s="58">
        <v>0</v>
      </c>
      <c r="BR37" s="58">
        <v>0</v>
      </c>
      <c r="BS37" s="58">
        <v>0</v>
      </c>
      <c r="BT37" s="58">
        <v>0</v>
      </c>
      <c r="BU37" s="58">
        <v>0</v>
      </c>
      <c r="BV37" s="58">
        <v>1</v>
      </c>
      <c r="BW37" s="58">
        <v>0</v>
      </c>
      <c r="BX37" s="58">
        <v>0</v>
      </c>
      <c r="BY37" s="58">
        <v>1</v>
      </c>
      <c r="BZ37" s="58">
        <v>0</v>
      </c>
      <c r="CA37" s="58">
        <v>0</v>
      </c>
      <c r="CB37" s="58">
        <v>0</v>
      </c>
      <c r="CC37" s="58">
        <v>0</v>
      </c>
      <c r="CD37" s="58">
        <v>0</v>
      </c>
      <c r="CE37" s="58">
        <v>0</v>
      </c>
      <c r="CF37" s="58">
        <v>1</v>
      </c>
      <c r="CG37" s="58">
        <v>0</v>
      </c>
      <c r="CH37" s="58">
        <v>0</v>
      </c>
      <c r="CI37" s="58">
        <v>0</v>
      </c>
      <c r="CJ37" s="58">
        <v>0</v>
      </c>
      <c r="CK37" s="58">
        <v>0</v>
      </c>
      <c r="CL37" s="58">
        <v>0</v>
      </c>
      <c r="CM37" s="58">
        <v>0</v>
      </c>
      <c r="CN37" s="58">
        <v>0</v>
      </c>
      <c r="CO37" s="58">
        <v>0</v>
      </c>
      <c r="CP37" s="58">
        <v>0</v>
      </c>
      <c r="CQ37" s="58">
        <v>0</v>
      </c>
      <c r="CR37" s="58">
        <v>0</v>
      </c>
      <c r="CS37" s="58">
        <v>0</v>
      </c>
      <c r="CT37" s="58">
        <v>0</v>
      </c>
      <c r="CU37" s="58">
        <v>0</v>
      </c>
      <c r="CV37" s="58">
        <v>0</v>
      </c>
      <c r="CW37" s="58">
        <v>0</v>
      </c>
      <c r="CX37" s="58">
        <v>0</v>
      </c>
    </row>
    <row r="38" spans="1:102" x14ac:dyDescent="0.25">
      <c r="A38" s="57" t="s">
        <v>847</v>
      </c>
      <c r="B38" s="62">
        <v>0.16</v>
      </c>
      <c r="C38" s="58">
        <v>0</v>
      </c>
      <c r="D38" s="58">
        <v>0</v>
      </c>
      <c r="E38" s="58">
        <v>0</v>
      </c>
      <c r="F38" s="58">
        <v>0</v>
      </c>
      <c r="G38" s="58">
        <v>1</v>
      </c>
      <c r="H38" s="58">
        <v>0</v>
      </c>
      <c r="I38" s="58">
        <v>0</v>
      </c>
      <c r="J38" s="58">
        <v>0</v>
      </c>
      <c r="K38" s="58">
        <v>0</v>
      </c>
      <c r="L38" s="58">
        <v>0</v>
      </c>
      <c r="M38" s="58">
        <v>0</v>
      </c>
      <c r="N38" s="58">
        <v>0</v>
      </c>
      <c r="O38" s="58">
        <v>0</v>
      </c>
      <c r="P38" s="58">
        <v>0</v>
      </c>
      <c r="Q38" s="58">
        <v>0</v>
      </c>
      <c r="R38" s="58">
        <v>0</v>
      </c>
      <c r="S38" s="58">
        <v>0</v>
      </c>
      <c r="T38" s="58">
        <v>0</v>
      </c>
      <c r="U38" s="58">
        <v>0</v>
      </c>
      <c r="V38" s="58">
        <v>0</v>
      </c>
      <c r="W38" s="58">
        <v>0</v>
      </c>
      <c r="X38" s="58">
        <v>0</v>
      </c>
      <c r="Y38" s="58">
        <v>0</v>
      </c>
      <c r="Z38" s="58">
        <v>0</v>
      </c>
      <c r="AA38" s="58">
        <v>1</v>
      </c>
      <c r="AB38" s="58">
        <v>0</v>
      </c>
      <c r="AC38" s="58">
        <v>0</v>
      </c>
      <c r="AD38" s="58">
        <v>0</v>
      </c>
      <c r="AE38" s="58">
        <v>1</v>
      </c>
      <c r="AF38" s="58">
        <v>1</v>
      </c>
      <c r="AG38" s="58">
        <v>0</v>
      </c>
      <c r="AH38" s="58">
        <v>0</v>
      </c>
      <c r="AI38" s="58">
        <v>0</v>
      </c>
      <c r="AJ38" s="58">
        <v>0</v>
      </c>
      <c r="AK38" s="58">
        <v>0</v>
      </c>
      <c r="AL38" s="58">
        <v>0</v>
      </c>
      <c r="AM38" s="58">
        <v>1</v>
      </c>
      <c r="AN38" s="58">
        <v>0</v>
      </c>
      <c r="AO38" s="58">
        <v>0</v>
      </c>
      <c r="AP38" s="58">
        <v>0</v>
      </c>
      <c r="AQ38" s="58">
        <v>0</v>
      </c>
      <c r="AR38" s="58">
        <v>0</v>
      </c>
      <c r="AS38" s="58">
        <v>0</v>
      </c>
      <c r="AT38" s="58">
        <v>0</v>
      </c>
      <c r="AU38" s="58">
        <v>0</v>
      </c>
      <c r="AV38" s="58">
        <v>0</v>
      </c>
      <c r="AW38" s="58">
        <v>0</v>
      </c>
      <c r="AX38" s="58">
        <v>0</v>
      </c>
      <c r="AY38" s="58">
        <v>1</v>
      </c>
      <c r="AZ38" s="58">
        <v>0</v>
      </c>
      <c r="BA38" s="58">
        <v>0</v>
      </c>
      <c r="BB38" s="58">
        <v>0</v>
      </c>
      <c r="BC38" s="58">
        <v>1</v>
      </c>
      <c r="BD38" s="58">
        <v>0</v>
      </c>
      <c r="BE38" s="58">
        <v>1</v>
      </c>
      <c r="BF38" s="58">
        <v>0</v>
      </c>
      <c r="BG38" s="58">
        <v>0</v>
      </c>
      <c r="BH38" s="58">
        <v>1</v>
      </c>
      <c r="BI38" s="58">
        <v>0</v>
      </c>
      <c r="BJ38" s="58">
        <v>0</v>
      </c>
      <c r="BK38" s="58">
        <v>0</v>
      </c>
      <c r="BL38" s="58">
        <v>0</v>
      </c>
      <c r="BM38" s="58">
        <v>0</v>
      </c>
      <c r="BN38" s="58">
        <v>0</v>
      </c>
      <c r="BO38" s="58">
        <v>0</v>
      </c>
      <c r="BP38" s="58">
        <v>0</v>
      </c>
      <c r="BQ38" s="58">
        <v>0</v>
      </c>
      <c r="BR38" s="58">
        <v>0</v>
      </c>
      <c r="BS38" s="58">
        <v>0</v>
      </c>
      <c r="BT38" s="58">
        <v>0</v>
      </c>
      <c r="BU38" s="58">
        <v>1</v>
      </c>
      <c r="BV38" s="58">
        <v>0</v>
      </c>
      <c r="BW38" s="58">
        <v>0</v>
      </c>
      <c r="BX38" s="58">
        <v>0</v>
      </c>
      <c r="BY38" s="58">
        <v>0</v>
      </c>
      <c r="BZ38" s="58">
        <v>0</v>
      </c>
      <c r="CA38" s="58">
        <v>0</v>
      </c>
      <c r="CB38" s="58">
        <v>0</v>
      </c>
      <c r="CC38" s="58">
        <v>0</v>
      </c>
      <c r="CD38" s="58">
        <v>0</v>
      </c>
      <c r="CE38" s="58">
        <v>0</v>
      </c>
      <c r="CF38" s="58">
        <v>0</v>
      </c>
      <c r="CG38" s="58">
        <v>0</v>
      </c>
      <c r="CH38" s="58">
        <v>0</v>
      </c>
      <c r="CI38" s="58">
        <v>0</v>
      </c>
      <c r="CJ38" s="58">
        <v>1</v>
      </c>
      <c r="CK38" s="58">
        <v>0</v>
      </c>
      <c r="CL38" s="58">
        <v>1</v>
      </c>
      <c r="CM38" s="58">
        <v>1</v>
      </c>
      <c r="CN38" s="58">
        <v>0</v>
      </c>
      <c r="CO38" s="58">
        <v>0</v>
      </c>
      <c r="CP38" s="58">
        <v>0</v>
      </c>
      <c r="CQ38" s="58">
        <v>0</v>
      </c>
      <c r="CR38" s="58">
        <v>1</v>
      </c>
      <c r="CS38" s="58">
        <v>0</v>
      </c>
      <c r="CT38" s="58">
        <v>1</v>
      </c>
      <c r="CU38" s="58">
        <v>0</v>
      </c>
      <c r="CV38" s="58">
        <v>1</v>
      </c>
      <c r="CW38" s="58">
        <v>0</v>
      </c>
      <c r="CX38" s="58">
        <v>1</v>
      </c>
    </row>
    <row r="39" spans="1:102" x14ac:dyDescent="0.25">
      <c r="C39" s="82">
        <v>7</v>
      </c>
      <c r="D39" s="82">
        <v>9</v>
      </c>
      <c r="E39" s="82">
        <v>9</v>
      </c>
      <c r="F39" s="82">
        <v>8</v>
      </c>
      <c r="G39" s="82">
        <v>3</v>
      </c>
      <c r="H39" s="82">
        <v>5</v>
      </c>
      <c r="I39" s="82">
        <v>5</v>
      </c>
      <c r="J39" s="82">
        <v>10</v>
      </c>
      <c r="K39" s="82">
        <v>9</v>
      </c>
      <c r="L39" s="82">
        <v>7</v>
      </c>
      <c r="M39" s="82">
        <v>10</v>
      </c>
      <c r="N39" s="82">
        <v>7</v>
      </c>
      <c r="O39" s="82">
        <v>6</v>
      </c>
      <c r="P39" s="82">
        <v>8</v>
      </c>
      <c r="Q39" s="82">
        <v>6</v>
      </c>
      <c r="R39" s="82">
        <v>2</v>
      </c>
      <c r="S39" s="82">
        <v>5</v>
      </c>
      <c r="T39" s="82">
        <v>9</v>
      </c>
      <c r="U39" s="82">
        <v>6</v>
      </c>
      <c r="V39" s="82">
        <v>9</v>
      </c>
      <c r="W39" s="82">
        <v>9</v>
      </c>
      <c r="X39" s="82">
        <v>6</v>
      </c>
      <c r="Y39" s="82">
        <v>7</v>
      </c>
      <c r="Z39" s="82">
        <v>12</v>
      </c>
      <c r="AA39" s="82">
        <v>9</v>
      </c>
      <c r="AB39" s="82">
        <v>7</v>
      </c>
      <c r="AC39" s="82">
        <v>8</v>
      </c>
      <c r="AD39" s="82">
        <v>9</v>
      </c>
      <c r="AE39" s="82">
        <v>3</v>
      </c>
      <c r="AF39" s="82">
        <v>10</v>
      </c>
      <c r="AG39" s="82">
        <v>6</v>
      </c>
      <c r="AH39" s="82">
        <v>8</v>
      </c>
      <c r="AI39" s="82">
        <v>5</v>
      </c>
      <c r="AJ39" s="82">
        <v>4</v>
      </c>
      <c r="AK39" s="82">
        <v>3</v>
      </c>
      <c r="AL39" s="82">
        <v>7</v>
      </c>
      <c r="AM39" s="82">
        <v>10</v>
      </c>
      <c r="AN39" s="82">
        <v>8</v>
      </c>
      <c r="AO39" s="82">
        <v>11</v>
      </c>
      <c r="AP39" s="82">
        <v>9</v>
      </c>
      <c r="AQ39" s="82">
        <v>8</v>
      </c>
      <c r="AR39" s="82">
        <v>12</v>
      </c>
      <c r="AS39" s="82">
        <v>4</v>
      </c>
      <c r="AT39" s="82">
        <v>7</v>
      </c>
      <c r="AU39" s="82">
        <v>4</v>
      </c>
      <c r="AV39" s="82">
        <v>7</v>
      </c>
      <c r="AW39" s="82">
        <v>7</v>
      </c>
      <c r="AX39" s="82">
        <v>14</v>
      </c>
      <c r="AY39" s="82">
        <v>5</v>
      </c>
      <c r="AZ39" s="82">
        <v>9</v>
      </c>
      <c r="BA39" s="82">
        <v>7</v>
      </c>
      <c r="BB39" s="82">
        <v>10</v>
      </c>
      <c r="BC39" s="82">
        <v>12</v>
      </c>
      <c r="BD39" s="82">
        <v>8</v>
      </c>
      <c r="BE39" s="82">
        <v>5</v>
      </c>
      <c r="BF39" s="82">
        <v>4</v>
      </c>
      <c r="BG39" s="82">
        <v>4</v>
      </c>
      <c r="BH39" s="82">
        <v>4</v>
      </c>
      <c r="BI39" s="82">
        <v>7</v>
      </c>
      <c r="BJ39" s="82">
        <v>6</v>
      </c>
      <c r="BK39" s="82">
        <v>4</v>
      </c>
      <c r="BL39" s="82">
        <v>9</v>
      </c>
      <c r="BM39" s="82">
        <v>5</v>
      </c>
      <c r="BN39" s="82">
        <v>11</v>
      </c>
      <c r="BO39" s="82">
        <v>9</v>
      </c>
      <c r="BP39" s="82">
        <v>9</v>
      </c>
      <c r="BQ39" s="82">
        <v>5</v>
      </c>
      <c r="BR39" s="82">
        <v>6</v>
      </c>
      <c r="BS39" s="82">
        <v>4</v>
      </c>
      <c r="BT39" s="82">
        <v>3</v>
      </c>
      <c r="BU39" s="82">
        <v>9</v>
      </c>
      <c r="BV39" s="82">
        <v>9</v>
      </c>
      <c r="BW39" s="82">
        <v>9</v>
      </c>
      <c r="BX39" s="82">
        <v>5</v>
      </c>
      <c r="BY39" s="82">
        <v>7</v>
      </c>
      <c r="BZ39" s="82">
        <v>7</v>
      </c>
      <c r="CA39" s="82">
        <v>7</v>
      </c>
      <c r="CB39" s="82">
        <v>5</v>
      </c>
      <c r="CC39" s="82">
        <v>4</v>
      </c>
      <c r="CD39" s="82">
        <v>8</v>
      </c>
      <c r="CE39" s="82">
        <v>7</v>
      </c>
      <c r="CF39" s="82">
        <v>7</v>
      </c>
      <c r="CG39" s="82">
        <v>8</v>
      </c>
      <c r="CH39" s="82">
        <v>7</v>
      </c>
      <c r="CI39" s="82">
        <v>6</v>
      </c>
      <c r="CJ39" s="82">
        <v>8</v>
      </c>
      <c r="CK39" s="82">
        <v>10</v>
      </c>
      <c r="CL39" s="82">
        <v>13</v>
      </c>
      <c r="CM39" s="82">
        <v>6</v>
      </c>
      <c r="CN39" s="82">
        <v>9</v>
      </c>
      <c r="CO39" s="82">
        <v>6</v>
      </c>
      <c r="CP39" s="82">
        <v>7</v>
      </c>
      <c r="CQ39" s="82">
        <v>6</v>
      </c>
      <c r="CR39" s="82">
        <v>9</v>
      </c>
      <c r="CS39" s="82">
        <v>8</v>
      </c>
      <c r="CT39" s="82">
        <v>8</v>
      </c>
      <c r="CU39" s="82">
        <v>8</v>
      </c>
      <c r="CV39" s="82">
        <v>8</v>
      </c>
      <c r="CW39" s="82">
        <v>8</v>
      </c>
      <c r="CX39" s="82">
        <v>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Q323"/>
  <sheetViews>
    <sheetView workbookViewId="0">
      <pane ySplit="2" topLeftCell="A3" activePane="bottomLeft" state="frozen"/>
      <selection activeCell="F1" sqref="F1"/>
      <selection pane="bottomLeft" activeCell="C17" sqref="C17"/>
    </sheetView>
  </sheetViews>
  <sheetFormatPr defaultRowHeight="12.95" customHeight="1" x14ac:dyDescent="0.2"/>
  <cols>
    <col min="1" max="1" width="11.28515625" style="28" bestFit="1" customWidth="1"/>
    <col min="2" max="2" width="34.28515625" style="38" customWidth="1"/>
    <col min="3" max="3" width="5.85546875" style="39" bestFit="1" customWidth="1"/>
    <col min="4" max="4" width="30.140625" style="38" customWidth="1"/>
    <col min="5" max="5" width="12.7109375" style="28" bestFit="1" customWidth="1"/>
    <col min="6" max="6" width="4.28515625" style="70" customWidth="1"/>
    <col min="7" max="7" width="2.85546875" style="71" customWidth="1"/>
    <col min="8" max="8" width="21.7109375" style="66" customWidth="1"/>
    <col min="9" max="12" width="20" style="29" bestFit="1" customWidth="1"/>
    <col min="13" max="16" width="20" style="36" bestFit="1" customWidth="1"/>
    <col min="17" max="17" width="21" style="36" bestFit="1" customWidth="1"/>
    <col min="18" max="16384" width="9.140625" style="28"/>
  </cols>
  <sheetData>
    <row r="1" spans="1:17" ht="12.95" customHeight="1" x14ac:dyDescent="0.2">
      <c r="A1" s="90" t="s">
        <v>401</v>
      </c>
      <c r="B1" s="90" t="s">
        <v>782</v>
      </c>
      <c r="C1" s="90" t="s">
        <v>0</v>
      </c>
      <c r="D1" s="90" t="s">
        <v>783</v>
      </c>
      <c r="E1" s="90" t="s">
        <v>917</v>
      </c>
      <c r="F1" s="68"/>
      <c r="G1" s="69"/>
      <c r="H1" s="65" t="s">
        <v>918</v>
      </c>
      <c r="I1" s="34" t="s">
        <v>919</v>
      </c>
      <c r="J1" s="34" t="s">
        <v>920</v>
      </c>
      <c r="K1" s="34" t="s">
        <v>921</v>
      </c>
      <c r="L1" s="34" t="s">
        <v>922</v>
      </c>
      <c r="M1" s="34" t="s">
        <v>923</v>
      </c>
      <c r="N1" s="34" t="s">
        <v>924</v>
      </c>
      <c r="O1" s="34" t="s">
        <v>925</v>
      </c>
      <c r="P1" s="34" t="s">
        <v>926</v>
      </c>
      <c r="Q1" s="34" t="s">
        <v>927</v>
      </c>
    </row>
    <row r="2" spans="1:17" ht="35.25" customHeight="1" x14ac:dyDescent="0.2">
      <c r="A2" s="91"/>
      <c r="B2" s="91"/>
      <c r="C2" s="91"/>
      <c r="D2" s="91"/>
      <c r="E2" s="91"/>
      <c r="H2" s="67" t="str">
        <f ca="1">IF(SUMIF(H3:H184,1,'Risk Master'!$N2)&gt;H185,("Policy selection exceeded the budgeted amount by"&amp; "  " &amp; SUMIF(H3:H184,1,'Risk Master'!$N2)-H185),SUMIF(H3:H184,1,'Risk Master'!$N2))</f>
        <v>Policy selection exceeded the budgeted amount by  135000</v>
      </c>
      <c r="I2" s="67">
        <f ca="1">IF(SUMIF(I3:I184,1,'Risk Master'!$N2)&gt;I185,("Policy selection exceeded the budgeted amount by"&amp; "  " &amp; SUMIF(I3:I184,1,'Risk Master'!$N2)-I185),SUMIF(I3:I184,1,'Risk Master'!$N2))</f>
        <v>1430000</v>
      </c>
      <c r="J2" s="67" t="str">
        <f ca="1">IF(SUMIF(J3:J184,1,'Risk Master'!$N2)&gt;J185,("Policy selection exceeded the budgeted amount by"&amp; "  " &amp; SUMIF(J3:J184,1,'Risk Master'!$N2)-J185),SUMIF(J3:J184,1,'Risk Master'!$N2))</f>
        <v>Policy selection exceeded the budgeted amount by  25000</v>
      </c>
      <c r="K2" s="67">
        <f ca="1">IF(SUMIF(K3:K184,1,'Risk Master'!$N2)&gt;K185,("Policy selection exceeded the budgeted amount by"&amp; "  " &amp; SUMIF(K3:K184,1,'Risk Master'!$N2)-K185),SUMIF(K3:K184,1,'Risk Master'!$N2))</f>
        <v>1510000</v>
      </c>
      <c r="L2" s="67">
        <f ca="1">IF(SUMIF(L3:L184,1,'Risk Master'!$N2)&gt;L185,("Policy selection exceeded the budgeted amount by"&amp; "  " &amp; SUMIF(L3:L184,1,'Risk Master'!$N2)-L185),SUMIF(L3:L184,1,'Risk Master'!$N2))</f>
        <v>1500000</v>
      </c>
      <c r="M2" s="67">
        <f ca="1">IF(SUMIF(M3:M184,1,'Risk Master'!$N2)&gt;M185,("Policy selection exceeded the budgeted amount by"&amp; "  " &amp; SUMIF(M3:M184,1,'Risk Master'!$N2)-M185),SUMIF(M3:M184,1,'Risk Master'!$N2))</f>
        <v>1390000</v>
      </c>
      <c r="N2" s="67">
        <f ca="1">IF(SUMIF(N3:N184,1,'Risk Master'!$N2)&gt;N185,("Policy selection exceeded the budgeted amount by"&amp; "  " &amp; SUMIF(N3:N184,1,'Risk Master'!$N2)-N185),SUMIF(N3:N184,1,'Risk Master'!$N2))</f>
        <v>1480000</v>
      </c>
      <c r="O2" s="67">
        <f ca="1">IF(SUMIF(O3:O184,1,'Risk Master'!$N2)&gt;O185,("Policy selection exceeded the budgeted amount by"&amp; "  " &amp; SUMIF(O3:O184,1,'Risk Master'!$N2)-O185),SUMIF(O3:O184,1,'Risk Master'!$N2))</f>
        <v>1480000</v>
      </c>
      <c r="P2" s="67">
        <f ca="1">IF(SUMIF(P3:P184,1,'Risk Master'!$N2)&gt;P185,("Policy selection exceeded the budgeted amount by"&amp; "  " &amp; SUMIF(P3:P184,1,'Risk Master'!$N2)-P185),SUMIF(P3:P184,1,'Risk Master'!$N2))</f>
        <v>1480000</v>
      </c>
      <c r="Q2" s="67" t="str">
        <f ca="1">IF(SUMIF(Q3:Q184,1,'Risk Master'!$N2)&gt;Q185,("Policy selection exceeded the budgeted amount by"&amp; "  " &amp; SUMIF(Q3:Q184,1,'Risk Master'!$N2)-Q185),SUMIF(Q3:Q184,1,'Risk Master'!$N2))</f>
        <v>Policy selection exceeded the budgeted amount by  15000</v>
      </c>
    </row>
    <row r="3" spans="1:17" ht="12.95" customHeight="1" x14ac:dyDescent="0.2">
      <c r="A3" s="36" t="s">
        <v>301</v>
      </c>
      <c r="B3" s="37" t="str">
        <f>'Risk Master'!C2&amp;"-"&amp;'Risk Master'!D2</f>
        <v>Flood-Mumbai</v>
      </c>
      <c r="C3" s="29" t="str">
        <f>'Risk Master'!F2</f>
        <v>A1</v>
      </c>
      <c r="D3" s="37" t="str">
        <f>VLOOKUP(C3,'Asset Master'!A:B,2,FALSE)</f>
        <v>Heavy Machinery-Mumbai</v>
      </c>
      <c r="E3" s="64">
        <f>'Risk Master'!N2</f>
        <v>20000</v>
      </c>
      <c r="H3" s="66">
        <v>0</v>
      </c>
      <c r="I3" s="29">
        <v>0</v>
      </c>
      <c r="J3" s="29">
        <v>0</v>
      </c>
      <c r="K3" s="29">
        <v>0</v>
      </c>
      <c r="L3" s="66">
        <v>0</v>
      </c>
      <c r="M3" s="29">
        <v>1</v>
      </c>
      <c r="N3" s="29">
        <v>1</v>
      </c>
      <c r="O3" s="29">
        <v>0</v>
      </c>
      <c r="P3" s="29">
        <v>1</v>
      </c>
      <c r="Q3" s="66">
        <v>1</v>
      </c>
    </row>
    <row r="4" spans="1:17" ht="12.95" customHeight="1" x14ac:dyDescent="0.2">
      <c r="A4" s="36" t="s">
        <v>302</v>
      </c>
      <c r="B4" s="37" t="str">
        <f>'Risk Master'!C3&amp;"-"&amp;'Risk Master'!D3</f>
        <v>Earthquake-Mumbai</v>
      </c>
      <c r="C4" s="29" t="str">
        <f>'Risk Master'!F3</f>
        <v>A1</v>
      </c>
      <c r="D4" s="37" t="str">
        <f>VLOOKUP(C4,'Asset Master'!A:B,2,FALSE)</f>
        <v>Heavy Machinery-Mumbai</v>
      </c>
      <c r="E4" s="64">
        <f>'Risk Master'!N3</f>
        <v>20000</v>
      </c>
      <c r="H4" s="66">
        <v>0</v>
      </c>
      <c r="I4" s="66">
        <v>1</v>
      </c>
      <c r="J4" s="29">
        <v>0</v>
      </c>
      <c r="K4" s="29">
        <v>0</v>
      </c>
      <c r="L4" s="66">
        <v>1</v>
      </c>
      <c r="M4" s="29">
        <v>1</v>
      </c>
      <c r="N4" s="29">
        <v>0</v>
      </c>
      <c r="O4" s="29">
        <v>0</v>
      </c>
      <c r="P4" s="29">
        <v>1</v>
      </c>
      <c r="Q4" s="66">
        <v>1</v>
      </c>
    </row>
    <row r="5" spans="1:17" ht="12.95" customHeight="1" x14ac:dyDescent="0.2">
      <c r="A5" s="36" t="s">
        <v>303</v>
      </c>
      <c r="B5" s="37" t="str">
        <f>'Risk Master'!C4&amp;"-"&amp;'Risk Master'!D4</f>
        <v>Fire-Mumbai</v>
      </c>
      <c r="C5" s="29" t="str">
        <f>'Risk Master'!F4</f>
        <v>A1</v>
      </c>
      <c r="D5" s="37" t="str">
        <f>VLOOKUP(C5,'Asset Master'!A:B,2,FALSE)</f>
        <v>Heavy Machinery-Mumbai</v>
      </c>
      <c r="E5" s="64">
        <f>'Risk Master'!N4</f>
        <v>20000</v>
      </c>
      <c r="H5" s="66">
        <v>0</v>
      </c>
      <c r="I5" s="66">
        <v>0</v>
      </c>
      <c r="J5" s="29">
        <v>0</v>
      </c>
      <c r="K5" s="29">
        <v>0</v>
      </c>
      <c r="L5" s="66">
        <v>0</v>
      </c>
      <c r="M5" s="29">
        <v>0</v>
      </c>
      <c r="N5" s="29">
        <v>0</v>
      </c>
      <c r="O5" s="29">
        <v>0</v>
      </c>
      <c r="P5" s="29">
        <v>0</v>
      </c>
      <c r="Q5" s="66">
        <v>0</v>
      </c>
    </row>
    <row r="6" spans="1:17" ht="12.95" customHeight="1" x14ac:dyDescent="0.2">
      <c r="A6" s="36" t="s">
        <v>304</v>
      </c>
      <c r="B6" s="37" t="str">
        <f>'Risk Master'!C5&amp;"-"&amp;'Risk Master'!D5</f>
        <v>Typhoon-Mumbai</v>
      </c>
      <c r="C6" s="29" t="str">
        <f>'Risk Master'!F5</f>
        <v>A1</v>
      </c>
      <c r="D6" s="37" t="str">
        <f>VLOOKUP(C6,'Asset Master'!A:B,2,FALSE)</f>
        <v>Heavy Machinery-Mumbai</v>
      </c>
      <c r="E6" s="64">
        <f>'Risk Master'!N5</f>
        <v>20000</v>
      </c>
      <c r="H6" s="66">
        <v>0</v>
      </c>
      <c r="I6" s="66">
        <v>0</v>
      </c>
      <c r="J6" s="29">
        <v>0</v>
      </c>
      <c r="K6" s="29">
        <v>1</v>
      </c>
      <c r="L6" s="66">
        <v>0</v>
      </c>
      <c r="M6" s="29">
        <v>1</v>
      </c>
      <c r="N6" s="29">
        <v>1</v>
      </c>
      <c r="O6" s="29">
        <v>0</v>
      </c>
      <c r="P6" s="29">
        <v>0</v>
      </c>
      <c r="Q6" s="66">
        <v>1</v>
      </c>
    </row>
    <row r="7" spans="1:17" ht="12.95" customHeight="1" x14ac:dyDescent="0.2">
      <c r="A7" s="36" t="s">
        <v>305</v>
      </c>
      <c r="B7" s="37" t="str">
        <f>'Risk Master'!C6&amp;"-"&amp;'Risk Master'!D6</f>
        <v>Thunderstorms, Tornados &amp; Hail-Mumbai</v>
      </c>
      <c r="C7" s="29" t="str">
        <f>'Risk Master'!F6</f>
        <v>A1</v>
      </c>
      <c r="D7" s="37" t="str">
        <f>VLOOKUP(C7,'Asset Master'!A:B,2,FALSE)</f>
        <v>Heavy Machinery-Mumbai</v>
      </c>
      <c r="E7" s="64">
        <f>'Risk Master'!N6</f>
        <v>20000</v>
      </c>
      <c r="H7" s="66">
        <v>1</v>
      </c>
      <c r="I7" s="66">
        <v>0</v>
      </c>
      <c r="J7" s="29">
        <v>0</v>
      </c>
      <c r="K7" s="29">
        <v>0</v>
      </c>
      <c r="L7" s="66">
        <v>0</v>
      </c>
      <c r="M7" s="29">
        <v>0</v>
      </c>
      <c r="N7" s="29">
        <v>0</v>
      </c>
      <c r="O7" s="29">
        <v>0</v>
      </c>
      <c r="P7" s="29">
        <v>0</v>
      </c>
      <c r="Q7" s="66">
        <v>0</v>
      </c>
    </row>
    <row r="8" spans="1:17" ht="12.95" customHeight="1" x14ac:dyDescent="0.2">
      <c r="A8" s="36" t="s">
        <v>306</v>
      </c>
      <c r="B8" s="37" t="str">
        <f>'Risk Master'!C7&amp;"-"&amp;'Risk Master'!D7</f>
        <v>Tsunami-Mumbai</v>
      </c>
      <c r="C8" s="29" t="str">
        <f>'Risk Master'!F7</f>
        <v>A1</v>
      </c>
      <c r="D8" s="37" t="str">
        <f>VLOOKUP(C8,'Asset Master'!A:B,2,FALSE)</f>
        <v>Heavy Machinery-Mumbai</v>
      </c>
      <c r="E8" s="64">
        <f>'Risk Master'!N7</f>
        <v>20000</v>
      </c>
      <c r="H8" s="66">
        <v>0</v>
      </c>
      <c r="I8" s="66">
        <v>0</v>
      </c>
      <c r="J8" s="29">
        <v>0</v>
      </c>
      <c r="K8" s="29">
        <v>1</v>
      </c>
      <c r="L8" s="66">
        <v>0</v>
      </c>
      <c r="M8" s="29">
        <v>0</v>
      </c>
      <c r="N8" s="29">
        <v>0</v>
      </c>
      <c r="O8" s="29">
        <v>0</v>
      </c>
      <c r="P8" s="29">
        <v>0</v>
      </c>
      <c r="Q8" s="66">
        <v>0</v>
      </c>
    </row>
    <row r="9" spans="1:17" ht="12.95" customHeight="1" x14ac:dyDescent="0.2">
      <c r="A9" s="36" t="s">
        <v>307</v>
      </c>
      <c r="B9" s="37" t="str">
        <f>'Risk Master'!C8&amp;"-"&amp;'Risk Master'!D8</f>
        <v>Flood-Mumbai</v>
      </c>
      <c r="C9" s="29" t="str">
        <f>'Risk Master'!F8</f>
        <v>A2</v>
      </c>
      <c r="D9" s="37" t="str">
        <f>VLOOKUP(C9,'Asset Master'!A:B,2,FALSE)</f>
        <v>Heat Exchanger-Mumbai</v>
      </c>
      <c r="E9" s="64">
        <f>'Risk Master'!N8</f>
        <v>20000</v>
      </c>
      <c r="H9" s="66">
        <v>1</v>
      </c>
      <c r="I9" s="66">
        <v>0</v>
      </c>
      <c r="J9" s="29">
        <v>0</v>
      </c>
      <c r="K9" s="29">
        <v>0</v>
      </c>
      <c r="L9" s="66">
        <v>0</v>
      </c>
      <c r="M9" s="29">
        <v>1</v>
      </c>
      <c r="N9" s="29">
        <v>0</v>
      </c>
      <c r="O9" s="29">
        <v>0</v>
      </c>
      <c r="P9" s="66">
        <v>0</v>
      </c>
      <c r="Q9" s="66">
        <v>0</v>
      </c>
    </row>
    <row r="10" spans="1:17" ht="12.95" customHeight="1" x14ac:dyDescent="0.2">
      <c r="A10" s="36" t="s">
        <v>308</v>
      </c>
      <c r="B10" s="37" t="str">
        <f>'Risk Master'!C9&amp;"-"&amp;'Risk Master'!D9</f>
        <v>Earthquake-Mumbai</v>
      </c>
      <c r="C10" s="29" t="str">
        <f>'Risk Master'!F9</f>
        <v>A2</v>
      </c>
      <c r="D10" s="37" t="str">
        <f>VLOOKUP(C10,'Asset Master'!A:B,2,FALSE)</f>
        <v>Heat Exchanger-Mumbai</v>
      </c>
      <c r="E10" s="64">
        <f>'Risk Master'!N9</f>
        <v>20000</v>
      </c>
      <c r="H10" s="66">
        <v>0</v>
      </c>
      <c r="I10" s="66">
        <v>1</v>
      </c>
      <c r="J10" s="29">
        <v>0</v>
      </c>
      <c r="K10" s="29">
        <v>0</v>
      </c>
      <c r="L10" s="66">
        <v>0</v>
      </c>
      <c r="M10" s="29">
        <v>1</v>
      </c>
      <c r="N10" s="29">
        <v>0</v>
      </c>
      <c r="O10" s="29">
        <v>0</v>
      </c>
      <c r="P10" s="66">
        <v>0</v>
      </c>
      <c r="Q10" s="66">
        <v>0</v>
      </c>
    </row>
    <row r="11" spans="1:17" ht="12.95" customHeight="1" x14ac:dyDescent="0.2">
      <c r="A11" s="36" t="s">
        <v>309</v>
      </c>
      <c r="B11" s="37" t="str">
        <f>'Risk Master'!C10&amp;"-"&amp;'Risk Master'!D10</f>
        <v>Fire-Mumbai</v>
      </c>
      <c r="C11" s="29" t="str">
        <f>'Risk Master'!F10</f>
        <v>A2</v>
      </c>
      <c r="D11" s="37" t="str">
        <f>VLOOKUP(C11,'Asset Master'!A:B,2,FALSE)</f>
        <v>Heat Exchanger-Mumbai</v>
      </c>
      <c r="E11" s="64">
        <f>'Risk Master'!N10</f>
        <v>20000</v>
      </c>
      <c r="H11" s="66">
        <v>0</v>
      </c>
      <c r="I11" s="66">
        <v>0</v>
      </c>
      <c r="J11" s="29">
        <v>0</v>
      </c>
      <c r="K11" s="29">
        <v>0</v>
      </c>
      <c r="L11" s="66">
        <v>0</v>
      </c>
      <c r="M11" s="29">
        <v>1</v>
      </c>
      <c r="N11" s="29">
        <v>0</v>
      </c>
      <c r="O11" s="29">
        <v>0</v>
      </c>
      <c r="P11" s="66">
        <v>0</v>
      </c>
      <c r="Q11" s="66">
        <v>0</v>
      </c>
    </row>
    <row r="12" spans="1:17" ht="12.95" customHeight="1" x14ac:dyDescent="0.2">
      <c r="A12" s="36" t="s">
        <v>310</v>
      </c>
      <c r="B12" s="37" t="str">
        <f>'Risk Master'!C11&amp;"-"&amp;'Risk Master'!D11</f>
        <v>Typhoon-Mumbai</v>
      </c>
      <c r="C12" s="29" t="str">
        <f>'Risk Master'!F11</f>
        <v>A2</v>
      </c>
      <c r="D12" s="37" t="str">
        <f>VLOOKUP(C12,'Asset Master'!A:B,2,FALSE)</f>
        <v>Heat Exchanger-Mumbai</v>
      </c>
      <c r="E12" s="64">
        <f>'Risk Master'!N11</f>
        <v>20000</v>
      </c>
      <c r="H12" s="66">
        <v>1</v>
      </c>
      <c r="I12" s="66">
        <v>0</v>
      </c>
      <c r="J12" s="29">
        <v>0</v>
      </c>
      <c r="K12" s="29">
        <v>0</v>
      </c>
      <c r="L12" s="66">
        <v>0</v>
      </c>
      <c r="M12" s="29">
        <v>1</v>
      </c>
      <c r="N12" s="29">
        <v>0</v>
      </c>
      <c r="O12" s="29">
        <v>0</v>
      </c>
      <c r="P12" s="66">
        <v>1</v>
      </c>
      <c r="Q12" s="66">
        <v>0</v>
      </c>
    </row>
    <row r="13" spans="1:17" ht="12.95" customHeight="1" x14ac:dyDescent="0.2">
      <c r="A13" s="36" t="s">
        <v>311</v>
      </c>
      <c r="B13" s="37" t="str">
        <f>'Risk Master'!C12&amp;"-"&amp;'Risk Master'!D12</f>
        <v>Thunderstorms, Tornados &amp; Hail-Mumbai</v>
      </c>
      <c r="C13" s="29" t="str">
        <f>'Risk Master'!F12</f>
        <v>A4</v>
      </c>
      <c r="D13" s="37" t="str">
        <f>VLOOKUP(C13,'Asset Master'!A:B,2,FALSE)</f>
        <v>Property (Office Locations)-Mumbai</v>
      </c>
      <c r="E13" s="64">
        <f>'Risk Master'!N12</f>
        <v>70000</v>
      </c>
      <c r="H13" s="66">
        <v>0</v>
      </c>
      <c r="I13" s="66">
        <v>0</v>
      </c>
      <c r="J13" s="29">
        <v>0</v>
      </c>
      <c r="K13" s="29">
        <v>0</v>
      </c>
      <c r="L13" s="66">
        <v>0</v>
      </c>
      <c r="M13" s="29">
        <v>0</v>
      </c>
      <c r="N13" s="29">
        <v>0</v>
      </c>
      <c r="O13" s="29">
        <v>0</v>
      </c>
      <c r="P13" s="66">
        <v>0</v>
      </c>
      <c r="Q13" s="66">
        <v>0</v>
      </c>
    </row>
    <row r="14" spans="1:17" ht="12.95" customHeight="1" x14ac:dyDescent="0.2">
      <c r="A14" s="36" t="s">
        <v>312</v>
      </c>
      <c r="B14" s="37" t="str">
        <f>'Risk Master'!C13&amp;"-"&amp;'Risk Master'!D13</f>
        <v>Tsunami-Mumbai</v>
      </c>
      <c r="C14" s="29" t="str">
        <f>'Risk Master'!F13</f>
        <v>A4</v>
      </c>
      <c r="D14" s="37" t="str">
        <f>VLOOKUP(C14,'Asset Master'!A:B,2,FALSE)</f>
        <v>Property (Office Locations)-Mumbai</v>
      </c>
      <c r="E14" s="64">
        <f>'Risk Master'!N13</f>
        <v>70000</v>
      </c>
      <c r="H14" s="66">
        <v>0</v>
      </c>
      <c r="I14" s="66">
        <v>0</v>
      </c>
      <c r="J14" s="29">
        <v>0</v>
      </c>
      <c r="K14" s="29">
        <v>0</v>
      </c>
      <c r="L14" s="66">
        <v>1</v>
      </c>
      <c r="M14" s="29">
        <v>0</v>
      </c>
      <c r="N14" s="66">
        <v>0</v>
      </c>
      <c r="O14" s="29">
        <v>0</v>
      </c>
      <c r="P14" s="66">
        <v>1</v>
      </c>
      <c r="Q14" s="66">
        <v>0</v>
      </c>
    </row>
    <row r="15" spans="1:17" ht="12.95" customHeight="1" x14ac:dyDescent="0.2">
      <c r="A15" s="36" t="s">
        <v>313</v>
      </c>
      <c r="B15" s="37" t="str">
        <f>'Risk Master'!C14&amp;"-"&amp;'Risk Master'!D14</f>
        <v>Flood-Mumbai</v>
      </c>
      <c r="C15" s="29" t="str">
        <f>'Risk Master'!F14</f>
        <v>A6</v>
      </c>
      <c r="D15" s="37" t="str">
        <f>VLOOKUP(C15,'Asset Master'!A:B,2,FALSE)</f>
        <v>Warehouse &amp; Cold Storage-Mumbai</v>
      </c>
      <c r="E15" s="64">
        <f>'Risk Master'!N14</f>
        <v>40000</v>
      </c>
      <c r="H15" s="66">
        <v>1</v>
      </c>
      <c r="I15" s="66">
        <v>0</v>
      </c>
      <c r="J15" s="29">
        <v>0</v>
      </c>
      <c r="K15" s="29">
        <v>1</v>
      </c>
      <c r="L15" s="66">
        <v>0</v>
      </c>
      <c r="M15" s="29">
        <v>0</v>
      </c>
      <c r="N15" s="66">
        <v>0</v>
      </c>
      <c r="O15" s="29">
        <v>0</v>
      </c>
      <c r="P15" s="66">
        <v>0</v>
      </c>
      <c r="Q15" s="66">
        <v>0</v>
      </c>
    </row>
    <row r="16" spans="1:17" ht="12.95" customHeight="1" x14ac:dyDescent="0.2">
      <c r="A16" s="36" t="s">
        <v>314</v>
      </c>
      <c r="B16" s="37" t="str">
        <f>'Risk Master'!C15&amp;"-"&amp;'Risk Master'!D15</f>
        <v>Earthquake-Mumbai</v>
      </c>
      <c r="C16" s="29" t="str">
        <f>'Risk Master'!F15</f>
        <v>A6</v>
      </c>
      <c r="D16" s="37" t="str">
        <f>VLOOKUP(C16,'Asset Master'!A:B,2,FALSE)</f>
        <v>Warehouse &amp; Cold Storage-Mumbai</v>
      </c>
      <c r="E16" s="64">
        <f>'Risk Master'!N15</f>
        <v>40000</v>
      </c>
      <c r="H16" s="66">
        <v>1</v>
      </c>
      <c r="I16" s="66">
        <v>0</v>
      </c>
      <c r="J16" s="29">
        <v>0</v>
      </c>
      <c r="K16" s="29">
        <v>0</v>
      </c>
      <c r="L16" s="66">
        <v>0</v>
      </c>
      <c r="M16" s="29">
        <v>0</v>
      </c>
      <c r="N16" s="66">
        <v>0</v>
      </c>
      <c r="O16" s="29">
        <v>0</v>
      </c>
      <c r="P16" s="66">
        <v>0</v>
      </c>
      <c r="Q16" s="66">
        <v>0</v>
      </c>
    </row>
    <row r="17" spans="1:17" ht="12.95" customHeight="1" x14ac:dyDescent="0.2">
      <c r="A17" s="36" t="s">
        <v>315</v>
      </c>
      <c r="B17" s="37" t="str">
        <f>'Risk Master'!C16&amp;"-"&amp;'Risk Master'!D16</f>
        <v>Terror Attack-Mumbai</v>
      </c>
      <c r="C17" s="29" t="str">
        <f>'Risk Master'!F16</f>
        <v>A4</v>
      </c>
      <c r="D17" s="37" t="str">
        <f>VLOOKUP(C17,'Asset Master'!A:B,2,FALSE)</f>
        <v>Property (Office Locations)-Mumbai</v>
      </c>
      <c r="E17" s="64">
        <f>'Risk Master'!N16</f>
        <v>70000</v>
      </c>
      <c r="H17" s="66">
        <v>1</v>
      </c>
      <c r="I17" s="66">
        <v>0</v>
      </c>
      <c r="J17" s="29">
        <v>1</v>
      </c>
      <c r="K17" s="29">
        <v>1</v>
      </c>
      <c r="L17" s="66">
        <v>1</v>
      </c>
      <c r="M17" s="29">
        <v>0</v>
      </c>
      <c r="N17" s="66">
        <v>0</v>
      </c>
      <c r="O17" s="29">
        <v>0</v>
      </c>
      <c r="P17" s="66">
        <v>1</v>
      </c>
      <c r="Q17" s="66">
        <v>1</v>
      </c>
    </row>
    <row r="18" spans="1:17" ht="12.95" customHeight="1" x14ac:dyDescent="0.2">
      <c r="A18" s="36" t="s">
        <v>316</v>
      </c>
      <c r="B18" s="37" t="str">
        <f>'Risk Master'!C17&amp;"-"&amp;'Risk Master'!D17</f>
        <v>Typhoon-Mumbai</v>
      </c>
      <c r="C18" s="29" t="str">
        <f>'Risk Master'!F17</f>
        <v>A6</v>
      </c>
      <c r="D18" s="37" t="str">
        <f>VLOOKUP(C18,'Asset Master'!A:B,2,FALSE)</f>
        <v>Warehouse &amp; Cold Storage-Mumbai</v>
      </c>
      <c r="E18" s="64">
        <f>'Risk Master'!N17</f>
        <v>40000</v>
      </c>
      <c r="H18" s="66">
        <v>1</v>
      </c>
      <c r="I18" s="66">
        <v>1</v>
      </c>
      <c r="J18" s="29">
        <v>0</v>
      </c>
      <c r="K18" s="29">
        <v>0</v>
      </c>
      <c r="L18" s="66">
        <v>0</v>
      </c>
      <c r="M18" s="29">
        <v>1</v>
      </c>
      <c r="N18" s="66">
        <v>0</v>
      </c>
      <c r="O18" s="29">
        <v>0</v>
      </c>
      <c r="P18" s="66">
        <v>0</v>
      </c>
      <c r="Q18" s="66">
        <v>0</v>
      </c>
    </row>
    <row r="19" spans="1:17" ht="12.95" customHeight="1" x14ac:dyDescent="0.2">
      <c r="A19" s="36" t="s">
        <v>317</v>
      </c>
      <c r="B19" s="37" t="str">
        <f>'Risk Master'!C18&amp;"-"&amp;'Risk Master'!D18</f>
        <v>Thunderstorms, Tornados &amp; Hail-Mumbai</v>
      </c>
      <c r="C19" s="29" t="str">
        <f>'Risk Master'!F18</f>
        <v>A6</v>
      </c>
      <c r="D19" s="37" t="str">
        <f>VLOOKUP(C19,'Asset Master'!A:B,2,FALSE)</f>
        <v>Warehouse &amp; Cold Storage-Mumbai</v>
      </c>
      <c r="E19" s="64">
        <f>'Risk Master'!N18</f>
        <v>40000</v>
      </c>
      <c r="H19" s="66">
        <v>1</v>
      </c>
      <c r="I19" s="66">
        <v>0</v>
      </c>
      <c r="J19" s="29">
        <v>1</v>
      </c>
      <c r="K19" s="29">
        <v>0</v>
      </c>
      <c r="L19" s="66">
        <v>0</v>
      </c>
      <c r="M19" s="29">
        <v>1</v>
      </c>
      <c r="N19" s="66">
        <v>0</v>
      </c>
      <c r="O19" s="29">
        <v>0</v>
      </c>
      <c r="P19" s="66">
        <v>0</v>
      </c>
      <c r="Q19" s="66">
        <v>0</v>
      </c>
    </row>
    <row r="20" spans="1:17" ht="12.95" customHeight="1" x14ac:dyDescent="0.2">
      <c r="A20" s="36" t="s">
        <v>318</v>
      </c>
      <c r="B20" s="37" t="str">
        <f>'Risk Master'!C19&amp;"-"&amp;'Risk Master'!D19</f>
        <v>Tsunami-Mumbai</v>
      </c>
      <c r="C20" s="29" t="str">
        <f>'Risk Master'!F19</f>
        <v>A6</v>
      </c>
      <c r="D20" s="37" t="str">
        <f>VLOOKUP(C20,'Asset Master'!A:B,2,FALSE)</f>
        <v>Warehouse &amp; Cold Storage-Mumbai</v>
      </c>
      <c r="E20" s="64">
        <f>'Risk Master'!N19</f>
        <v>40000</v>
      </c>
      <c r="H20" s="66">
        <v>1</v>
      </c>
      <c r="I20" s="66">
        <v>0</v>
      </c>
      <c r="J20" s="29">
        <v>0</v>
      </c>
      <c r="K20" s="29">
        <v>0</v>
      </c>
      <c r="L20" s="66">
        <v>1</v>
      </c>
      <c r="M20" s="29">
        <v>0</v>
      </c>
      <c r="N20" s="66">
        <v>0</v>
      </c>
      <c r="O20" s="29">
        <v>0</v>
      </c>
      <c r="P20" s="66">
        <v>0</v>
      </c>
      <c r="Q20" s="66">
        <v>0</v>
      </c>
    </row>
    <row r="21" spans="1:17" ht="12.95" customHeight="1" x14ac:dyDescent="0.2">
      <c r="A21" s="36" t="s">
        <v>319</v>
      </c>
      <c r="B21" s="37" t="str">
        <f>'Risk Master'!C20&amp;"-"&amp;'Risk Master'!D20</f>
        <v>Flood-Mumbai</v>
      </c>
      <c r="C21" s="29" t="str">
        <f>'Risk Master'!F20</f>
        <v>A7</v>
      </c>
      <c r="D21" s="37" t="str">
        <f>VLOOKUP(C21,'Asset Master'!A:B,2,FALSE)</f>
        <v>Hotels &amp; Resorts-Mumbai</v>
      </c>
      <c r="E21" s="64">
        <f>'Risk Master'!N20</f>
        <v>80000</v>
      </c>
      <c r="H21" s="66">
        <v>1</v>
      </c>
      <c r="I21" s="66">
        <v>0</v>
      </c>
      <c r="J21" s="29">
        <v>1</v>
      </c>
      <c r="K21" s="29">
        <v>0</v>
      </c>
      <c r="L21" s="66">
        <v>0</v>
      </c>
      <c r="M21" s="29">
        <v>1</v>
      </c>
      <c r="N21" s="66">
        <v>0</v>
      </c>
      <c r="O21" s="29">
        <v>0</v>
      </c>
      <c r="P21" s="66">
        <v>0</v>
      </c>
      <c r="Q21" s="66">
        <v>0</v>
      </c>
    </row>
    <row r="22" spans="1:17" ht="12.95" customHeight="1" x14ac:dyDescent="0.2">
      <c r="A22" s="36" t="s">
        <v>320</v>
      </c>
      <c r="B22" s="37" t="str">
        <f>'Risk Master'!C21&amp;"-"&amp;'Risk Master'!D21</f>
        <v>Earthquake-Mumbai</v>
      </c>
      <c r="C22" s="29" t="str">
        <f>'Risk Master'!F21</f>
        <v>A8</v>
      </c>
      <c r="D22" s="37" t="str">
        <f>VLOOKUP(C22,'Asset Master'!A:B,2,FALSE)</f>
        <v>Supermarkets &amp; Malls-Mumbai</v>
      </c>
      <c r="E22" s="64">
        <f>'Risk Master'!N21</f>
        <v>30000</v>
      </c>
      <c r="H22" s="66">
        <v>0</v>
      </c>
      <c r="I22" s="66">
        <v>1</v>
      </c>
      <c r="J22" s="29">
        <v>0</v>
      </c>
      <c r="K22" s="29">
        <v>1</v>
      </c>
      <c r="L22" s="66">
        <v>0</v>
      </c>
      <c r="M22" s="29">
        <v>0</v>
      </c>
      <c r="N22" s="66">
        <v>0</v>
      </c>
      <c r="O22" s="29">
        <v>0</v>
      </c>
      <c r="P22" s="66">
        <v>0</v>
      </c>
      <c r="Q22" s="66">
        <v>0</v>
      </c>
    </row>
    <row r="23" spans="1:17" ht="12.95" customHeight="1" x14ac:dyDescent="0.2">
      <c r="A23" s="36" t="s">
        <v>321</v>
      </c>
      <c r="B23" s="37" t="str">
        <f>'Risk Master'!C22&amp;"-"&amp;'Risk Master'!D22</f>
        <v>Fire-Mumbai</v>
      </c>
      <c r="C23" s="29" t="str">
        <f>'Risk Master'!F22</f>
        <v>A7</v>
      </c>
      <c r="D23" s="37" t="str">
        <f>VLOOKUP(C23,'Asset Master'!A:B,2,FALSE)</f>
        <v>Hotels &amp; Resorts-Mumbai</v>
      </c>
      <c r="E23" s="64">
        <f>'Risk Master'!N22</f>
        <v>80000</v>
      </c>
      <c r="H23" s="66">
        <v>0</v>
      </c>
      <c r="I23" s="66">
        <v>0</v>
      </c>
      <c r="J23" s="29">
        <v>0</v>
      </c>
      <c r="K23" s="29">
        <v>0</v>
      </c>
      <c r="L23" s="66">
        <v>0</v>
      </c>
      <c r="M23" s="29">
        <v>0</v>
      </c>
      <c r="N23" s="66">
        <v>0</v>
      </c>
      <c r="O23" s="29">
        <v>0</v>
      </c>
      <c r="P23" s="66">
        <v>0</v>
      </c>
      <c r="Q23" s="66">
        <v>0</v>
      </c>
    </row>
    <row r="24" spans="1:17" ht="12.95" customHeight="1" x14ac:dyDescent="0.2">
      <c r="A24" s="36" t="s">
        <v>322</v>
      </c>
      <c r="B24" s="37" t="str">
        <f>'Risk Master'!C23&amp;"-"&amp;'Risk Master'!D23</f>
        <v>Typhoon-Mumbai</v>
      </c>
      <c r="C24" s="29" t="str">
        <f>'Risk Master'!F23</f>
        <v>A8</v>
      </c>
      <c r="D24" s="37" t="str">
        <f>VLOOKUP(C24,'Asset Master'!A:B,2,FALSE)</f>
        <v>Supermarkets &amp; Malls-Mumbai</v>
      </c>
      <c r="E24" s="64">
        <f>'Risk Master'!N23</f>
        <v>30000</v>
      </c>
      <c r="H24" s="66">
        <v>0</v>
      </c>
      <c r="I24" s="66">
        <v>1</v>
      </c>
      <c r="J24" s="66">
        <v>0</v>
      </c>
      <c r="K24" s="29">
        <v>0</v>
      </c>
      <c r="L24" s="66">
        <v>0</v>
      </c>
      <c r="M24" s="29">
        <v>0</v>
      </c>
      <c r="N24" s="66">
        <v>0</v>
      </c>
      <c r="O24" s="29">
        <v>0</v>
      </c>
      <c r="P24" s="66">
        <v>1</v>
      </c>
      <c r="Q24" s="66">
        <v>0</v>
      </c>
    </row>
    <row r="25" spans="1:17" ht="12.95" customHeight="1" x14ac:dyDescent="0.2">
      <c r="A25" s="36" t="s">
        <v>323</v>
      </c>
      <c r="B25" s="37" t="str">
        <f>'Risk Master'!C24&amp;"-"&amp;'Risk Master'!D24</f>
        <v>Thunderstorms, Tornados &amp; Hail-Mumbai</v>
      </c>
      <c r="C25" s="29" t="str">
        <f>'Risk Master'!F24</f>
        <v>A8</v>
      </c>
      <c r="D25" s="37" t="str">
        <f>VLOOKUP(C25,'Asset Master'!A:B,2,FALSE)</f>
        <v>Supermarkets &amp; Malls-Mumbai</v>
      </c>
      <c r="E25" s="64">
        <f>'Risk Master'!N24</f>
        <v>30000</v>
      </c>
      <c r="H25" s="66">
        <v>0</v>
      </c>
      <c r="I25" s="66">
        <v>0</v>
      </c>
      <c r="J25" s="66">
        <v>0</v>
      </c>
      <c r="K25" s="29">
        <v>0</v>
      </c>
      <c r="L25" s="66">
        <v>0</v>
      </c>
      <c r="M25" s="29">
        <v>0</v>
      </c>
      <c r="N25" s="66">
        <v>1</v>
      </c>
      <c r="O25" s="29">
        <v>0</v>
      </c>
      <c r="P25" s="66">
        <v>0</v>
      </c>
      <c r="Q25" s="66">
        <v>1</v>
      </c>
    </row>
    <row r="26" spans="1:17" ht="12.95" customHeight="1" x14ac:dyDescent="0.2">
      <c r="A26" s="36" t="s">
        <v>324</v>
      </c>
      <c r="B26" s="37" t="str">
        <f>'Risk Master'!C25&amp;"-"&amp;'Risk Master'!D25</f>
        <v>Tsunami-Mumbai</v>
      </c>
      <c r="C26" s="29" t="str">
        <f>'Risk Master'!F25</f>
        <v>A8</v>
      </c>
      <c r="D26" s="37" t="str">
        <f>VLOOKUP(C26,'Asset Master'!A:B,2,FALSE)</f>
        <v>Supermarkets &amp; Malls-Mumbai</v>
      </c>
      <c r="E26" s="64">
        <f>'Risk Master'!N25</f>
        <v>30000</v>
      </c>
      <c r="H26" s="66">
        <v>1</v>
      </c>
      <c r="I26" s="66">
        <v>1</v>
      </c>
      <c r="J26" s="66">
        <v>0</v>
      </c>
      <c r="K26" s="29">
        <v>0</v>
      </c>
      <c r="L26" s="66">
        <v>0</v>
      </c>
      <c r="M26" s="29">
        <v>0</v>
      </c>
      <c r="N26" s="66">
        <v>0</v>
      </c>
      <c r="O26" s="29">
        <v>0</v>
      </c>
      <c r="P26" s="66">
        <v>1</v>
      </c>
      <c r="Q26" s="66">
        <v>0</v>
      </c>
    </row>
    <row r="27" spans="1:17" ht="12.95" customHeight="1" x14ac:dyDescent="0.2">
      <c r="A27" s="36" t="s">
        <v>325</v>
      </c>
      <c r="B27" s="37" t="str">
        <f>'Risk Master'!C26&amp;"-"&amp;'Risk Master'!D26</f>
        <v>Flood-Mumbai</v>
      </c>
      <c r="C27" s="29" t="str">
        <f>'Risk Master'!F26</f>
        <v>A9</v>
      </c>
      <c r="D27" s="37" t="str">
        <f>VLOOKUP(C27,'Asset Master'!A:B,2,FALSE)</f>
        <v>Mines-Mumbai</v>
      </c>
      <c r="E27" s="64">
        <f>'Risk Master'!N26</f>
        <v>30000</v>
      </c>
      <c r="H27" s="66">
        <v>0</v>
      </c>
      <c r="I27" s="66">
        <v>0</v>
      </c>
      <c r="J27" s="66">
        <v>0</v>
      </c>
      <c r="K27" s="29">
        <v>0</v>
      </c>
      <c r="L27" s="66">
        <v>0</v>
      </c>
      <c r="M27" s="29">
        <v>0</v>
      </c>
      <c r="N27" s="66">
        <v>0</v>
      </c>
      <c r="O27" s="29">
        <v>0</v>
      </c>
      <c r="P27" s="66">
        <v>0</v>
      </c>
      <c r="Q27" s="66">
        <v>0</v>
      </c>
    </row>
    <row r="28" spans="1:17" ht="12.95" customHeight="1" x14ac:dyDescent="0.2">
      <c r="A28" s="36" t="s">
        <v>326</v>
      </c>
      <c r="B28" s="37" t="str">
        <f>'Risk Master'!C27&amp;"-"&amp;'Risk Master'!D27</f>
        <v>Earthquake-Mumbai</v>
      </c>
      <c r="C28" s="29" t="str">
        <f>'Risk Master'!F27</f>
        <v>A9</v>
      </c>
      <c r="D28" s="37" t="str">
        <f>VLOOKUP(C28,'Asset Master'!A:B,2,FALSE)</f>
        <v>Mines-Mumbai</v>
      </c>
      <c r="E28" s="64">
        <f>'Risk Master'!N27</f>
        <v>30000</v>
      </c>
      <c r="H28" s="66">
        <v>0</v>
      </c>
      <c r="I28" s="66">
        <v>0</v>
      </c>
      <c r="J28" s="66">
        <v>0</v>
      </c>
      <c r="K28" s="29">
        <v>0</v>
      </c>
      <c r="L28" s="66">
        <v>1</v>
      </c>
      <c r="M28" s="29">
        <v>0</v>
      </c>
      <c r="N28" s="66">
        <v>1</v>
      </c>
      <c r="O28" s="29">
        <v>0</v>
      </c>
      <c r="P28" s="66">
        <v>1</v>
      </c>
      <c r="Q28" s="66">
        <v>0</v>
      </c>
    </row>
    <row r="29" spans="1:17" ht="12.95" customHeight="1" x14ac:dyDescent="0.2">
      <c r="A29" s="36" t="s">
        <v>327</v>
      </c>
      <c r="B29" s="37" t="str">
        <f>'Risk Master'!C28&amp;"-"&amp;'Risk Master'!D28</f>
        <v>Fire-Mumbai</v>
      </c>
      <c r="C29" s="29" t="str">
        <f>'Risk Master'!F28</f>
        <v>A9</v>
      </c>
      <c r="D29" s="37" t="str">
        <f>VLOOKUP(C29,'Asset Master'!A:B,2,FALSE)</f>
        <v>Mines-Mumbai</v>
      </c>
      <c r="E29" s="64">
        <f>'Risk Master'!N28</f>
        <v>30000</v>
      </c>
      <c r="H29" s="66">
        <v>0</v>
      </c>
      <c r="I29" s="66">
        <v>0</v>
      </c>
      <c r="J29" s="66">
        <v>0</v>
      </c>
      <c r="K29" s="29">
        <v>0</v>
      </c>
      <c r="L29" s="66">
        <v>0</v>
      </c>
      <c r="M29" s="29">
        <v>0</v>
      </c>
      <c r="N29" s="66">
        <v>0</v>
      </c>
      <c r="O29" s="29">
        <v>0</v>
      </c>
      <c r="P29" s="66">
        <v>0</v>
      </c>
      <c r="Q29" s="66">
        <v>0</v>
      </c>
    </row>
    <row r="30" spans="1:17" ht="12.95" customHeight="1" x14ac:dyDescent="0.2">
      <c r="A30" s="36" t="s">
        <v>328</v>
      </c>
      <c r="B30" s="37" t="str">
        <f>'Risk Master'!C29&amp;"-"&amp;'Risk Master'!D29</f>
        <v>Typhoon-Mumbai</v>
      </c>
      <c r="C30" s="29" t="str">
        <f>'Risk Master'!F29</f>
        <v>A9</v>
      </c>
      <c r="D30" s="37" t="str">
        <f>VLOOKUP(C30,'Asset Master'!A:B,2,FALSE)</f>
        <v>Mines-Mumbai</v>
      </c>
      <c r="E30" s="64">
        <f>'Risk Master'!N29</f>
        <v>30000</v>
      </c>
      <c r="H30" s="66">
        <v>0</v>
      </c>
      <c r="I30" s="66">
        <v>0</v>
      </c>
      <c r="J30" s="66">
        <v>0</v>
      </c>
      <c r="K30" s="29">
        <v>0</v>
      </c>
      <c r="L30" s="66">
        <v>0</v>
      </c>
      <c r="M30" s="29">
        <v>0</v>
      </c>
      <c r="N30" s="66">
        <v>0</v>
      </c>
      <c r="O30" s="29">
        <v>0</v>
      </c>
      <c r="P30" s="66">
        <v>0</v>
      </c>
      <c r="Q30" s="66">
        <v>0</v>
      </c>
    </row>
    <row r="31" spans="1:17" ht="12.95" customHeight="1" x14ac:dyDescent="0.2">
      <c r="A31" s="36" t="s">
        <v>329</v>
      </c>
      <c r="B31" s="37" t="str">
        <f>'Risk Master'!C30&amp;"-"&amp;'Risk Master'!D30</f>
        <v>Thunderstorms, Tornados &amp; Hail-Mumbai</v>
      </c>
      <c r="C31" s="29" t="str">
        <f>'Risk Master'!F30</f>
        <v>A9</v>
      </c>
      <c r="D31" s="37" t="str">
        <f>VLOOKUP(C31,'Asset Master'!A:B,2,FALSE)</f>
        <v>Mines-Mumbai</v>
      </c>
      <c r="E31" s="64">
        <f>'Risk Master'!N30</f>
        <v>30000</v>
      </c>
      <c r="H31" s="66">
        <v>0</v>
      </c>
      <c r="I31" s="66">
        <v>0</v>
      </c>
      <c r="J31" s="66">
        <v>0</v>
      </c>
      <c r="K31" s="29">
        <v>0</v>
      </c>
      <c r="L31" s="66">
        <v>0</v>
      </c>
      <c r="M31" s="29">
        <v>0</v>
      </c>
      <c r="N31" s="66">
        <v>1</v>
      </c>
      <c r="O31" s="29">
        <v>0</v>
      </c>
      <c r="P31" s="66">
        <v>1</v>
      </c>
      <c r="Q31" s="66">
        <v>1</v>
      </c>
    </row>
    <row r="32" spans="1:17" ht="12.95" customHeight="1" x14ac:dyDescent="0.2">
      <c r="A32" s="36" t="s">
        <v>330</v>
      </c>
      <c r="B32" s="37" t="str">
        <f>'Risk Master'!C31&amp;"-"&amp;'Risk Master'!D31</f>
        <v>Tsunami-Mumbai</v>
      </c>
      <c r="C32" s="29" t="str">
        <f>'Risk Master'!F31</f>
        <v>A9</v>
      </c>
      <c r="D32" s="37" t="str">
        <f>VLOOKUP(C32,'Asset Master'!A:B,2,FALSE)</f>
        <v>Mines-Mumbai</v>
      </c>
      <c r="E32" s="64">
        <f>'Risk Master'!N31</f>
        <v>30000</v>
      </c>
      <c r="H32" s="66">
        <v>0</v>
      </c>
      <c r="I32" s="66">
        <v>0</v>
      </c>
      <c r="J32" s="66">
        <v>0</v>
      </c>
      <c r="K32" s="29">
        <v>0</v>
      </c>
      <c r="L32" s="66">
        <v>1</v>
      </c>
      <c r="M32" s="29">
        <v>0</v>
      </c>
      <c r="N32" s="66">
        <v>0</v>
      </c>
      <c r="O32" s="29">
        <v>0</v>
      </c>
      <c r="P32" s="66">
        <v>0</v>
      </c>
      <c r="Q32" s="66">
        <v>1</v>
      </c>
    </row>
    <row r="33" spans="1:17" ht="12.95" customHeight="1" x14ac:dyDescent="0.2">
      <c r="A33" s="36" t="s">
        <v>331</v>
      </c>
      <c r="B33" s="37" t="str">
        <f>'Risk Master'!C32&amp;"-"&amp;'Risk Master'!D32</f>
        <v>Flood-Mumbai</v>
      </c>
      <c r="C33" s="29" t="str">
        <f>'Risk Master'!F32</f>
        <v>A10</v>
      </c>
      <c r="D33" s="37" t="str">
        <f>VLOOKUP(C33,'Asset Master'!A:B,2,FALSE)</f>
        <v>Power Plants-Mumbai</v>
      </c>
      <c r="E33" s="64">
        <f>'Risk Master'!N32</f>
        <v>40000</v>
      </c>
      <c r="H33" s="66">
        <v>0</v>
      </c>
      <c r="I33" s="66">
        <v>0</v>
      </c>
      <c r="J33" s="66">
        <v>0</v>
      </c>
      <c r="K33" s="29">
        <v>0</v>
      </c>
      <c r="L33" s="66">
        <v>0</v>
      </c>
      <c r="M33" s="29">
        <v>0</v>
      </c>
      <c r="N33" s="66">
        <v>0</v>
      </c>
      <c r="O33" s="29">
        <v>0</v>
      </c>
      <c r="P33" s="66">
        <v>0</v>
      </c>
      <c r="Q33" s="66">
        <v>0</v>
      </c>
    </row>
    <row r="34" spans="1:17" ht="12.95" customHeight="1" x14ac:dyDescent="0.2">
      <c r="A34" s="36" t="s">
        <v>332</v>
      </c>
      <c r="B34" s="37" t="str">
        <f>'Risk Master'!C33&amp;"-"&amp;'Risk Master'!D33</f>
        <v>Earthquake-Mumbai</v>
      </c>
      <c r="C34" s="29" t="str">
        <f>'Risk Master'!F33</f>
        <v>A10</v>
      </c>
      <c r="D34" s="37" t="str">
        <f>VLOOKUP(C34,'Asset Master'!A:B,2,FALSE)</f>
        <v>Power Plants-Mumbai</v>
      </c>
      <c r="E34" s="64">
        <f>'Risk Master'!N33</f>
        <v>40000</v>
      </c>
      <c r="H34" s="66">
        <v>0</v>
      </c>
      <c r="I34" s="66">
        <v>0</v>
      </c>
      <c r="J34" s="66">
        <v>0</v>
      </c>
      <c r="K34" s="29">
        <v>0</v>
      </c>
      <c r="L34" s="66">
        <v>0</v>
      </c>
      <c r="M34" s="29">
        <v>0</v>
      </c>
      <c r="N34" s="66">
        <v>0</v>
      </c>
      <c r="O34" s="29">
        <v>0</v>
      </c>
      <c r="P34" s="66">
        <v>0</v>
      </c>
      <c r="Q34" s="66">
        <v>0</v>
      </c>
    </row>
    <row r="35" spans="1:17" ht="12.95" customHeight="1" x14ac:dyDescent="0.2">
      <c r="A35" s="36" t="s">
        <v>333</v>
      </c>
      <c r="B35" s="37" t="str">
        <f>'Risk Master'!C34&amp;"-"&amp;'Risk Master'!D34</f>
        <v>Fire-Mumbai</v>
      </c>
      <c r="C35" s="29" t="str">
        <f>'Risk Master'!F34</f>
        <v>A10</v>
      </c>
      <c r="D35" s="37" t="str">
        <f>VLOOKUP(C35,'Asset Master'!A:B,2,FALSE)</f>
        <v>Power Plants-Mumbai</v>
      </c>
      <c r="E35" s="64">
        <f>'Risk Master'!N34</f>
        <v>40000</v>
      </c>
      <c r="H35" s="66">
        <v>0</v>
      </c>
      <c r="I35" s="66">
        <v>0</v>
      </c>
      <c r="J35" s="66">
        <v>1</v>
      </c>
      <c r="K35" s="29">
        <v>1</v>
      </c>
      <c r="L35" s="66">
        <v>0</v>
      </c>
      <c r="M35" s="29">
        <v>1</v>
      </c>
      <c r="N35" s="66">
        <v>0</v>
      </c>
      <c r="O35" s="29">
        <v>0</v>
      </c>
      <c r="P35" s="66">
        <v>0</v>
      </c>
      <c r="Q35" s="66">
        <v>0</v>
      </c>
    </row>
    <row r="36" spans="1:17" ht="12.95" customHeight="1" x14ac:dyDescent="0.2">
      <c r="A36" s="36" t="s">
        <v>334</v>
      </c>
      <c r="B36" s="37" t="str">
        <f>'Risk Master'!C35&amp;"-"&amp;'Risk Master'!D35</f>
        <v>Terror Attack-Mumbai</v>
      </c>
      <c r="C36" s="29" t="str">
        <f>'Risk Master'!F35</f>
        <v>A10</v>
      </c>
      <c r="D36" s="37" t="str">
        <f>VLOOKUP(C36,'Asset Master'!A:B,2,FALSE)</f>
        <v>Power Plants-Mumbai</v>
      </c>
      <c r="E36" s="64">
        <f>'Risk Master'!N35</f>
        <v>40000</v>
      </c>
      <c r="H36" s="66">
        <v>0</v>
      </c>
      <c r="I36" s="66">
        <v>0</v>
      </c>
      <c r="J36" s="66">
        <v>0</v>
      </c>
      <c r="K36" s="29">
        <v>0</v>
      </c>
      <c r="L36" s="66">
        <v>1</v>
      </c>
      <c r="M36" s="29">
        <v>0</v>
      </c>
      <c r="N36" s="66">
        <v>0</v>
      </c>
      <c r="O36" s="29">
        <v>0</v>
      </c>
      <c r="P36" s="66">
        <v>0</v>
      </c>
      <c r="Q36" s="66">
        <v>0</v>
      </c>
    </row>
    <row r="37" spans="1:17" ht="12.95" customHeight="1" x14ac:dyDescent="0.2">
      <c r="A37" s="36" t="s">
        <v>335</v>
      </c>
      <c r="B37" s="37" t="str">
        <f>'Risk Master'!C36&amp;"-"&amp;'Risk Master'!D36</f>
        <v>Thunderstorms, Tornados &amp; Hail-Mumbai</v>
      </c>
      <c r="C37" s="29" t="str">
        <f>'Risk Master'!F36</f>
        <v>A10</v>
      </c>
      <c r="D37" s="37" t="str">
        <f>VLOOKUP(C37,'Asset Master'!A:B,2,FALSE)</f>
        <v>Power Plants-Mumbai</v>
      </c>
      <c r="E37" s="64">
        <f>'Risk Master'!N36</f>
        <v>40000</v>
      </c>
      <c r="H37" s="66">
        <v>1</v>
      </c>
      <c r="I37" s="66">
        <v>0</v>
      </c>
      <c r="J37" s="66">
        <v>0</v>
      </c>
      <c r="K37" s="29">
        <v>0</v>
      </c>
      <c r="L37" s="66">
        <v>0</v>
      </c>
      <c r="M37" s="29">
        <v>1</v>
      </c>
      <c r="N37" s="66">
        <v>0</v>
      </c>
      <c r="O37" s="29">
        <v>0</v>
      </c>
      <c r="P37" s="66">
        <v>0</v>
      </c>
      <c r="Q37" s="66">
        <v>0</v>
      </c>
    </row>
    <row r="38" spans="1:17" ht="12.95" customHeight="1" x14ac:dyDescent="0.2">
      <c r="A38" s="36" t="s">
        <v>336</v>
      </c>
      <c r="B38" s="37" t="str">
        <f>'Risk Master'!C37&amp;"-"&amp;'Risk Master'!D37</f>
        <v>Tsunami-Mumbai</v>
      </c>
      <c r="C38" s="29" t="str">
        <f>'Risk Master'!F37</f>
        <v>A10</v>
      </c>
      <c r="D38" s="37" t="str">
        <f>VLOOKUP(C38,'Asset Master'!A:B,2,FALSE)</f>
        <v>Power Plants-Mumbai</v>
      </c>
      <c r="E38" s="64">
        <f>'Risk Master'!N37</f>
        <v>40000</v>
      </c>
      <c r="H38" s="66">
        <v>0</v>
      </c>
      <c r="I38" s="66">
        <v>0</v>
      </c>
      <c r="J38" s="66">
        <v>1</v>
      </c>
      <c r="K38" s="29">
        <v>0</v>
      </c>
      <c r="L38" s="66">
        <v>0</v>
      </c>
      <c r="M38" s="29">
        <v>0</v>
      </c>
      <c r="N38" s="66">
        <v>0</v>
      </c>
      <c r="O38" s="29">
        <v>0</v>
      </c>
      <c r="P38" s="66">
        <v>0</v>
      </c>
      <c r="Q38" s="66">
        <v>0</v>
      </c>
    </row>
    <row r="39" spans="1:17" ht="12.95" customHeight="1" x14ac:dyDescent="0.2">
      <c r="A39" s="36" t="s">
        <v>337</v>
      </c>
      <c r="B39" s="37" t="str">
        <f>'Risk Master'!C38&amp;"-"&amp;'Risk Master'!D38</f>
        <v>Flood-Mumbai</v>
      </c>
      <c r="C39" s="29" t="str">
        <f>'Risk Master'!F38</f>
        <v>A11</v>
      </c>
      <c r="D39" s="37" t="str">
        <f>VLOOKUP(C39,'Asset Master'!A:B,2,FALSE)</f>
        <v>Oil Refineries-Mumbai</v>
      </c>
      <c r="E39" s="64">
        <f>'Risk Master'!N38</f>
        <v>100000</v>
      </c>
      <c r="H39" s="66">
        <v>1</v>
      </c>
      <c r="I39" s="29">
        <v>0</v>
      </c>
      <c r="J39" s="66">
        <v>0</v>
      </c>
      <c r="K39" s="29">
        <v>0</v>
      </c>
      <c r="L39" s="66">
        <v>0</v>
      </c>
      <c r="M39" s="29">
        <v>0</v>
      </c>
      <c r="N39" s="66">
        <v>1</v>
      </c>
      <c r="O39" s="29">
        <v>0</v>
      </c>
      <c r="P39" s="66">
        <v>0</v>
      </c>
      <c r="Q39" s="66">
        <v>1</v>
      </c>
    </row>
    <row r="40" spans="1:17" ht="12.95" customHeight="1" x14ac:dyDescent="0.2">
      <c r="A40" s="36" t="s">
        <v>338</v>
      </c>
      <c r="B40" s="37" t="str">
        <f>'Risk Master'!C39&amp;"-"&amp;'Risk Master'!D39</f>
        <v>Earthquake-Mumbai</v>
      </c>
      <c r="C40" s="29" t="str">
        <f>'Risk Master'!F39</f>
        <v>A11</v>
      </c>
      <c r="D40" s="37" t="str">
        <f>VLOOKUP(C40,'Asset Master'!A:B,2,FALSE)</f>
        <v>Oil Refineries-Mumbai</v>
      </c>
      <c r="E40" s="64">
        <f>'Risk Master'!N39</f>
        <v>100000</v>
      </c>
      <c r="H40" s="66">
        <v>0</v>
      </c>
      <c r="I40" s="29">
        <v>0</v>
      </c>
      <c r="J40" s="66">
        <v>0</v>
      </c>
      <c r="K40" s="29">
        <v>0</v>
      </c>
      <c r="L40" s="66">
        <v>0</v>
      </c>
      <c r="M40" s="29">
        <v>0</v>
      </c>
      <c r="N40" s="66">
        <v>0</v>
      </c>
      <c r="O40" s="29">
        <v>0</v>
      </c>
      <c r="P40" s="66">
        <v>0</v>
      </c>
      <c r="Q40" s="66">
        <v>0</v>
      </c>
    </row>
    <row r="41" spans="1:17" ht="12.95" customHeight="1" x14ac:dyDescent="0.2">
      <c r="A41" s="36" t="s">
        <v>339</v>
      </c>
      <c r="B41" s="37" t="str">
        <f>'Risk Master'!C40&amp;"-"&amp;'Risk Master'!D40</f>
        <v>Fire-Mumbai</v>
      </c>
      <c r="C41" s="29" t="str">
        <f>'Risk Master'!F40</f>
        <v>A11</v>
      </c>
      <c r="D41" s="37" t="str">
        <f>VLOOKUP(C41,'Asset Master'!A:B,2,FALSE)</f>
        <v>Oil Refineries-Mumbai</v>
      </c>
      <c r="E41" s="64">
        <f>'Risk Master'!N40</f>
        <v>100000</v>
      </c>
      <c r="H41" s="66">
        <v>0</v>
      </c>
      <c r="I41" s="29">
        <v>0</v>
      </c>
      <c r="J41" s="66">
        <v>1</v>
      </c>
      <c r="K41" s="29">
        <v>0</v>
      </c>
      <c r="L41" s="66">
        <v>0</v>
      </c>
      <c r="M41" s="29">
        <v>0</v>
      </c>
      <c r="N41" s="66">
        <v>0</v>
      </c>
      <c r="O41" s="29">
        <v>0</v>
      </c>
      <c r="P41" s="66">
        <v>0</v>
      </c>
      <c r="Q41" s="66">
        <v>0</v>
      </c>
    </row>
    <row r="42" spans="1:17" ht="12.95" customHeight="1" x14ac:dyDescent="0.2">
      <c r="A42" s="36" t="s">
        <v>340</v>
      </c>
      <c r="B42" s="37" t="str">
        <f>'Risk Master'!C41&amp;"-"&amp;'Risk Master'!D41</f>
        <v>Typhoon-Mumbai</v>
      </c>
      <c r="C42" s="29" t="str">
        <f>'Risk Master'!F41</f>
        <v>A11</v>
      </c>
      <c r="D42" s="37" t="str">
        <f>VLOOKUP(C42,'Asset Master'!A:B,2,FALSE)</f>
        <v>Oil Refineries-Mumbai</v>
      </c>
      <c r="E42" s="64">
        <f>'Risk Master'!N41</f>
        <v>100000</v>
      </c>
      <c r="H42" s="66">
        <v>0</v>
      </c>
      <c r="I42" s="29">
        <v>0</v>
      </c>
      <c r="J42" s="66">
        <v>0</v>
      </c>
      <c r="K42" s="29">
        <v>1</v>
      </c>
      <c r="L42" s="66">
        <v>0</v>
      </c>
      <c r="M42" s="29">
        <v>0</v>
      </c>
      <c r="N42" s="66">
        <v>0</v>
      </c>
      <c r="O42" s="29">
        <v>0</v>
      </c>
      <c r="P42" s="66">
        <v>1</v>
      </c>
      <c r="Q42" s="66">
        <v>0</v>
      </c>
    </row>
    <row r="43" spans="1:17" ht="12.95" customHeight="1" x14ac:dyDescent="0.2">
      <c r="A43" s="36" t="s">
        <v>341</v>
      </c>
      <c r="B43" s="37" t="str">
        <f>'Risk Master'!C42&amp;"-"&amp;'Risk Master'!D42</f>
        <v>Thunderstorms, Tornados &amp; Hail-Mumbai</v>
      </c>
      <c r="C43" s="29" t="str">
        <f>'Risk Master'!F42</f>
        <v>A11</v>
      </c>
      <c r="D43" s="37" t="str">
        <f>VLOOKUP(C43,'Asset Master'!A:B,2,FALSE)</f>
        <v>Oil Refineries-Mumbai</v>
      </c>
      <c r="E43" s="64">
        <f>'Risk Master'!N42</f>
        <v>100000</v>
      </c>
      <c r="H43" s="66">
        <v>0</v>
      </c>
      <c r="I43" s="29">
        <v>0</v>
      </c>
      <c r="J43" s="66">
        <v>0</v>
      </c>
      <c r="K43" s="29">
        <v>0</v>
      </c>
      <c r="L43" s="66">
        <v>0</v>
      </c>
      <c r="M43" s="29">
        <v>0</v>
      </c>
      <c r="N43" s="66">
        <v>0</v>
      </c>
      <c r="O43" s="29">
        <v>0</v>
      </c>
      <c r="P43" s="29">
        <v>0</v>
      </c>
      <c r="Q43" s="66">
        <v>1</v>
      </c>
    </row>
    <row r="44" spans="1:17" ht="12.95" customHeight="1" x14ac:dyDescent="0.2">
      <c r="A44" s="36" t="s">
        <v>342</v>
      </c>
      <c r="B44" s="37" t="str">
        <f>'Risk Master'!C43&amp;"-"&amp;'Risk Master'!D43</f>
        <v>Tsunami-Mumbai</v>
      </c>
      <c r="C44" s="29" t="str">
        <f>'Risk Master'!F43</f>
        <v>A11</v>
      </c>
      <c r="D44" s="37" t="str">
        <f>VLOOKUP(C44,'Asset Master'!A:B,2,FALSE)</f>
        <v>Oil Refineries-Mumbai</v>
      </c>
      <c r="E44" s="64">
        <f>'Risk Master'!N43</f>
        <v>100000</v>
      </c>
      <c r="H44" s="66">
        <v>0</v>
      </c>
      <c r="I44" s="29">
        <v>1</v>
      </c>
      <c r="J44" s="66">
        <v>0</v>
      </c>
      <c r="K44" s="29">
        <v>0</v>
      </c>
      <c r="L44" s="66">
        <v>0</v>
      </c>
      <c r="M44" s="29">
        <v>1</v>
      </c>
      <c r="N44" s="66">
        <v>0</v>
      </c>
      <c r="O44" s="29">
        <v>0</v>
      </c>
      <c r="P44" s="29">
        <v>1</v>
      </c>
      <c r="Q44" s="66">
        <v>0</v>
      </c>
    </row>
    <row r="45" spans="1:17" ht="12.95" customHeight="1" x14ac:dyDescent="0.2">
      <c r="A45" s="36" t="s">
        <v>343</v>
      </c>
      <c r="B45" s="37" t="str">
        <f>'Risk Master'!C44&amp;"-"&amp;'Risk Master'!D44</f>
        <v>Flood-Mumbai</v>
      </c>
      <c r="C45" s="29" t="str">
        <f>'Risk Master'!F44</f>
        <v>A12</v>
      </c>
      <c r="D45" s="37" t="str">
        <f>VLOOKUP(C45,'Asset Master'!A:B,2,FALSE)</f>
        <v>Telecom Towers-Mumbai</v>
      </c>
      <c r="E45" s="64">
        <f>'Risk Master'!N44</f>
        <v>50000</v>
      </c>
      <c r="H45" s="66">
        <v>0</v>
      </c>
      <c r="I45" s="29">
        <v>0</v>
      </c>
      <c r="J45" s="66">
        <v>0</v>
      </c>
      <c r="K45" s="29">
        <v>0</v>
      </c>
      <c r="L45" s="66">
        <v>0</v>
      </c>
      <c r="M45" s="29">
        <v>0</v>
      </c>
      <c r="N45" s="66">
        <v>0</v>
      </c>
      <c r="O45" s="29">
        <v>0</v>
      </c>
      <c r="P45" s="29">
        <v>0</v>
      </c>
      <c r="Q45" s="66">
        <v>1</v>
      </c>
    </row>
    <row r="46" spans="1:17" ht="12.95" customHeight="1" x14ac:dyDescent="0.2">
      <c r="A46" s="36" t="s">
        <v>344</v>
      </c>
      <c r="B46" s="37" t="str">
        <f>'Risk Master'!C45&amp;"-"&amp;'Risk Master'!D45</f>
        <v>Earthquake-Mumbai</v>
      </c>
      <c r="C46" s="29" t="str">
        <f>'Risk Master'!F45</f>
        <v>A12</v>
      </c>
      <c r="D46" s="37" t="str">
        <f>VLOOKUP(C46,'Asset Master'!A:B,2,FALSE)</f>
        <v>Telecom Towers-Mumbai</v>
      </c>
      <c r="E46" s="64">
        <f>'Risk Master'!N45</f>
        <v>50000</v>
      </c>
      <c r="H46" s="66">
        <v>0</v>
      </c>
      <c r="I46" s="29">
        <v>0</v>
      </c>
      <c r="J46" s="66">
        <v>0</v>
      </c>
      <c r="K46" s="29">
        <v>0</v>
      </c>
      <c r="L46" s="66">
        <v>0</v>
      </c>
      <c r="M46" s="29">
        <v>0</v>
      </c>
      <c r="N46" s="66">
        <v>0</v>
      </c>
      <c r="O46" s="29">
        <v>0</v>
      </c>
      <c r="P46" s="29">
        <v>0</v>
      </c>
      <c r="Q46" s="66">
        <v>0</v>
      </c>
    </row>
    <row r="47" spans="1:17" ht="12.95" customHeight="1" x14ac:dyDescent="0.2">
      <c r="A47" s="36" t="s">
        <v>345</v>
      </c>
      <c r="B47" s="37" t="str">
        <f>'Risk Master'!C46&amp;"-"&amp;'Risk Master'!D46</f>
        <v>Fire-Mumbai</v>
      </c>
      <c r="C47" s="29" t="str">
        <f>'Risk Master'!F46</f>
        <v>A12</v>
      </c>
      <c r="D47" s="37" t="str">
        <f>VLOOKUP(C47,'Asset Master'!A:B,2,FALSE)</f>
        <v>Telecom Towers-Mumbai</v>
      </c>
      <c r="E47" s="64">
        <f>'Risk Master'!N46</f>
        <v>50000</v>
      </c>
      <c r="H47" s="66">
        <v>0</v>
      </c>
      <c r="I47" s="29">
        <v>0</v>
      </c>
      <c r="J47" s="66">
        <v>0</v>
      </c>
      <c r="K47" s="29">
        <v>0</v>
      </c>
      <c r="L47" s="66">
        <v>0</v>
      </c>
      <c r="M47" s="29">
        <v>0</v>
      </c>
      <c r="N47" s="66">
        <v>1</v>
      </c>
      <c r="O47" s="29">
        <v>0</v>
      </c>
      <c r="P47" s="29">
        <v>0</v>
      </c>
      <c r="Q47" s="66">
        <v>1</v>
      </c>
    </row>
    <row r="48" spans="1:17" ht="12.95" customHeight="1" x14ac:dyDescent="0.2">
      <c r="A48" s="36" t="s">
        <v>346</v>
      </c>
      <c r="B48" s="37" t="str">
        <f>'Risk Master'!C47&amp;"-"&amp;'Risk Master'!D47</f>
        <v>Typhoon-Mumbai</v>
      </c>
      <c r="C48" s="29" t="str">
        <f>'Risk Master'!F47</f>
        <v>A12</v>
      </c>
      <c r="D48" s="37" t="str">
        <f>VLOOKUP(C48,'Asset Master'!A:B,2,FALSE)</f>
        <v>Telecom Towers-Mumbai</v>
      </c>
      <c r="E48" s="64">
        <f>'Risk Master'!N47</f>
        <v>50000</v>
      </c>
      <c r="H48" s="66">
        <v>0</v>
      </c>
      <c r="I48" s="29">
        <v>0</v>
      </c>
      <c r="J48" s="66">
        <v>0</v>
      </c>
      <c r="K48" s="29">
        <v>0</v>
      </c>
      <c r="L48" s="66">
        <v>0</v>
      </c>
      <c r="M48" s="29">
        <v>0</v>
      </c>
      <c r="N48" s="66">
        <v>0</v>
      </c>
      <c r="O48" s="29">
        <v>0</v>
      </c>
      <c r="P48" s="29">
        <v>0</v>
      </c>
      <c r="Q48" s="66">
        <v>0</v>
      </c>
    </row>
    <row r="49" spans="1:17" ht="12.95" customHeight="1" x14ac:dyDescent="0.2">
      <c r="A49" s="36" t="s">
        <v>347</v>
      </c>
      <c r="B49" s="37" t="str">
        <f>'Risk Master'!C48&amp;"-"&amp;'Risk Master'!D48</f>
        <v>Thunderstorms, Tornados &amp; Hail-Mumbai</v>
      </c>
      <c r="C49" s="29" t="str">
        <f>'Risk Master'!F48</f>
        <v>A12</v>
      </c>
      <c r="D49" s="37" t="str">
        <f>VLOOKUP(C49,'Asset Master'!A:B,2,FALSE)</f>
        <v>Telecom Towers-Mumbai</v>
      </c>
      <c r="E49" s="64">
        <f>'Risk Master'!N48</f>
        <v>50000</v>
      </c>
      <c r="H49" s="66">
        <v>0</v>
      </c>
      <c r="I49" s="29">
        <v>0</v>
      </c>
      <c r="J49" s="66">
        <v>1</v>
      </c>
      <c r="K49" s="29">
        <v>1</v>
      </c>
      <c r="L49" s="66">
        <v>0</v>
      </c>
      <c r="M49" s="29">
        <v>0</v>
      </c>
      <c r="N49" s="66">
        <v>0</v>
      </c>
      <c r="O49" s="29">
        <v>1</v>
      </c>
      <c r="P49" s="29">
        <v>0</v>
      </c>
      <c r="Q49" s="66">
        <v>0</v>
      </c>
    </row>
    <row r="50" spans="1:17" ht="12.95" customHeight="1" x14ac:dyDescent="0.2">
      <c r="A50" s="36" t="s">
        <v>348</v>
      </c>
      <c r="B50" s="37" t="str">
        <f>'Risk Master'!C49&amp;"-"&amp;'Risk Master'!D49</f>
        <v>Tsunami-Mumbai</v>
      </c>
      <c r="C50" s="29" t="str">
        <f>'Risk Master'!F49</f>
        <v>A12</v>
      </c>
      <c r="D50" s="37" t="str">
        <f>VLOOKUP(C50,'Asset Master'!A:B,2,FALSE)</f>
        <v>Telecom Towers-Mumbai</v>
      </c>
      <c r="E50" s="64">
        <f>'Risk Master'!N49</f>
        <v>50000</v>
      </c>
      <c r="H50" s="66">
        <v>0</v>
      </c>
      <c r="I50" s="29">
        <v>0</v>
      </c>
      <c r="J50" s="66">
        <v>0</v>
      </c>
      <c r="K50" s="29">
        <v>0</v>
      </c>
      <c r="L50" s="66">
        <v>0</v>
      </c>
      <c r="M50" s="29">
        <v>0</v>
      </c>
      <c r="N50" s="66">
        <v>0</v>
      </c>
      <c r="O50" s="66">
        <v>1</v>
      </c>
      <c r="P50" s="29">
        <v>0</v>
      </c>
      <c r="Q50" s="66">
        <v>1</v>
      </c>
    </row>
    <row r="51" spans="1:17" ht="12.95" customHeight="1" x14ac:dyDescent="0.2">
      <c r="A51" s="36" t="s">
        <v>349</v>
      </c>
      <c r="B51" s="37" t="str">
        <f>'Risk Master'!C50&amp;"-"&amp;'Risk Master'!D50</f>
        <v>Flood-Mumbai</v>
      </c>
      <c r="C51" s="29" t="str">
        <f>'Risk Master'!F50</f>
        <v>A13</v>
      </c>
      <c r="D51" s="37" t="str">
        <f>VLOOKUP(C51,'Asset Master'!A:B,2,FALSE)</f>
        <v>Aircrafts-Mumbai</v>
      </c>
      <c r="E51" s="64">
        <f>'Risk Master'!N50</f>
        <v>20000</v>
      </c>
      <c r="H51" s="66">
        <v>0</v>
      </c>
      <c r="I51" s="29">
        <v>1</v>
      </c>
      <c r="J51" s="66">
        <v>0</v>
      </c>
      <c r="K51" s="29">
        <v>1</v>
      </c>
      <c r="L51" s="66">
        <v>0</v>
      </c>
      <c r="M51" s="29">
        <v>0</v>
      </c>
      <c r="N51" s="66">
        <v>0</v>
      </c>
      <c r="O51" s="66">
        <v>0</v>
      </c>
      <c r="P51" s="29">
        <v>0</v>
      </c>
      <c r="Q51" s="66">
        <v>0</v>
      </c>
    </row>
    <row r="52" spans="1:17" ht="12.95" customHeight="1" x14ac:dyDescent="0.2">
      <c r="A52" s="36" t="s">
        <v>350</v>
      </c>
      <c r="B52" s="37" t="str">
        <f>'Risk Master'!C51&amp;"-"&amp;'Risk Master'!D51</f>
        <v>Earthquake-Mumbai</v>
      </c>
      <c r="C52" s="29" t="str">
        <f>'Risk Master'!F51</f>
        <v>A13</v>
      </c>
      <c r="D52" s="37" t="str">
        <f>VLOOKUP(C52,'Asset Master'!A:B,2,FALSE)</f>
        <v>Aircrafts-Mumbai</v>
      </c>
      <c r="E52" s="64">
        <f>'Risk Master'!N51</f>
        <v>20000</v>
      </c>
      <c r="H52" s="66">
        <v>0</v>
      </c>
      <c r="I52" s="29">
        <v>1</v>
      </c>
      <c r="J52" s="66">
        <v>1</v>
      </c>
      <c r="K52" s="29">
        <v>0</v>
      </c>
      <c r="L52" s="66">
        <v>0</v>
      </c>
      <c r="M52" s="29">
        <v>0</v>
      </c>
      <c r="N52" s="66">
        <v>0</v>
      </c>
      <c r="O52" s="66">
        <v>1</v>
      </c>
      <c r="P52" s="29">
        <v>0</v>
      </c>
      <c r="Q52" s="66">
        <v>0</v>
      </c>
    </row>
    <row r="53" spans="1:17" ht="12.95" customHeight="1" x14ac:dyDescent="0.2">
      <c r="A53" s="36" t="s">
        <v>351</v>
      </c>
      <c r="B53" s="37" t="str">
        <f>'Risk Master'!C52&amp;"-"&amp;'Risk Master'!D52</f>
        <v>Fire-Mumbai</v>
      </c>
      <c r="C53" s="29" t="str">
        <f>'Risk Master'!F52</f>
        <v>A13</v>
      </c>
      <c r="D53" s="37" t="str">
        <f>VLOOKUP(C53,'Asset Master'!A:B,2,FALSE)</f>
        <v>Aircrafts-Mumbai</v>
      </c>
      <c r="E53" s="64">
        <f>'Risk Master'!N52</f>
        <v>20000</v>
      </c>
      <c r="H53" s="66">
        <v>0</v>
      </c>
      <c r="I53" s="29">
        <v>0</v>
      </c>
      <c r="J53" s="66">
        <v>0</v>
      </c>
      <c r="K53" s="29">
        <v>0</v>
      </c>
      <c r="L53" s="66">
        <v>0</v>
      </c>
      <c r="M53" s="29">
        <v>0</v>
      </c>
      <c r="N53" s="66">
        <v>0</v>
      </c>
      <c r="O53" s="66">
        <v>0</v>
      </c>
      <c r="P53" s="29">
        <v>0</v>
      </c>
      <c r="Q53" s="66">
        <v>0</v>
      </c>
    </row>
    <row r="54" spans="1:17" ht="12.95" customHeight="1" x14ac:dyDescent="0.2">
      <c r="A54" s="36" t="s">
        <v>352</v>
      </c>
      <c r="B54" s="37" t="str">
        <f>'Risk Master'!C53&amp;"-"&amp;'Risk Master'!D53</f>
        <v>Typhoon-Mumbai</v>
      </c>
      <c r="C54" s="29" t="str">
        <f>'Risk Master'!F53</f>
        <v>A13</v>
      </c>
      <c r="D54" s="37" t="str">
        <f>VLOOKUP(C54,'Asset Master'!A:B,2,FALSE)</f>
        <v>Aircrafts-Mumbai</v>
      </c>
      <c r="E54" s="64">
        <f>'Risk Master'!N53</f>
        <v>20000</v>
      </c>
      <c r="H54" s="66">
        <v>1</v>
      </c>
      <c r="I54" s="29">
        <v>1</v>
      </c>
      <c r="J54" s="66">
        <v>1</v>
      </c>
      <c r="K54" s="29">
        <v>0</v>
      </c>
      <c r="L54" s="66">
        <v>1</v>
      </c>
      <c r="M54" s="29">
        <v>0</v>
      </c>
      <c r="N54" s="66">
        <v>0</v>
      </c>
      <c r="O54" s="66">
        <v>1</v>
      </c>
      <c r="P54" s="29">
        <v>0</v>
      </c>
      <c r="Q54" s="66">
        <v>0</v>
      </c>
    </row>
    <row r="55" spans="1:17" ht="12.95" customHeight="1" x14ac:dyDescent="0.2">
      <c r="A55" s="36" t="s">
        <v>353</v>
      </c>
      <c r="B55" s="37" t="str">
        <f>'Risk Master'!C54&amp;"-"&amp;'Risk Master'!D54</f>
        <v>Thunderstorms, Tornados &amp; Hail-Mumbai</v>
      </c>
      <c r="C55" s="29" t="str">
        <f>'Risk Master'!F54</f>
        <v>A13</v>
      </c>
      <c r="D55" s="37" t="str">
        <f>VLOOKUP(C55,'Asset Master'!A:B,2,FALSE)</f>
        <v>Aircrafts-Mumbai</v>
      </c>
      <c r="E55" s="64">
        <f>'Risk Master'!N54</f>
        <v>20000</v>
      </c>
      <c r="H55" s="66">
        <v>0</v>
      </c>
      <c r="I55" s="29">
        <v>0</v>
      </c>
      <c r="J55" s="66">
        <v>0</v>
      </c>
      <c r="K55" s="29">
        <v>0</v>
      </c>
      <c r="L55" s="66">
        <v>1</v>
      </c>
      <c r="M55" s="29">
        <v>0</v>
      </c>
      <c r="N55" s="66">
        <v>0</v>
      </c>
      <c r="O55" s="66">
        <v>0</v>
      </c>
      <c r="P55" s="29">
        <v>0</v>
      </c>
      <c r="Q55" s="66">
        <v>0</v>
      </c>
    </row>
    <row r="56" spans="1:17" ht="12.95" customHeight="1" x14ac:dyDescent="0.2">
      <c r="A56" s="36" t="s">
        <v>354</v>
      </c>
      <c r="B56" s="37" t="str">
        <f>'Risk Master'!C55&amp;"-"&amp;'Risk Master'!D55</f>
        <v>Tsunami-Mumbai</v>
      </c>
      <c r="C56" s="29" t="str">
        <f>'Risk Master'!F55</f>
        <v>A13</v>
      </c>
      <c r="D56" s="37" t="str">
        <f>VLOOKUP(C56,'Asset Master'!A:B,2,FALSE)</f>
        <v>Aircrafts-Mumbai</v>
      </c>
      <c r="E56" s="64">
        <f>'Risk Master'!N55</f>
        <v>20000</v>
      </c>
      <c r="H56" s="66">
        <v>0</v>
      </c>
      <c r="I56" s="29">
        <v>0</v>
      </c>
      <c r="J56" s="66">
        <v>0</v>
      </c>
      <c r="K56" s="29">
        <v>0</v>
      </c>
      <c r="L56" s="66">
        <v>1</v>
      </c>
      <c r="M56" s="29">
        <v>0</v>
      </c>
      <c r="N56" s="66">
        <v>0</v>
      </c>
      <c r="O56" s="66">
        <v>1</v>
      </c>
      <c r="P56" s="29">
        <v>0</v>
      </c>
      <c r="Q56" s="66">
        <v>0</v>
      </c>
    </row>
    <row r="57" spans="1:17" ht="12.95" customHeight="1" x14ac:dyDescent="0.2">
      <c r="A57" s="36" t="s">
        <v>355</v>
      </c>
      <c r="B57" s="37" t="str">
        <f>'Risk Master'!C56&amp;"-"&amp;'Risk Master'!D56</f>
        <v>Flood-Mumbai</v>
      </c>
      <c r="C57" s="29" t="str">
        <f>'Risk Master'!F56</f>
        <v>A14</v>
      </c>
      <c r="D57" s="37" t="str">
        <f>VLOOKUP(C57,'Asset Master'!A:B,2,FALSE)</f>
        <v>Ships &amp; Cargo-Mumbai</v>
      </c>
      <c r="E57" s="64">
        <f>'Risk Master'!N56</f>
        <v>30000</v>
      </c>
      <c r="H57" s="66">
        <v>1</v>
      </c>
      <c r="I57" s="29">
        <v>1</v>
      </c>
      <c r="J57" s="66">
        <v>0</v>
      </c>
      <c r="K57" s="29">
        <v>0</v>
      </c>
      <c r="L57" s="66">
        <v>0</v>
      </c>
      <c r="M57" s="29">
        <v>1</v>
      </c>
      <c r="N57" s="66">
        <v>0</v>
      </c>
      <c r="O57" s="66">
        <v>0</v>
      </c>
      <c r="P57" s="29">
        <v>1</v>
      </c>
      <c r="Q57" s="66">
        <v>1</v>
      </c>
    </row>
    <row r="58" spans="1:17" ht="12.95" customHeight="1" x14ac:dyDescent="0.2">
      <c r="A58" s="36" t="s">
        <v>356</v>
      </c>
      <c r="B58" s="37" t="str">
        <f>'Risk Master'!C57&amp;"-"&amp;'Risk Master'!D57</f>
        <v>Earthquake-Mumbai</v>
      </c>
      <c r="C58" s="29" t="str">
        <f>'Risk Master'!F57</f>
        <v>A14</v>
      </c>
      <c r="D58" s="37" t="str">
        <f>VLOOKUP(C58,'Asset Master'!A:B,2,FALSE)</f>
        <v>Ships &amp; Cargo-Mumbai</v>
      </c>
      <c r="E58" s="64">
        <f>'Risk Master'!N57</f>
        <v>30000</v>
      </c>
      <c r="H58" s="66">
        <v>0</v>
      </c>
      <c r="I58" s="29">
        <v>0</v>
      </c>
      <c r="J58" s="66">
        <v>1</v>
      </c>
      <c r="K58" s="29">
        <v>0</v>
      </c>
      <c r="L58" s="66">
        <v>0</v>
      </c>
      <c r="M58" s="29">
        <v>0</v>
      </c>
      <c r="N58" s="66">
        <v>0</v>
      </c>
      <c r="O58" s="66">
        <v>1</v>
      </c>
      <c r="P58" s="29">
        <v>0</v>
      </c>
      <c r="Q58" s="66">
        <v>0</v>
      </c>
    </row>
    <row r="59" spans="1:17" ht="12.95" customHeight="1" x14ac:dyDescent="0.2">
      <c r="A59" s="36" t="s">
        <v>357</v>
      </c>
      <c r="B59" s="37" t="str">
        <f>'Risk Master'!C58&amp;"-"&amp;'Risk Master'!D58</f>
        <v>Fire-Mumbai</v>
      </c>
      <c r="C59" s="29" t="str">
        <f>'Risk Master'!F58</f>
        <v>A14</v>
      </c>
      <c r="D59" s="37" t="str">
        <f>VLOOKUP(C59,'Asset Master'!A:B,2,FALSE)</f>
        <v>Ships &amp; Cargo-Mumbai</v>
      </c>
      <c r="E59" s="64">
        <f>'Risk Master'!N58</f>
        <v>30000</v>
      </c>
      <c r="H59" s="66">
        <v>0</v>
      </c>
      <c r="I59" s="29">
        <v>0</v>
      </c>
      <c r="J59" s="66">
        <v>0</v>
      </c>
      <c r="K59" s="29">
        <v>0</v>
      </c>
      <c r="L59" s="66">
        <v>0</v>
      </c>
      <c r="M59" s="29">
        <v>0</v>
      </c>
      <c r="N59" s="66">
        <v>0</v>
      </c>
      <c r="O59" s="66">
        <v>0</v>
      </c>
      <c r="P59" s="29">
        <v>0</v>
      </c>
      <c r="Q59" s="66">
        <v>1</v>
      </c>
    </row>
    <row r="60" spans="1:17" ht="12.95" customHeight="1" x14ac:dyDescent="0.2">
      <c r="A60" s="36" t="s">
        <v>358</v>
      </c>
      <c r="B60" s="37" t="str">
        <f>'Risk Master'!C59&amp;"-"&amp;'Risk Master'!D59</f>
        <v>Typhoon-Mumbai</v>
      </c>
      <c r="C60" s="29" t="str">
        <f>'Risk Master'!F59</f>
        <v>A14</v>
      </c>
      <c r="D60" s="37" t="str">
        <f>VLOOKUP(C60,'Asset Master'!A:B,2,FALSE)</f>
        <v>Ships &amp; Cargo-Mumbai</v>
      </c>
      <c r="E60" s="64">
        <f>'Risk Master'!N59</f>
        <v>30000</v>
      </c>
      <c r="H60" s="66">
        <v>1</v>
      </c>
      <c r="I60" s="29">
        <v>1</v>
      </c>
      <c r="J60" s="66">
        <v>1</v>
      </c>
      <c r="K60" s="29">
        <v>0</v>
      </c>
      <c r="L60" s="66">
        <v>0</v>
      </c>
      <c r="M60" s="29">
        <v>1</v>
      </c>
      <c r="N60" s="66">
        <v>0</v>
      </c>
      <c r="O60" s="66">
        <v>0</v>
      </c>
      <c r="P60" s="29">
        <v>1</v>
      </c>
      <c r="Q60" s="66">
        <v>0</v>
      </c>
    </row>
    <row r="61" spans="1:17" ht="12.95" customHeight="1" x14ac:dyDescent="0.2">
      <c r="A61" s="36" t="s">
        <v>359</v>
      </c>
      <c r="B61" s="37" t="str">
        <f>'Risk Master'!C60&amp;"-"&amp;'Risk Master'!D60</f>
        <v>Thunderstorms, Tornados &amp; Hail-Mumbai</v>
      </c>
      <c r="C61" s="29" t="str">
        <f>'Risk Master'!F60</f>
        <v>A14</v>
      </c>
      <c r="D61" s="37" t="str">
        <f>VLOOKUP(C61,'Asset Master'!A:B,2,FALSE)</f>
        <v>Ships &amp; Cargo-Mumbai</v>
      </c>
      <c r="E61" s="64">
        <f>'Risk Master'!N60</f>
        <v>30000</v>
      </c>
      <c r="H61" s="66">
        <v>0</v>
      </c>
      <c r="I61" s="29">
        <v>0</v>
      </c>
      <c r="J61" s="66">
        <v>0</v>
      </c>
      <c r="K61" s="29">
        <v>0</v>
      </c>
      <c r="L61" s="66">
        <v>0</v>
      </c>
      <c r="M61" s="29">
        <v>0</v>
      </c>
      <c r="N61" s="66">
        <v>0</v>
      </c>
      <c r="O61" s="66">
        <v>0</v>
      </c>
      <c r="P61" s="29">
        <v>0</v>
      </c>
      <c r="Q61" s="66">
        <v>1</v>
      </c>
    </row>
    <row r="62" spans="1:17" ht="12.95" customHeight="1" x14ac:dyDescent="0.2">
      <c r="A62" s="36" t="s">
        <v>360</v>
      </c>
      <c r="B62" s="37" t="str">
        <f>'Risk Master'!C61&amp;"-"&amp;'Risk Master'!D61</f>
        <v>Tsunami-Mumbai</v>
      </c>
      <c r="C62" s="29" t="str">
        <f>'Risk Master'!F61</f>
        <v>A14</v>
      </c>
      <c r="D62" s="37" t="str">
        <f>VLOOKUP(C62,'Asset Master'!A:B,2,FALSE)</f>
        <v>Ships &amp; Cargo-Mumbai</v>
      </c>
      <c r="E62" s="64">
        <f>'Risk Master'!N61</f>
        <v>30000</v>
      </c>
      <c r="H62" s="66">
        <v>0</v>
      </c>
      <c r="I62" s="29">
        <v>0</v>
      </c>
      <c r="J62" s="66">
        <v>0</v>
      </c>
      <c r="K62" s="29">
        <v>0</v>
      </c>
      <c r="L62" s="66">
        <v>1</v>
      </c>
      <c r="M62" s="29">
        <v>0</v>
      </c>
      <c r="N62" s="66">
        <v>0</v>
      </c>
      <c r="O62" s="66">
        <v>0</v>
      </c>
      <c r="P62" s="29">
        <v>0</v>
      </c>
      <c r="Q62" s="66">
        <v>0</v>
      </c>
    </row>
    <row r="63" spans="1:17" ht="12.95" customHeight="1" x14ac:dyDescent="0.2">
      <c r="A63" s="36" t="s">
        <v>361</v>
      </c>
      <c r="B63" s="37" t="str">
        <f>'Risk Master'!C62&amp;"-"&amp;'Risk Master'!D62</f>
        <v>Flood-Mumbai</v>
      </c>
      <c r="C63" s="29" t="str">
        <f>'Risk Master'!F62</f>
        <v>A15</v>
      </c>
      <c r="D63" s="37" t="str">
        <f>VLOOKUP(C63,'Asset Master'!A:B,2,FALSE)</f>
        <v>Fleets &amp; Cars-Mumbai</v>
      </c>
      <c r="E63" s="64">
        <f>'Risk Master'!N62</f>
        <v>20000</v>
      </c>
      <c r="H63" s="66">
        <v>0</v>
      </c>
      <c r="I63" s="29">
        <v>1</v>
      </c>
      <c r="J63" s="66">
        <v>0</v>
      </c>
      <c r="K63" s="29">
        <v>0</v>
      </c>
      <c r="L63" s="66">
        <v>0</v>
      </c>
      <c r="M63" s="29">
        <v>0</v>
      </c>
      <c r="N63" s="66">
        <v>0</v>
      </c>
      <c r="O63" s="66">
        <v>0</v>
      </c>
      <c r="P63" s="29">
        <v>1</v>
      </c>
      <c r="Q63" s="66">
        <v>0</v>
      </c>
    </row>
    <row r="64" spans="1:17" ht="12.95" customHeight="1" x14ac:dyDescent="0.2">
      <c r="A64" s="36" t="s">
        <v>362</v>
      </c>
      <c r="B64" s="37" t="str">
        <f>'Risk Master'!C63&amp;"-"&amp;'Risk Master'!D63</f>
        <v>Earthquake-Mumbai</v>
      </c>
      <c r="C64" s="29" t="str">
        <f>'Risk Master'!F63</f>
        <v>A15</v>
      </c>
      <c r="D64" s="37" t="str">
        <f>VLOOKUP(C64,'Asset Master'!A:B,2,FALSE)</f>
        <v>Fleets &amp; Cars-Mumbai</v>
      </c>
      <c r="E64" s="64">
        <f>'Risk Master'!N63</f>
        <v>20000</v>
      </c>
      <c r="H64" s="66">
        <v>1</v>
      </c>
      <c r="I64" s="29">
        <v>0</v>
      </c>
      <c r="J64" s="66">
        <v>0</v>
      </c>
      <c r="K64" s="29">
        <v>0</v>
      </c>
      <c r="L64" s="66">
        <v>0</v>
      </c>
      <c r="M64" s="29">
        <v>1</v>
      </c>
      <c r="N64" s="66">
        <v>0</v>
      </c>
      <c r="O64" s="66">
        <v>0</v>
      </c>
      <c r="P64" s="29">
        <v>1</v>
      </c>
      <c r="Q64" s="66">
        <v>1</v>
      </c>
    </row>
    <row r="65" spans="1:17" ht="12.95" customHeight="1" x14ac:dyDescent="0.2">
      <c r="A65" s="36" t="s">
        <v>363</v>
      </c>
      <c r="B65" s="37" t="str">
        <f>'Risk Master'!C64&amp;"-"&amp;'Risk Master'!D64</f>
        <v>Fire-Mumbai</v>
      </c>
      <c r="C65" s="29" t="str">
        <f>'Risk Master'!F64</f>
        <v>A15</v>
      </c>
      <c r="D65" s="37" t="str">
        <f>VLOOKUP(C65,'Asset Master'!A:B,2,FALSE)</f>
        <v>Fleets &amp; Cars-Mumbai</v>
      </c>
      <c r="E65" s="64">
        <f>'Risk Master'!N64</f>
        <v>20000</v>
      </c>
      <c r="H65" s="66">
        <v>0</v>
      </c>
      <c r="I65" s="29">
        <v>1</v>
      </c>
      <c r="J65" s="66">
        <v>0</v>
      </c>
      <c r="K65" s="29">
        <v>0</v>
      </c>
      <c r="L65" s="66">
        <v>0</v>
      </c>
      <c r="M65" s="29">
        <v>0</v>
      </c>
      <c r="N65" s="66">
        <v>0</v>
      </c>
      <c r="O65" s="66">
        <v>0</v>
      </c>
      <c r="P65" s="29">
        <v>1</v>
      </c>
      <c r="Q65" s="66">
        <v>0</v>
      </c>
    </row>
    <row r="66" spans="1:17" ht="12.95" customHeight="1" x14ac:dyDescent="0.2">
      <c r="A66" s="36" t="s">
        <v>364</v>
      </c>
      <c r="B66" s="37" t="str">
        <f>'Risk Master'!C65&amp;"-"&amp;'Risk Master'!D65</f>
        <v>Typhoon-Mumbai</v>
      </c>
      <c r="C66" s="29" t="str">
        <f>'Risk Master'!F65</f>
        <v>A15</v>
      </c>
      <c r="D66" s="37" t="str">
        <f>VLOOKUP(C66,'Asset Master'!A:B,2,FALSE)</f>
        <v>Fleets &amp; Cars-Mumbai</v>
      </c>
      <c r="E66" s="64">
        <f>'Risk Master'!N65</f>
        <v>20000</v>
      </c>
      <c r="H66" s="66">
        <v>0</v>
      </c>
      <c r="I66" s="29">
        <v>0</v>
      </c>
      <c r="J66" s="66">
        <v>0</v>
      </c>
      <c r="K66" s="29">
        <v>0</v>
      </c>
      <c r="L66" s="66">
        <v>0</v>
      </c>
      <c r="M66" s="29">
        <v>0</v>
      </c>
      <c r="N66" s="66">
        <v>1</v>
      </c>
      <c r="O66" s="29">
        <v>0</v>
      </c>
      <c r="P66" s="29">
        <v>0</v>
      </c>
      <c r="Q66" s="66">
        <v>0</v>
      </c>
    </row>
    <row r="67" spans="1:17" ht="12.95" customHeight="1" x14ac:dyDescent="0.2">
      <c r="A67" s="36" t="s">
        <v>365</v>
      </c>
      <c r="B67" s="37" t="str">
        <f>'Risk Master'!C66&amp;"-"&amp;'Risk Master'!D66</f>
        <v>Thunderstorms, Tornados &amp; Hail-Mumbai</v>
      </c>
      <c r="C67" s="29" t="str">
        <f>'Risk Master'!F66</f>
        <v>A15</v>
      </c>
      <c r="D67" s="37" t="str">
        <f>VLOOKUP(C67,'Asset Master'!A:B,2,FALSE)</f>
        <v>Fleets &amp; Cars-Mumbai</v>
      </c>
      <c r="E67" s="64">
        <f>'Risk Master'!N66</f>
        <v>20000</v>
      </c>
      <c r="H67" s="66">
        <v>1</v>
      </c>
      <c r="I67" s="29">
        <v>0</v>
      </c>
      <c r="J67" s="66">
        <v>0</v>
      </c>
      <c r="K67" s="29">
        <v>0</v>
      </c>
      <c r="L67" s="66">
        <v>0</v>
      </c>
      <c r="M67" s="29">
        <v>0</v>
      </c>
      <c r="N67" s="66">
        <v>0</v>
      </c>
      <c r="O67" s="29">
        <v>0</v>
      </c>
      <c r="P67" s="29">
        <v>0</v>
      </c>
      <c r="Q67" s="66">
        <v>0</v>
      </c>
    </row>
    <row r="68" spans="1:17" ht="12.95" customHeight="1" x14ac:dyDescent="0.2">
      <c r="A68" s="36" t="s">
        <v>366</v>
      </c>
      <c r="B68" s="37" t="str">
        <f>'Risk Master'!C67&amp;"-"&amp;'Risk Master'!D67</f>
        <v>Tsunami-Mumbai</v>
      </c>
      <c r="C68" s="29" t="str">
        <f>'Risk Master'!F67</f>
        <v>A15</v>
      </c>
      <c r="D68" s="37" t="str">
        <f>VLOOKUP(C68,'Asset Master'!A:B,2,FALSE)</f>
        <v>Fleets &amp; Cars-Mumbai</v>
      </c>
      <c r="E68" s="64">
        <f>'Risk Master'!N67</f>
        <v>20000</v>
      </c>
      <c r="H68" s="66">
        <v>0</v>
      </c>
      <c r="I68" s="29">
        <v>1</v>
      </c>
      <c r="J68" s="66">
        <v>0</v>
      </c>
      <c r="K68" s="29">
        <v>0</v>
      </c>
      <c r="L68" s="66">
        <v>1</v>
      </c>
      <c r="M68" s="29">
        <v>0</v>
      </c>
      <c r="N68" s="66">
        <v>0</v>
      </c>
      <c r="O68" s="29">
        <v>0</v>
      </c>
      <c r="P68" s="29">
        <v>1</v>
      </c>
      <c r="Q68" s="66">
        <v>0</v>
      </c>
    </row>
    <row r="69" spans="1:17" ht="12.95" customHeight="1" x14ac:dyDescent="0.2">
      <c r="A69" s="36" t="s">
        <v>367</v>
      </c>
      <c r="B69" s="37" t="str">
        <f>'Risk Master'!C68&amp;"-"&amp;'Risk Master'!D68</f>
        <v>Hurricane-Typhoon -Germany</v>
      </c>
      <c r="C69" s="29" t="str">
        <f>'Risk Master'!F68</f>
        <v>A16</v>
      </c>
      <c r="D69" s="37" t="str">
        <f>VLOOKUP(C69,'Asset Master'!A:B,2,FALSE)</f>
        <v>Heavy Machinery-Germany</v>
      </c>
      <c r="E69" s="64">
        <f>'Risk Master'!N68</f>
        <v>30000</v>
      </c>
      <c r="H69" s="66">
        <v>1</v>
      </c>
      <c r="I69" s="29">
        <v>0</v>
      </c>
      <c r="J69" s="66">
        <v>0</v>
      </c>
      <c r="K69" s="29">
        <v>0</v>
      </c>
      <c r="L69" s="66">
        <v>0</v>
      </c>
      <c r="M69" s="29">
        <v>0</v>
      </c>
      <c r="N69" s="66">
        <v>0</v>
      </c>
      <c r="O69" s="29">
        <v>0</v>
      </c>
      <c r="P69" s="29">
        <v>0</v>
      </c>
      <c r="Q69" s="66">
        <v>0</v>
      </c>
    </row>
    <row r="70" spans="1:17" ht="12.95" customHeight="1" x14ac:dyDescent="0.2">
      <c r="A70" s="36" t="s">
        <v>368</v>
      </c>
      <c r="B70" s="37" t="str">
        <f>'Risk Master'!C69&amp;"-"&amp;'Risk Master'!D69</f>
        <v>Earthquake-Germany</v>
      </c>
      <c r="C70" s="29" t="str">
        <f>'Risk Master'!F69</f>
        <v>A16</v>
      </c>
      <c r="D70" s="37" t="str">
        <f>VLOOKUP(C70,'Asset Master'!A:B,2,FALSE)</f>
        <v>Heavy Machinery-Germany</v>
      </c>
      <c r="E70" s="64">
        <f>'Risk Master'!N69</f>
        <v>30000</v>
      </c>
      <c r="H70" s="66">
        <v>0</v>
      </c>
      <c r="I70" s="29">
        <v>1</v>
      </c>
      <c r="J70" s="66">
        <v>0</v>
      </c>
      <c r="K70" s="29">
        <v>0</v>
      </c>
      <c r="L70" s="66">
        <v>0</v>
      </c>
      <c r="M70" s="29">
        <v>1</v>
      </c>
      <c r="N70" s="66">
        <v>0</v>
      </c>
      <c r="O70" s="66">
        <v>1</v>
      </c>
      <c r="P70" s="29">
        <v>1</v>
      </c>
      <c r="Q70" s="66">
        <v>0</v>
      </c>
    </row>
    <row r="71" spans="1:17" ht="12.95" customHeight="1" x14ac:dyDescent="0.2">
      <c r="A71" s="36" t="s">
        <v>369</v>
      </c>
      <c r="B71" s="37" t="str">
        <f>'Risk Master'!C70&amp;"-"&amp;'Risk Master'!D70</f>
        <v>Fire-Germany</v>
      </c>
      <c r="C71" s="29" t="str">
        <f>'Risk Master'!F70</f>
        <v>A16</v>
      </c>
      <c r="D71" s="37" t="str">
        <f>VLOOKUP(C71,'Asset Master'!A:B,2,FALSE)</f>
        <v>Heavy Machinery-Germany</v>
      </c>
      <c r="E71" s="64">
        <f>'Risk Master'!N70</f>
        <v>30000</v>
      </c>
      <c r="H71" s="66">
        <v>1</v>
      </c>
      <c r="I71" s="29">
        <v>0</v>
      </c>
      <c r="J71" s="66">
        <v>0</v>
      </c>
      <c r="K71" s="29">
        <v>0</v>
      </c>
      <c r="L71" s="66">
        <v>1</v>
      </c>
      <c r="M71" s="29">
        <v>0</v>
      </c>
      <c r="N71" s="66">
        <v>0</v>
      </c>
      <c r="O71" s="66">
        <v>0</v>
      </c>
      <c r="P71" s="29">
        <v>0</v>
      </c>
      <c r="Q71" s="66">
        <v>0</v>
      </c>
    </row>
    <row r="72" spans="1:17" ht="12.95" customHeight="1" x14ac:dyDescent="0.2">
      <c r="A72" s="36" t="s">
        <v>370</v>
      </c>
      <c r="B72" s="37" t="str">
        <f>'Risk Master'!C71&amp;"-"&amp;'Risk Master'!D71</f>
        <v>Thunderstorms, Tornados &amp; Hail-Germany</v>
      </c>
      <c r="C72" s="29" t="str">
        <f>'Risk Master'!F71</f>
        <v>A16</v>
      </c>
      <c r="D72" s="37" t="str">
        <f>VLOOKUP(C72,'Asset Master'!A:B,2,FALSE)</f>
        <v>Heavy Machinery-Germany</v>
      </c>
      <c r="E72" s="64">
        <f>'Risk Master'!N71</f>
        <v>30000</v>
      </c>
      <c r="H72" s="66">
        <v>1</v>
      </c>
      <c r="I72" s="29">
        <v>0</v>
      </c>
      <c r="J72" s="66">
        <v>0</v>
      </c>
      <c r="K72" s="29">
        <v>0</v>
      </c>
      <c r="L72" s="66">
        <v>0</v>
      </c>
      <c r="M72" s="29">
        <v>0</v>
      </c>
      <c r="N72" s="66">
        <v>0</v>
      </c>
      <c r="O72" s="66">
        <v>1</v>
      </c>
      <c r="P72" s="29">
        <v>0</v>
      </c>
      <c r="Q72" s="66">
        <v>0</v>
      </c>
    </row>
    <row r="73" spans="1:17" ht="12.95" customHeight="1" x14ac:dyDescent="0.2">
      <c r="A73" s="36" t="s">
        <v>371</v>
      </c>
      <c r="B73" s="37" t="str">
        <f>'Risk Master'!C72&amp;"-"&amp;'Risk Master'!D72</f>
        <v>Hurricane-Typhoon -Germany</v>
      </c>
      <c r="C73" s="29" t="str">
        <f>'Risk Master'!F72</f>
        <v>A19</v>
      </c>
      <c r="D73" s="37" t="str">
        <f>VLOOKUP(C73,'Asset Master'!A:B,2,FALSE)</f>
        <v>Property (Office Locations)-Germany</v>
      </c>
      <c r="E73" s="64">
        <f>'Risk Master'!N72</f>
        <v>50000</v>
      </c>
      <c r="H73" s="66">
        <v>1</v>
      </c>
      <c r="I73" s="29">
        <v>0</v>
      </c>
      <c r="J73" s="66">
        <v>0</v>
      </c>
      <c r="K73" s="29">
        <v>0</v>
      </c>
      <c r="L73" s="66">
        <v>0</v>
      </c>
      <c r="M73" s="29">
        <v>0</v>
      </c>
      <c r="N73" s="66">
        <v>1</v>
      </c>
      <c r="O73" s="66">
        <v>0</v>
      </c>
      <c r="P73" s="29">
        <v>0</v>
      </c>
      <c r="Q73" s="66">
        <v>0</v>
      </c>
    </row>
    <row r="74" spans="1:17" ht="12.95" customHeight="1" x14ac:dyDescent="0.2">
      <c r="A74" s="36" t="s">
        <v>372</v>
      </c>
      <c r="B74" s="37" t="str">
        <f>'Risk Master'!C73&amp;"-"&amp;'Risk Master'!D73</f>
        <v>Earthquake-Germany</v>
      </c>
      <c r="C74" s="29" t="str">
        <f>'Risk Master'!F73</f>
        <v>A19</v>
      </c>
      <c r="D74" s="37" t="str">
        <f>VLOOKUP(C74,'Asset Master'!A:B,2,FALSE)</f>
        <v>Property (Office Locations)-Germany</v>
      </c>
      <c r="E74" s="64">
        <f>'Risk Master'!N73</f>
        <v>50000</v>
      </c>
      <c r="H74" s="66">
        <v>0</v>
      </c>
      <c r="I74" s="29">
        <v>0</v>
      </c>
      <c r="J74" s="66">
        <v>0</v>
      </c>
      <c r="K74" s="29">
        <v>1</v>
      </c>
      <c r="L74" s="66">
        <v>0</v>
      </c>
      <c r="M74" s="29">
        <v>0</v>
      </c>
      <c r="N74" s="66">
        <v>0</v>
      </c>
      <c r="O74" s="66">
        <v>1</v>
      </c>
      <c r="P74" s="29">
        <v>0</v>
      </c>
      <c r="Q74" s="66">
        <v>0</v>
      </c>
    </row>
    <row r="75" spans="1:17" ht="12.95" customHeight="1" x14ac:dyDescent="0.2">
      <c r="A75" s="36" t="s">
        <v>373</v>
      </c>
      <c r="B75" s="37" t="str">
        <f>'Risk Master'!C74&amp;"-"&amp;'Risk Master'!D74</f>
        <v>Fire-Germany</v>
      </c>
      <c r="C75" s="29" t="str">
        <f>'Risk Master'!F74</f>
        <v>A19</v>
      </c>
      <c r="D75" s="37" t="str">
        <f>VLOOKUP(C75,'Asset Master'!A:B,2,FALSE)</f>
        <v>Property (Office Locations)-Germany</v>
      </c>
      <c r="E75" s="64">
        <f>'Risk Master'!N74</f>
        <v>50000</v>
      </c>
      <c r="H75" s="66">
        <v>1</v>
      </c>
      <c r="I75" s="29">
        <v>0</v>
      </c>
      <c r="J75" s="66">
        <v>0</v>
      </c>
      <c r="K75" s="29">
        <v>0</v>
      </c>
      <c r="L75" s="66">
        <v>0</v>
      </c>
      <c r="M75" s="29">
        <v>0</v>
      </c>
      <c r="N75" s="66">
        <v>0</v>
      </c>
      <c r="O75" s="66">
        <v>0</v>
      </c>
      <c r="P75" s="29">
        <v>0</v>
      </c>
      <c r="Q75" s="66">
        <v>1</v>
      </c>
    </row>
    <row r="76" spans="1:17" ht="12.95" customHeight="1" x14ac:dyDescent="0.2">
      <c r="A76" s="36" t="s">
        <v>374</v>
      </c>
      <c r="B76" s="37" t="str">
        <f>'Risk Master'!C75&amp;"-"&amp;'Risk Master'!D75</f>
        <v>Thunderstorms, Tornados &amp; Hail-Germany</v>
      </c>
      <c r="C76" s="29" t="str">
        <f>'Risk Master'!F75</f>
        <v>A19</v>
      </c>
      <c r="D76" s="37" t="str">
        <f>VLOOKUP(C76,'Asset Master'!A:B,2,FALSE)</f>
        <v>Property (Office Locations)-Germany</v>
      </c>
      <c r="E76" s="64">
        <f>'Risk Master'!N75</f>
        <v>50000</v>
      </c>
      <c r="H76" s="66">
        <v>0</v>
      </c>
      <c r="I76" s="29">
        <v>1</v>
      </c>
      <c r="J76" s="66">
        <v>0</v>
      </c>
      <c r="K76" s="29">
        <v>0</v>
      </c>
      <c r="L76" s="66">
        <v>0</v>
      </c>
      <c r="M76" s="29">
        <v>1</v>
      </c>
      <c r="N76" s="66">
        <v>0</v>
      </c>
      <c r="O76" s="66">
        <v>1</v>
      </c>
      <c r="P76" s="29">
        <v>0</v>
      </c>
      <c r="Q76" s="66">
        <v>1</v>
      </c>
    </row>
    <row r="77" spans="1:17" ht="12.95" customHeight="1" x14ac:dyDescent="0.2">
      <c r="A77" s="36" t="s">
        <v>375</v>
      </c>
      <c r="B77" s="37" t="str">
        <f>'Risk Master'!C76&amp;"-"&amp;'Risk Master'!D76</f>
        <v>Hurricane-Typhoon -Germany</v>
      </c>
      <c r="C77" s="29" t="str">
        <f>'Risk Master'!F76</f>
        <v>A22</v>
      </c>
      <c r="D77" s="37" t="str">
        <f>VLOOKUP(C77,'Asset Master'!A:B,2,FALSE)</f>
        <v>Hotels &amp; Resorts-Germany</v>
      </c>
      <c r="E77" s="64">
        <f>'Risk Master'!N76</f>
        <v>100000</v>
      </c>
      <c r="H77" s="66">
        <v>0</v>
      </c>
      <c r="I77" s="29">
        <v>1</v>
      </c>
      <c r="J77" s="66">
        <v>0</v>
      </c>
      <c r="K77" s="29">
        <v>0</v>
      </c>
      <c r="L77" s="66">
        <v>0</v>
      </c>
      <c r="M77" s="29">
        <v>1</v>
      </c>
      <c r="N77" s="66">
        <v>0</v>
      </c>
      <c r="O77" s="66">
        <v>0</v>
      </c>
      <c r="P77" s="29">
        <v>1</v>
      </c>
      <c r="Q77" s="66">
        <v>0</v>
      </c>
    </row>
    <row r="78" spans="1:17" ht="12.95" customHeight="1" x14ac:dyDescent="0.2">
      <c r="A78" s="36" t="s">
        <v>376</v>
      </c>
      <c r="B78" s="37" t="str">
        <f>'Risk Master'!C77&amp;"-"&amp;'Risk Master'!D77</f>
        <v>Earthquake-Germany</v>
      </c>
      <c r="C78" s="29" t="str">
        <f>'Risk Master'!F77</f>
        <v>A22</v>
      </c>
      <c r="D78" s="37" t="str">
        <f>VLOOKUP(C78,'Asset Master'!A:B,2,FALSE)</f>
        <v>Hotels &amp; Resorts-Germany</v>
      </c>
      <c r="E78" s="64">
        <f>'Risk Master'!N77</f>
        <v>100000</v>
      </c>
      <c r="H78" s="66">
        <v>0</v>
      </c>
      <c r="I78" s="29">
        <v>1</v>
      </c>
      <c r="J78" s="66">
        <v>0</v>
      </c>
      <c r="K78" s="29">
        <v>0</v>
      </c>
      <c r="L78" s="66">
        <v>1</v>
      </c>
      <c r="M78" s="29">
        <v>0</v>
      </c>
      <c r="N78" s="66">
        <v>0</v>
      </c>
      <c r="O78" s="66">
        <v>1</v>
      </c>
      <c r="P78" s="29">
        <v>0</v>
      </c>
      <c r="Q78" s="66">
        <v>1</v>
      </c>
    </row>
    <row r="79" spans="1:17" ht="12.95" customHeight="1" x14ac:dyDescent="0.2">
      <c r="A79" s="36" t="s">
        <v>377</v>
      </c>
      <c r="B79" s="37" t="str">
        <f>'Risk Master'!C78&amp;"-"&amp;'Risk Master'!D78</f>
        <v>Fire-Germany</v>
      </c>
      <c r="C79" s="29" t="str">
        <f>'Risk Master'!F78</f>
        <v>A22</v>
      </c>
      <c r="D79" s="37" t="str">
        <f>VLOOKUP(C79,'Asset Master'!A:B,2,FALSE)</f>
        <v>Hotels &amp; Resorts-Germany</v>
      </c>
      <c r="E79" s="64">
        <f>'Risk Master'!N78</f>
        <v>100000</v>
      </c>
      <c r="H79" s="66">
        <v>0</v>
      </c>
      <c r="I79" s="29">
        <v>1</v>
      </c>
      <c r="J79" s="66">
        <v>0</v>
      </c>
      <c r="K79" s="29">
        <v>1</v>
      </c>
      <c r="L79" s="66">
        <v>0</v>
      </c>
      <c r="M79" s="29">
        <v>1</v>
      </c>
      <c r="N79" s="66">
        <v>0</v>
      </c>
      <c r="O79" s="66">
        <v>0</v>
      </c>
      <c r="P79" s="29">
        <v>0</v>
      </c>
      <c r="Q79" s="66">
        <v>0</v>
      </c>
    </row>
    <row r="80" spans="1:17" ht="12.95" customHeight="1" x14ac:dyDescent="0.2">
      <c r="A80" s="36" t="s">
        <v>378</v>
      </c>
      <c r="B80" s="37" t="str">
        <f>'Risk Master'!C79&amp;"-"&amp;'Risk Master'!D79</f>
        <v>Thunderstorms, Tornados &amp; Hail-Germany</v>
      </c>
      <c r="C80" s="29" t="str">
        <f>'Risk Master'!F79</f>
        <v>A22</v>
      </c>
      <c r="D80" s="37" t="str">
        <f>VLOOKUP(C80,'Asset Master'!A:B,2,FALSE)</f>
        <v>Hotels &amp; Resorts-Germany</v>
      </c>
      <c r="E80" s="64">
        <f>'Risk Master'!N79</f>
        <v>100000</v>
      </c>
      <c r="H80" s="66">
        <v>0</v>
      </c>
      <c r="I80" s="29">
        <v>0</v>
      </c>
      <c r="J80" s="66">
        <v>0</v>
      </c>
      <c r="K80" s="29">
        <v>0</v>
      </c>
      <c r="L80" s="66">
        <v>0</v>
      </c>
      <c r="M80" s="29">
        <v>0</v>
      </c>
      <c r="N80" s="66">
        <v>0</v>
      </c>
      <c r="O80" s="66">
        <v>0</v>
      </c>
      <c r="P80" s="29">
        <v>0</v>
      </c>
      <c r="Q80" s="66">
        <v>0</v>
      </c>
    </row>
    <row r="81" spans="1:17" ht="12.95" customHeight="1" x14ac:dyDescent="0.2">
      <c r="A81" s="36" t="s">
        <v>379</v>
      </c>
      <c r="B81" s="37" t="str">
        <f>'Risk Master'!C80&amp;"-"&amp;'Risk Master'!D80</f>
        <v>Hurricane-Typhoon -Germany</v>
      </c>
      <c r="C81" s="29" t="str">
        <f>'Risk Master'!F80</f>
        <v>A23</v>
      </c>
      <c r="D81" s="37" t="str">
        <f>VLOOKUP(C81,'Asset Master'!A:B,2,FALSE)</f>
        <v>Supermarkets &amp; Malls-Germany</v>
      </c>
      <c r="E81" s="64">
        <f>'Risk Master'!N80</f>
        <v>30000</v>
      </c>
      <c r="H81" s="66">
        <v>0</v>
      </c>
      <c r="I81" s="29">
        <v>0</v>
      </c>
      <c r="J81" s="66">
        <v>0</v>
      </c>
      <c r="K81" s="29">
        <v>0</v>
      </c>
      <c r="L81" s="66">
        <v>0</v>
      </c>
      <c r="M81" s="29">
        <v>1</v>
      </c>
      <c r="N81" s="66">
        <v>0</v>
      </c>
      <c r="O81" s="66">
        <v>0</v>
      </c>
      <c r="P81" s="29">
        <v>1</v>
      </c>
      <c r="Q81" s="66">
        <v>1</v>
      </c>
    </row>
    <row r="82" spans="1:17" ht="12.95" customHeight="1" x14ac:dyDescent="0.2">
      <c r="A82" s="36" t="s">
        <v>380</v>
      </c>
      <c r="B82" s="37" t="str">
        <f>'Risk Master'!C81&amp;"-"&amp;'Risk Master'!D81</f>
        <v>Earthquake-Germany</v>
      </c>
      <c r="C82" s="29" t="str">
        <f>'Risk Master'!F81</f>
        <v>A23</v>
      </c>
      <c r="D82" s="37" t="str">
        <f>VLOOKUP(C82,'Asset Master'!A:B,2,FALSE)</f>
        <v>Supermarkets &amp; Malls-Germany</v>
      </c>
      <c r="E82" s="64">
        <f>'Risk Master'!N81</f>
        <v>30000</v>
      </c>
      <c r="H82" s="66">
        <v>0</v>
      </c>
      <c r="I82" s="29">
        <v>0</v>
      </c>
      <c r="J82" s="66">
        <v>0</v>
      </c>
      <c r="K82" s="29">
        <v>0</v>
      </c>
      <c r="L82" s="66">
        <v>0</v>
      </c>
      <c r="M82" s="29">
        <v>0</v>
      </c>
      <c r="N82" s="66">
        <v>1</v>
      </c>
      <c r="O82" s="66">
        <v>0</v>
      </c>
      <c r="P82" s="29">
        <v>1</v>
      </c>
      <c r="Q82" s="66">
        <v>0</v>
      </c>
    </row>
    <row r="83" spans="1:17" ht="12.95" customHeight="1" x14ac:dyDescent="0.2">
      <c r="A83" s="36" t="s">
        <v>381</v>
      </c>
      <c r="B83" s="37" t="str">
        <f>'Risk Master'!C82&amp;"-"&amp;'Risk Master'!D82</f>
        <v>Fire-Germany</v>
      </c>
      <c r="C83" s="29" t="str">
        <f>'Risk Master'!F82</f>
        <v>A23</v>
      </c>
      <c r="D83" s="37" t="str">
        <f>VLOOKUP(C83,'Asset Master'!A:B,2,FALSE)</f>
        <v>Supermarkets &amp; Malls-Germany</v>
      </c>
      <c r="E83" s="64">
        <f>'Risk Master'!N82</f>
        <v>30000</v>
      </c>
      <c r="H83" s="66">
        <v>0</v>
      </c>
      <c r="I83" s="29">
        <v>0</v>
      </c>
      <c r="J83" s="66">
        <v>1</v>
      </c>
      <c r="K83" s="29">
        <v>0</v>
      </c>
      <c r="L83" s="66">
        <v>0</v>
      </c>
      <c r="M83" s="29">
        <v>1</v>
      </c>
      <c r="N83" s="66">
        <v>0</v>
      </c>
      <c r="O83" s="66">
        <v>0</v>
      </c>
      <c r="P83" s="29">
        <v>1</v>
      </c>
      <c r="Q83" s="66">
        <v>0</v>
      </c>
    </row>
    <row r="84" spans="1:17" ht="12.95" customHeight="1" x14ac:dyDescent="0.2">
      <c r="A84" s="36" t="s">
        <v>382</v>
      </c>
      <c r="B84" s="37" t="str">
        <f>'Risk Master'!C83&amp;"-"&amp;'Risk Master'!D83</f>
        <v>Thunderstorms, Tornados &amp; Hail-Germany</v>
      </c>
      <c r="C84" s="29" t="str">
        <f>'Risk Master'!F83</f>
        <v>A23</v>
      </c>
      <c r="D84" s="37" t="str">
        <f>VLOOKUP(C84,'Asset Master'!A:B,2,FALSE)</f>
        <v>Supermarkets &amp; Malls-Germany</v>
      </c>
      <c r="E84" s="64">
        <f>'Risk Master'!N83</f>
        <v>30000</v>
      </c>
      <c r="H84" s="66">
        <v>0</v>
      </c>
      <c r="I84" s="29">
        <v>0</v>
      </c>
      <c r="J84" s="66">
        <v>0</v>
      </c>
      <c r="K84" s="29">
        <v>0</v>
      </c>
      <c r="L84" s="66">
        <v>0</v>
      </c>
      <c r="M84" s="29">
        <v>0</v>
      </c>
      <c r="N84" s="66">
        <v>0</v>
      </c>
      <c r="O84" s="66">
        <v>0</v>
      </c>
      <c r="P84" s="29">
        <v>0</v>
      </c>
      <c r="Q84" s="66">
        <v>0</v>
      </c>
    </row>
    <row r="85" spans="1:17" ht="12.95" customHeight="1" x14ac:dyDescent="0.2">
      <c r="A85" s="36" t="s">
        <v>383</v>
      </c>
      <c r="B85" s="37" t="str">
        <f>'Risk Master'!C84&amp;"-"&amp;'Risk Master'!D84</f>
        <v>Hurricane-Typhoon -Germany</v>
      </c>
      <c r="C85" s="29" t="str">
        <f>'Risk Master'!F84</f>
        <v>A25</v>
      </c>
      <c r="D85" s="37" t="str">
        <f>VLOOKUP(C85,'Asset Master'!A:B,2,FALSE)</f>
        <v>Power Plants-Germany</v>
      </c>
      <c r="E85" s="64">
        <f>'Risk Master'!N84</f>
        <v>30000</v>
      </c>
      <c r="H85" s="66">
        <v>0</v>
      </c>
      <c r="I85" s="29">
        <v>0</v>
      </c>
      <c r="J85" s="66">
        <v>0</v>
      </c>
      <c r="K85" s="29">
        <v>0</v>
      </c>
      <c r="L85" s="66">
        <v>0</v>
      </c>
      <c r="M85" s="29">
        <v>0</v>
      </c>
      <c r="N85" s="66">
        <v>0</v>
      </c>
      <c r="O85" s="66">
        <v>0</v>
      </c>
      <c r="P85" s="29">
        <v>0</v>
      </c>
      <c r="Q85" s="66">
        <v>0</v>
      </c>
    </row>
    <row r="86" spans="1:17" ht="12.95" customHeight="1" x14ac:dyDescent="0.2">
      <c r="A86" s="36" t="s">
        <v>384</v>
      </c>
      <c r="B86" s="37" t="str">
        <f>'Risk Master'!C85&amp;"-"&amp;'Risk Master'!D85</f>
        <v>Earthquake-Germany</v>
      </c>
      <c r="C86" s="29" t="str">
        <f>'Risk Master'!F85</f>
        <v>A25</v>
      </c>
      <c r="D86" s="37" t="str">
        <f>VLOOKUP(C86,'Asset Master'!A:B,2,FALSE)</f>
        <v>Power Plants-Germany</v>
      </c>
      <c r="E86" s="64">
        <f>'Risk Master'!N85</f>
        <v>30000</v>
      </c>
      <c r="H86" s="66">
        <v>0</v>
      </c>
      <c r="I86" s="29">
        <v>0</v>
      </c>
      <c r="J86" s="66">
        <v>0</v>
      </c>
      <c r="K86" s="29">
        <v>0</v>
      </c>
      <c r="L86" s="66">
        <v>0</v>
      </c>
      <c r="M86" s="29">
        <v>0</v>
      </c>
      <c r="N86" s="66">
        <v>0</v>
      </c>
      <c r="O86" s="29">
        <v>0</v>
      </c>
      <c r="P86" s="29">
        <v>0</v>
      </c>
      <c r="Q86" s="66">
        <v>0</v>
      </c>
    </row>
    <row r="87" spans="1:17" ht="12.95" customHeight="1" x14ac:dyDescent="0.2">
      <c r="A87" s="36" t="s">
        <v>385</v>
      </c>
      <c r="B87" s="37" t="str">
        <f>'Risk Master'!C86&amp;"-"&amp;'Risk Master'!D86</f>
        <v>Fire-Germany</v>
      </c>
      <c r="C87" s="29" t="str">
        <f>'Risk Master'!F86</f>
        <v>A25</v>
      </c>
      <c r="D87" s="37" t="str">
        <f>VLOOKUP(C87,'Asset Master'!A:B,2,FALSE)</f>
        <v>Power Plants-Germany</v>
      </c>
      <c r="E87" s="64">
        <f>'Risk Master'!N86</f>
        <v>30000</v>
      </c>
      <c r="H87" s="66">
        <v>0</v>
      </c>
      <c r="I87" s="29">
        <v>0</v>
      </c>
      <c r="J87" s="66">
        <v>0</v>
      </c>
      <c r="K87" s="29">
        <v>0</v>
      </c>
      <c r="L87" s="66">
        <v>0</v>
      </c>
      <c r="M87" s="29">
        <v>0</v>
      </c>
      <c r="N87" s="66">
        <v>0</v>
      </c>
      <c r="O87" s="29">
        <v>0</v>
      </c>
      <c r="P87" s="29">
        <v>1</v>
      </c>
      <c r="Q87" s="66">
        <v>0</v>
      </c>
    </row>
    <row r="88" spans="1:17" ht="12.95" customHeight="1" x14ac:dyDescent="0.2">
      <c r="A88" s="36" t="s">
        <v>386</v>
      </c>
      <c r="B88" s="37" t="str">
        <f>'Risk Master'!C87&amp;"-"&amp;'Risk Master'!D87</f>
        <v>Thunderstorms, Tornados &amp; Hail-Germany</v>
      </c>
      <c r="C88" s="29" t="str">
        <f>'Risk Master'!F87</f>
        <v>A25</v>
      </c>
      <c r="D88" s="37" t="str">
        <f>VLOOKUP(C88,'Asset Master'!A:B,2,FALSE)</f>
        <v>Power Plants-Germany</v>
      </c>
      <c r="E88" s="64">
        <f>'Risk Master'!N87</f>
        <v>30000</v>
      </c>
      <c r="H88" s="66">
        <v>0</v>
      </c>
      <c r="I88" s="29">
        <v>0</v>
      </c>
      <c r="J88" s="66">
        <v>0</v>
      </c>
      <c r="K88" s="29">
        <v>0</v>
      </c>
      <c r="L88" s="66">
        <v>0</v>
      </c>
      <c r="M88" s="29">
        <v>0</v>
      </c>
      <c r="N88" s="66">
        <v>0</v>
      </c>
      <c r="O88" s="29">
        <v>0</v>
      </c>
      <c r="P88" s="29">
        <v>0</v>
      </c>
      <c r="Q88" s="66">
        <v>0</v>
      </c>
    </row>
    <row r="89" spans="1:17" ht="12.95" customHeight="1" x14ac:dyDescent="0.2">
      <c r="A89" s="36" t="s">
        <v>387</v>
      </c>
      <c r="B89" s="37" t="str">
        <f>'Risk Master'!C88&amp;"-"&amp;'Risk Master'!D88</f>
        <v>Hurricane-Typhoon -Germany</v>
      </c>
      <c r="C89" s="29" t="str">
        <f>'Risk Master'!F88</f>
        <v>A28</v>
      </c>
      <c r="D89" s="37" t="str">
        <f>VLOOKUP(C89,'Asset Master'!A:B,2,FALSE)</f>
        <v>Aircrafts-Germany</v>
      </c>
      <c r="E89" s="64">
        <f>'Risk Master'!N88</f>
        <v>40000</v>
      </c>
      <c r="H89" s="66">
        <v>0</v>
      </c>
      <c r="I89" s="29">
        <v>0</v>
      </c>
      <c r="J89" s="66">
        <v>0</v>
      </c>
      <c r="K89" s="29">
        <v>0</v>
      </c>
      <c r="L89" s="66">
        <v>1</v>
      </c>
      <c r="M89" s="29">
        <v>0</v>
      </c>
      <c r="N89" s="66">
        <v>1</v>
      </c>
      <c r="O89" s="29">
        <v>0</v>
      </c>
      <c r="P89" s="29">
        <v>0</v>
      </c>
      <c r="Q89" s="66">
        <v>0</v>
      </c>
    </row>
    <row r="90" spans="1:17" ht="12.95" customHeight="1" x14ac:dyDescent="0.2">
      <c r="A90" s="36" t="s">
        <v>388</v>
      </c>
      <c r="B90" s="37" t="str">
        <f>'Risk Master'!C89&amp;"-"&amp;'Risk Master'!D89</f>
        <v>Earthquake-Germany</v>
      </c>
      <c r="C90" s="29" t="str">
        <f>'Risk Master'!F89</f>
        <v>A28</v>
      </c>
      <c r="D90" s="37" t="str">
        <f>VLOOKUP(C90,'Asset Master'!A:B,2,FALSE)</f>
        <v>Aircrafts-Germany</v>
      </c>
      <c r="E90" s="64">
        <f>'Risk Master'!N89</f>
        <v>40000</v>
      </c>
      <c r="H90" s="66">
        <v>0</v>
      </c>
      <c r="I90" s="29">
        <v>0</v>
      </c>
      <c r="J90" s="66">
        <v>0</v>
      </c>
      <c r="K90" s="29">
        <v>0</v>
      </c>
      <c r="L90" s="66">
        <v>0</v>
      </c>
      <c r="M90" s="29">
        <v>0</v>
      </c>
      <c r="N90" s="66">
        <v>0</v>
      </c>
      <c r="O90" s="66">
        <v>1</v>
      </c>
      <c r="P90" s="29">
        <v>0</v>
      </c>
      <c r="Q90" s="66">
        <v>0</v>
      </c>
    </row>
    <row r="91" spans="1:17" ht="12.95" customHeight="1" x14ac:dyDescent="0.2">
      <c r="A91" s="36" t="s">
        <v>389</v>
      </c>
      <c r="B91" s="37" t="str">
        <f>'Risk Master'!C90&amp;"-"&amp;'Risk Master'!D90</f>
        <v>Fire-Germany</v>
      </c>
      <c r="C91" s="29" t="str">
        <f>'Risk Master'!F90</f>
        <v>A28</v>
      </c>
      <c r="D91" s="37" t="str">
        <f>VLOOKUP(C91,'Asset Master'!A:B,2,FALSE)</f>
        <v>Aircrafts-Germany</v>
      </c>
      <c r="E91" s="64">
        <f>'Risk Master'!N90</f>
        <v>40000</v>
      </c>
      <c r="H91" s="66">
        <v>0</v>
      </c>
      <c r="I91" s="29">
        <v>0</v>
      </c>
      <c r="J91" s="66">
        <v>0</v>
      </c>
      <c r="K91" s="29">
        <v>0</v>
      </c>
      <c r="L91" s="66">
        <v>0</v>
      </c>
      <c r="M91" s="29">
        <v>1</v>
      </c>
      <c r="N91" s="66">
        <v>0</v>
      </c>
      <c r="O91" s="66">
        <v>0</v>
      </c>
      <c r="P91" s="29">
        <v>0</v>
      </c>
      <c r="Q91" s="66">
        <v>0</v>
      </c>
    </row>
    <row r="92" spans="1:17" ht="12.95" customHeight="1" x14ac:dyDescent="0.2">
      <c r="A92" s="36" t="s">
        <v>390</v>
      </c>
      <c r="B92" s="37" t="str">
        <f>'Risk Master'!C91&amp;"-"&amp;'Risk Master'!D91</f>
        <v>Thunderstorms, Tornados &amp; Hail-Germany</v>
      </c>
      <c r="C92" s="29" t="str">
        <f>'Risk Master'!F91</f>
        <v>A28</v>
      </c>
      <c r="D92" s="37" t="str">
        <f>VLOOKUP(C92,'Asset Master'!A:B,2,FALSE)</f>
        <v>Aircrafts-Germany</v>
      </c>
      <c r="E92" s="64">
        <f>'Risk Master'!N91</f>
        <v>40000</v>
      </c>
      <c r="H92" s="66">
        <v>0</v>
      </c>
      <c r="I92" s="29">
        <v>0</v>
      </c>
      <c r="J92" s="66">
        <v>1</v>
      </c>
      <c r="K92" s="29">
        <v>0</v>
      </c>
      <c r="L92" s="66">
        <v>0</v>
      </c>
      <c r="M92" s="29">
        <v>0</v>
      </c>
      <c r="N92" s="66">
        <v>0</v>
      </c>
      <c r="O92" s="66">
        <v>0</v>
      </c>
      <c r="P92" s="29">
        <v>0</v>
      </c>
      <c r="Q92" s="66">
        <v>1</v>
      </c>
    </row>
    <row r="93" spans="1:17" ht="12.95" customHeight="1" x14ac:dyDescent="0.2">
      <c r="A93" s="36" t="s">
        <v>391</v>
      </c>
      <c r="B93" s="37" t="str">
        <f>'Risk Master'!C92&amp;"-"&amp;'Risk Master'!D92</f>
        <v>Hurricane-Typhoon -Germany</v>
      </c>
      <c r="C93" s="29" t="str">
        <f>'Risk Master'!F92</f>
        <v>A30</v>
      </c>
      <c r="D93" s="37" t="str">
        <f>VLOOKUP(C93,'Asset Master'!A:B,2,FALSE)</f>
        <v>Fleets &amp; Cars-Germany</v>
      </c>
      <c r="E93" s="64">
        <f>'Risk Master'!N92</f>
        <v>20000</v>
      </c>
      <c r="H93" s="66">
        <v>0</v>
      </c>
      <c r="I93" s="29">
        <v>0</v>
      </c>
      <c r="J93" s="66">
        <v>0</v>
      </c>
      <c r="K93" s="29">
        <v>0</v>
      </c>
      <c r="L93" s="66">
        <v>0</v>
      </c>
      <c r="M93" s="29">
        <v>0</v>
      </c>
      <c r="N93" s="66">
        <v>0</v>
      </c>
      <c r="O93" s="66">
        <v>1</v>
      </c>
      <c r="P93" s="29">
        <v>1</v>
      </c>
      <c r="Q93" s="66">
        <v>1</v>
      </c>
    </row>
    <row r="94" spans="1:17" ht="12.95" customHeight="1" x14ac:dyDescent="0.2">
      <c r="A94" s="36" t="s">
        <v>392</v>
      </c>
      <c r="B94" s="37" t="str">
        <f>'Risk Master'!C93&amp;"-"&amp;'Risk Master'!D93</f>
        <v>Earthquake-Germany</v>
      </c>
      <c r="C94" s="29" t="str">
        <f>'Risk Master'!F93</f>
        <v>A30</v>
      </c>
      <c r="D94" s="37" t="str">
        <f>VLOOKUP(C94,'Asset Master'!A:B,2,FALSE)</f>
        <v>Fleets &amp; Cars-Germany</v>
      </c>
      <c r="E94" s="64">
        <f>'Risk Master'!N93</f>
        <v>20000</v>
      </c>
      <c r="H94" s="66">
        <v>0</v>
      </c>
      <c r="I94" s="29">
        <v>0</v>
      </c>
      <c r="J94" s="66">
        <v>0</v>
      </c>
      <c r="K94" s="29">
        <v>0</v>
      </c>
      <c r="L94" s="66">
        <v>0</v>
      </c>
      <c r="M94" s="29">
        <v>0</v>
      </c>
      <c r="N94" s="66">
        <v>0</v>
      </c>
      <c r="O94" s="66">
        <v>0</v>
      </c>
      <c r="P94" s="29">
        <v>1</v>
      </c>
      <c r="Q94" s="66">
        <v>0</v>
      </c>
    </row>
    <row r="95" spans="1:17" ht="12.95" customHeight="1" x14ac:dyDescent="0.2">
      <c r="A95" s="36" t="s">
        <v>393</v>
      </c>
      <c r="B95" s="37" t="str">
        <f>'Risk Master'!C94&amp;"-"&amp;'Risk Master'!D94</f>
        <v>Fire-Germany</v>
      </c>
      <c r="C95" s="29" t="str">
        <f>'Risk Master'!F94</f>
        <v>A30</v>
      </c>
      <c r="D95" s="37" t="str">
        <f>VLOOKUP(C95,'Asset Master'!A:B,2,FALSE)</f>
        <v>Fleets &amp; Cars-Germany</v>
      </c>
      <c r="E95" s="64">
        <f>'Risk Master'!N94</f>
        <v>20000</v>
      </c>
      <c r="H95" s="66">
        <v>0</v>
      </c>
      <c r="I95" s="29">
        <v>0</v>
      </c>
      <c r="J95" s="66">
        <v>0</v>
      </c>
      <c r="K95" s="29">
        <v>0</v>
      </c>
      <c r="L95" s="66">
        <v>1</v>
      </c>
      <c r="M95" s="29">
        <v>0</v>
      </c>
      <c r="N95" s="66">
        <v>0</v>
      </c>
      <c r="O95" s="66">
        <v>0</v>
      </c>
      <c r="P95" s="29">
        <v>0</v>
      </c>
      <c r="Q95" s="66">
        <v>0</v>
      </c>
    </row>
    <row r="96" spans="1:17" ht="12.95" customHeight="1" x14ac:dyDescent="0.2">
      <c r="A96" s="36" t="s">
        <v>394</v>
      </c>
      <c r="B96" s="37" t="str">
        <f>'Risk Master'!C95&amp;"-"&amp;'Risk Master'!D95</f>
        <v>Thunderstorms, Tornados &amp; Hail-Germany</v>
      </c>
      <c r="C96" s="29" t="str">
        <f>'Risk Master'!F95</f>
        <v>A30</v>
      </c>
      <c r="D96" s="37" t="str">
        <f>VLOOKUP(C96,'Asset Master'!A:B,2,FALSE)</f>
        <v>Fleets &amp; Cars-Germany</v>
      </c>
      <c r="E96" s="64">
        <f>'Risk Master'!N95</f>
        <v>20000</v>
      </c>
      <c r="H96" s="66">
        <v>1</v>
      </c>
      <c r="I96" s="29">
        <v>0</v>
      </c>
      <c r="J96" s="66">
        <v>0</v>
      </c>
      <c r="K96" s="29">
        <v>0</v>
      </c>
      <c r="L96" s="66">
        <v>1</v>
      </c>
      <c r="M96" s="29">
        <v>0</v>
      </c>
      <c r="N96" s="66">
        <v>0</v>
      </c>
      <c r="O96" s="66">
        <v>1</v>
      </c>
      <c r="P96" s="29">
        <v>1</v>
      </c>
      <c r="Q96" s="66">
        <v>0</v>
      </c>
    </row>
    <row r="97" spans="1:17" ht="12.95" customHeight="1" x14ac:dyDescent="0.2">
      <c r="A97" s="36" t="s">
        <v>395</v>
      </c>
      <c r="B97" s="37" t="str">
        <f>'Risk Master'!C96&amp;"-"&amp;'Risk Master'!D96</f>
        <v>Hurricane-Typhoon -Manila</v>
      </c>
      <c r="C97" s="29" t="str">
        <f>'Risk Master'!F96</f>
        <v>A34</v>
      </c>
      <c r="D97" s="37" t="str">
        <f>VLOOKUP(C97,'Asset Master'!A:B,2,FALSE)</f>
        <v>Property (Office Locations)-Manila</v>
      </c>
      <c r="E97" s="64">
        <f>'Risk Master'!N96</f>
        <v>40000</v>
      </c>
      <c r="H97" s="66">
        <v>0</v>
      </c>
      <c r="I97" s="29">
        <v>0</v>
      </c>
      <c r="J97" s="66">
        <v>0</v>
      </c>
      <c r="K97" s="29">
        <v>1</v>
      </c>
      <c r="L97" s="66">
        <v>0</v>
      </c>
      <c r="M97" s="29">
        <v>0</v>
      </c>
      <c r="N97" s="66">
        <v>0</v>
      </c>
      <c r="O97" s="66">
        <v>0</v>
      </c>
      <c r="P97" s="29">
        <v>0</v>
      </c>
      <c r="Q97" s="66">
        <v>0</v>
      </c>
    </row>
    <row r="98" spans="1:17" ht="12.95" customHeight="1" x14ac:dyDescent="0.2">
      <c r="A98" s="36" t="s">
        <v>396</v>
      </c>
      <c r="B98" s="37" t="str">
        <f>'Risk Master'!C97&amp;"-"&amp;'Risk Master'!D97</f>
        <v>Earthquake-Manila</v>
      </c>
      <c r="C98" s="29" t="str">
        <f>'Risk Master'!F97</f>
        <v>A34</v>
      </c>
      <c r="D98" s="37" t="str">
        <f>VLOOKUP(C98,'Asset Master'!A:B,2,FALSE)</f>
        <v>Property (Office Locations)-Manila</v>
      </c>
      <c r="E98" s="64">
        <f>'Risk Master'!N97</f>
        <v>40000</v>
      </c>
      <c r="H98" s="66">
        <v>0</v>
      </c>
      <c r="I98" s="29">
        <v>0</v>
      </c>
      <c r="J98" s="66">
        <v>0</v>
      </c>
      <c r="K98" s="29">
        <v>0</v>
      </c>
      <c r="L98" s="66">
        <v>0</v>
      </c>
      <c r="M98" s="29">
        <v>0</v>
      </c>
      <c r="N98" s="66">
        <v>0</v>
      </c>
      <c r="O98" s="66">
        <v>0</v>
      </c>
      <c r="P98" s="29">
        <v>1</v>
      </c>
      <c r="Q98" s="66">
        <v>1</v>
      </c>
    </row>
    <row r="99" spans="1:17" ht="12.95" customHeight="1" x14ac:dyDescent="0.2">
      <c r="A99" s="36" t="s">
        <v>397</v>
      </c>
      <c r="B99" s="37" t="str">
        <f>'Risk Master'!C98&amp;"-"&amp;'Risk Master'!D98</f>
        <v>Fire-Manila</v>
      </c>
      <c r="C99" s="29" t="str">
        <f>'Risk Master'!F98</f>
        <v>A34</v>
      </c>
      <c r="D99" s="37" t="str">
        <f>VLOOKUP(C99,'Asset Master'!A:B,2,FALSE)</f>
        <v>Property (Office Locations)-Manila</v>
      </c>
      <c r="E99" s="64">
        <f>'Risk Master'!N98</f>
        <v>40000</v>
      </c>
      <c r="H99" s="66">
        <v>1</v>
      </c>
      <c r="I99" s="29">
        <v>0</v>
      </c>
      <c r="J99" s="66">
        <v>1</v>
      </c>
      <c r="K99" s="29">
        <v>0</v>
      </c>
      <c r="L99" s="66">
        <v>1</v>
      </c>
      <c r="M99" s="29">
        <v>0</v>
      </c>
      <c r="N99" s="66">
        <v>0</v>
      </c>
      <c r="O99" s="66">
        <v>0</v>
      </c>
      <c r="P99" s="29">
        <v>0</v>
      </c>
      <c r="Q99" s="66">
        <v>1</v>
      </c>
    </row>
    <row r="100" spans="1:17" ht="12.95" customHeight="1" x14ac:dyDescent="0.2">
      <c r="A100" s="36" t="s">
        <v>398</v>
      </c>
      <c r="B100" s="37" t="str">
        <f>'Risk Master'!C99&amp;"-"&amp;'Risk Master'!D99</f>
        <v>Earthquake-Manila</v>
      </c>
      <c r="C100" s="29" t="str">
        <f>'Risk Master'!F99</f>
        <v>A33</v>
      </c>
      <c r="D100" s="37" t="str">
        <f>VLOOKUP(C100,'Asset Master'!A:B,2,FALSE)</f>
        <v>Pipelines-Manila</v>
      </c>
      <c r="E100" s="64">
        <f>'Risk Master'!N99</f>
        <v>40000</v>
      </c>
      <c r="H100" s="66">
        <v>0</v>
      </c>
      <c r="I100" s="29">
        <v>0</v>
      </c>
      <c r="J100" s="66">
        <v>0</v>
      </c>
      <c r="K100" s="29">
        <v>0</v>
      </c>
      <c r="L100" s="66">
        <v>0</v>
      </c>
      <c r="M100" s="29">
        <v>0</v>
      </c>
      <c r="N100" s="66">
        <v>1</v>
      </c>
      <c r="O100" s="66">
        <v>0</v>
      </c>
      <c r="P100" s="29">
        <v>0</v>
      </c>
      <c r="Q100" s="66">
        <v>0</v>
      </c>
    </row>
    <row r="101" spans="1:17" ht="12.95" customHeight="1" x14ac:dyDescent="0.2">
      <c r="A101" s="36" t="s">
        <v>399</v>
      </c>
      <c r="B101" s="37" t="str">
        <f>'Risk Master'!C100&amp;"-"&amp;'Risk Master'!D100</f>
        <v>Fire-Manila</v>
      </c>
      <c r="C101" s="29" t="str">
        <f>'Risk Master'!F100</f>
        <v>A33</v>
      </c>
      <c r="D101" s="37" t="str">
        <f>VLOOKUP(C101,'Asset Master'!A:B,2,FALSE)</f>
        <v>Pipelines-Manila</v>
      </c>
      <c r="E101" s="64">
        <f>'Risk Master'!N100</f>
        <v>40000</v>
      </c>
      <c r="H101" s="66">
        <v>1</v>
      </c>
      <c r="I101" s="29">
        <v>0</v>
      </c>
      <c r="J101" s="66">
        <v>0</v>
      </c>
      <c r="K101" s="29">
        <v>0</v>
      </c>
      <c r="L101" s="66">
        <v>0</v>
      </c>
      <c r="M101" s="29">
        <v>0</v>
      </c>
      <c r="N101" s="66">
        <v>1</v>
      </c>
      <c r="O101" s="66">
        <v>0</v>
      </c>
      <c r="P101" s="29">
        <v>0</v>
      </c>
      <c r="Q101" s="66">
        <v>0</v>
      </c>
    </row>
    <row r="102" spans="1:17" ht="12.95" customHeight="1" x14ac:dyDescent="0.2">
      <c r="A102" s="36" t="s">
        <v>400</v>
      </c>
      <c r="B102" s="37" t="str">
        <f>'Risk Master'!C101&amp;"-"&amp;'Risk Master'!D101</f>
        <v>Hurricane-Typhoon -Manila</v>
      </c>
      <c r="C102" s="29" t="str">
        <f>'Risk Master'!F101</f>
        <v>A36</v>
      </c>
      <c r="D102" s="37" t="str">
        <f>VLOOKUP(C102,'Asset Master'!A:B,2,FALSE)</f>
        <v>Warehouse &amp; Cold Storage-Manila</v>
      </c>
      <c r="E102" s="64">
        <f>'Risk Master'!N101</f>
        <v>30000</v>
      </c>
      <c r="H102" s="66">
        <v>0</v>
      </c>
      <c r="I102" s="29">
        <v>1</v>
      </c>
      <c r="J102" s="66">
        <v>0</v>
      </c>
      <c r="K102" s="29">
        <v>1</v>
      </c>
      <c r="L102" s="66">
        <v>0</v>
      </c>
      <c r="M102" s="29">
        <v>1</v>
      </c>
      <c r="N102" s="66">
        <v>0</v>
      </c>
      <c r="O102" s="66">
        <v>0</v>
      </c>
      <c r="P102" s="29">
        <v>1</v>
      </c>
      <c r="Q102" s="66">
        <v>1</v>
      </c>
    </row>
    <row r="103" spans="1:17" ht="12.95" customHeight="1" x14ac:dyDescent="0.2">
      <c r="A103" s="36" t="s">
        <v>404</v>
      </c>
      <c r="B103" s="37" t="str">
        <f>'Risk Master'!C102&amp;"-"&amp;'Risk Master'!D102</f>
        <v>Earthquake-Manila</v>
      </c>
      <c r="C103" s="29" t="str">
        <f>'Risk Master'!F102</f>
        <v>A38</v>
      </c>
      <c r="D103" s="37" t="str">
        <f>VLOOKUP(C103,'Asset Master'!A:B,2,FALSE)</f>
        <v>Supermarkets &amp; Malls-Manila</v>
      </c>
      <c r="E103" s="64">
        <f>'Risk Master'!N102</f>
        <v>50000</v>
      </c>
      <c r="H103" s="66">
        <v>0</v>
      </c>
      <c r="I103" s="29">
        <v>0</v>
      </c>
      <c r="J103" s="66">
        <v>0</v>
      </c>
      <c r="K103" s="29">
        <v>0</v>
      </c>
      <c r="L103" s="66">
        <v>0</v>
      </c>
      <c r="M103" s="29">
        <v>0</v>
      </c>
      <c r="N103" s="66">
        <v>0</v>
      </c>
      <c r="O103" s="66">
        <v>0</v>
      </c>
      <c r="P103" s="29">
        <v>0</v>
      </c>
      <c r="Q103" s="66">
        <v>0</v>
      </c>
    </row>
    <row r="104" spans="1:17" ht="12.95" customHeight="1" x14ac:dyDescent="0.2">
      <c r="A104" s="36" t="s">
        <v>406</v>
      </c>
      <c r="B104" s="37" t="str">
        <f>'Risk Master'!C103&amp;"-"&amp;'Risk Master'!D103</f>
        <v>Fire-Manila</v>
      </c>
      <c r="C104" s="29" t="str">
        <f>'Risk Master'!F103</f>
        <v>A40</v>
      </c>
      <c r="D104" s="37" t="str">
        <f>VLOOKUP(C104,'Asset Master'!A:B,2,FALSE)</f>
        <v>Power Plants-Manila</v>
      </c>
      <c r="E104" s="64">
        <f>'Risk Master'!N103</f>
        <v>30000</v>
      </c>
      <c r="H104" s="66">
        <v>0</v>
      </c>
      <c r="I104" s="29">
        <v>0</v>
      </c>
      <c r="J104" s="66">
        <v>0</v>
      </c>
      <c r="K104" s="29">
        <v>0</v>
      </c>
      <c r="L104" s="66">
        <v>0</v>
      </c>
      <c r="M104" s="29">
        <v>0</v>
      </c>
      <c r="N104" s="66">
        <v>0</v>
      </c>
      <c r="O104" s="66">
        <v>1</v>
      </c>
      <c r="P104" s="29">
        <v>0</v>
      </c>
      <c r="Q104" s="66">
        <v>0</v>
      </c>
    </row>
    <row r="105" spans="1:17" ht="12.95" customHeight="1" x14ac:dyDescent="0.2">
      <c r="A105" s="36" t="s">
        <v>408</v>
      </c>
      <c r="B105" s="37" t="str">
        <f>'Risk Master'!C104&amp;"-"&amp;'Risk Master'!D104</f>
        <v>Hurricane-Typhoon -Manila</v>
      </c>
      <c r="C105" s="29" t="str">
        <f>'Risk Master'!F104</f>
        <v>A43</v>
      </c>
      <c r="D105" s="37" t="str">
        <f>VLOOKUP(C105,'Asset Master'!A:B,2,FALSE)</f>
        <v>Aircrafts-Manila</v>
      </c>
      <c r="E105" s="64">
        <f>'Risk Master'!N104</f>
        <v>50000</v>
      </c>
      <c r="H105" s="66">
        <v>1</v>
      </c>
      <c r="I105" s="29">
        <v>0</v>
      </c>
      <c r="J105" s="66">
        <v>0</v>
      </c>
      <c r="K105" s="29">
        <v>0</v>
      </c>
      <c r="L105" s="66">
        <v>0</v>
      </c>
      <c r="M105" s="29">
        <v>0</v>
      </c>
      <c r="N105" s="66">
        <v>0</v>
      </c>
      <c r="O105" s="66">
        <v>0</v>
      </c>
      <c r="P105" s="29">
        <v>0</v>
      </c>
      <c r="Q105" s="66">
        <v>0</v>
      </c>
    </row>
    <row r="106" spans="1:17" ht="12.95" customHeight="1" x14ac:dyDescent="0.2">
      <c r="A106" s="36" t="s">
        <v>410</v>
      </c>
      <c r="B106" s="37" t="str">
        <f>'Risk Master'!C105&amp;"-"&amp;'Risk Master'!D105</f>
        <v>Earthquake-Manila</v>
      </c>
      <c r="C106" s="29" t="str">
        <f>'Risk Master'!F105</f>
        <v>A43</v>
      </c>
      <c r="D106" s="37" t="str">
        <f>VLOOKUP(C106,'Asset Master'!A:B,2,FALSE)</f>
        <v>Aircrafts-Manila</v>
      </c>
      <c r="E106" s="64">
        <f>'Risk Master'!N105</f>
        <v>50000</v>
      </c>
      <c r="H106" s="66">
        <v>0</v>
      </c>
      <c r="I106" s="29">
        <v>0</v>
      </c>
      <c r="J106" s="66">
        <v>0</v>
      </c>
      <c r="K106" s="29">
        <v>0</v>
      </c>
      <c r="L106" s="66">
        <v>0</v>
      </c>
      <c r="M106" s="29">
        <v>0</v>
      </c>
      <c r="N106" s="66">
        <v>1</v>
      </c>
      <c r="O106" s="66">
        <v>0</v>
      </c>
      <c r="P106" s="29">
        <v>0</v>
      </c>
      <c r="Q106" s="66">
        <v>0</v>
      </c>
    </row>
    <row r="107" spans="1:17" ht="12.95" customHeight="1" x14ac:dyDescent="0.2">
      <c r="A107" s="36" t="s">
        <v>412</v>
      </c>
      <c r="B107" s="37" t="str">
        <f>'Risk Master'!C106&amp;"-"&amp;'Risk Master'!D106</f>
        <v>Fire-Manila</v>
      </c>
      <c r="C107" s="29" t="str">
        <f>'Risk Master'!F106</f>
        <v>A43</v>
      </c>
      <c r="D107" s="37" t="str">
        <f>VLOOKUP(C107,'Asset Master'!A:B,2,FALSE)</f>
        <v>Aircrafts-Manila</v>
      </c>
      <c r="E107" s="64">
        <f>'Risk Master'!N106</f>
        <v>50000</v>
      </c>
      <c r="H107" s="66">
        <v>0</v>
      </c>
      <c r="I107" s="29">
        <v>0</v>
      </c>
      <c r="J107" s="66">
        <v>0</v>
      </c>
      <c r="K107" s="29">
        <v>0</v>
      </c>
      <c r="L107" s="66">
        <v>0</v>
      </c>
      <c r="M107" s="29">
        <v>0</v>
      </c>
      <c r="N107" s="66">
        <v>1</v>
      </c>
      <c r="O107" s="66">
        <v>0</v>
      </c>
      <c r="P107" s="29">
        <v>1</v>
      </c>
      <c r="Q107" s="66">
        <v>0</v>
      </c>
    </row>
    <row r="108" spans="1:17" ht="12.95" customHeight="1" x14ac:dyDescent="0.2">
      <c r="A108" s="36" t="s">
        <v>414</v>
      </c>
      <c r="B108" s="37" t="str">
        <f>'Risk Master'!C107&amp;"-"&amp;'Risk Master'!D107</f>
        <v>Hurricane-Typhoon -Manila</v>
      </c>
      <c r="C108" s="29" t="str">
        <f>'Risk Master'!F107</f>
        <v>A45</v>
      </c>
      <c r="D108" s="37" t="str">
        <f>VLOOKUP(C108,'Asset Master'!A:B,2,FALSE)</f>
        <v>Fleets &amp; Cars-Manila</v>
      </c>
      <c r="E108" s="64">
        <f>'Risk Master'!N107</f>
        <v>30000</v>
      </c>
      <c r="H108" s="66">
        <v>0</v>
      </c>
      <c r="I108" s="29">
        <v>0</v>
      </c>
      <c r="J108" s="66">
        <v>0</v>
      </c>
      <c r="K108" s="29">
        <v>0</v>
      </c>
      <c r="L108" s="66">
        <v>0</v>
      </c>
      <c r="M108" s="29">
        <v>0</v>
      </c>
      <c r="N108" s="66">
        <v>0</v>
      </c>
      <c r="O108" s="66">
        <v>0</v>
      </c>
      <c r="P108" s="29">
        <v>0</v>
      </c>
      <c r="Q108" s="66">
        <v>0</v>
      </c>
    </row>
    <row r="109" spans="1:17" ht="12.95" customHeight="1" x14ac:dyDescent="0.2">
      <c r="A109" s="36" t="s">
        <v>416</v>
      </c>
      <c r="B109" s="37" t="str">
        <f>'Risk Master'!C108&amp;"-"&amp;'Risk Master'!D108</f>
        <v>Thunderstorms, Tornados &amp; Hail-San Francisco</v>
      </c>
      <c r="C109" s="29" t="str">
        <f>'Risk Master'!F108</f>
        <v>A47</v>
      </c>
      <c r="D109" s="37" t="str">
        <f>VLOOKUP(C109,'Asset Master'!A:B,2,FALSE)</f>
        <v>Heat Exchanger-San Francisco</v>
      </c>
      <c r="E109" s="64">
        <f>'Risk Master'!N108</f>
        <v>60000</v>
      </c>
      <c r="H109" s="66">
        <v>0</v>
      </c>
      <c r="I109" s="29">
        <v>0</v>
      </c>
      <c r="J109" s="66">
        <v>0</v>
      </c>
      <c r="K109" s="29">
        <v>0</v>
      </c>
      <c r="L109" s="66">
        <v>0</v>
      </c>
      <c r="M109" s="29">
        <v>0</v>
      </c>
      <c r="N109" s="66">
        <v>0</v>
      </c>
      <c r="O109" s="66">
        <v>0</v>
      </c>
      <c r="P109" s="29">
        <v>0</v>
      </c>
      <c r="Q109" s="66">
        <v>0</v>
      </c>
    </row>
    <row r="110" spans="1:17" ht="12.95" customHeight="1" x14ac:dyDescent="0.2">
      <c r="A110" s="36" t="s">
        <v>418</v>
      </c>
      <c r="B110" s="37" t="str">
        <f>'Risk Master'!C109&amp;"-"&amp;'Risk Master'!D109</f>
        <v>Hurricane-Typhoon -San Francisco</v>
      </c>
      <c r="C110" s="29" t="str">
        <f>'Risk Master'!F109</f>
        <v>A47</v>
      </c>
      <c r="D110" s="37" t="str">
        <f>VLOOKUP(C110,'Asset Master'!A:B,2,FALSE)</f>
        <v>Heat Exchanger-San Francisco</v>
      </c>
      <c r="E110" s="64">
        <f>'Risk Master'!N109</f>
        <v>60000</v>
      </c>
      <c r="H110" s="66">
        <v>0</v>
      </c>
      <c r="I110" s="29">
        <v>0</v>
      </c>
      <c r="J110" s="66">
        <v>0</v>
      </c>
      <c r="K110" s="29">
        <v>0</v>
      </c>
      <c r="L110" s="66">
        <v>1</v>
      </c>
      <c r="M110" s="29">
        <v>0</v>
      </c>
      <c r="N110" s="66">
        <v>1</v>
      </c>
      <c r="O110" s="66">
        <v>0</v>
      </c>
      <c r="P110" s="29">
        <v>0</v>
      </c>
      <c r="Q110" s="66">
        <v>0</v>
      </c>
    </row>
    <row r="111" spans="1:17" ht="12.95" customHeight="1" x14ac:dyDescent="0.2">
      <c r="A111" s="36" t="s">
        <v>420</v>
      </c>
      <c r="B111" s="37" t="str">
        <f>'Risk Master'!C110&amp;"-"&amp;'Risk Master'!D110</f>
        <v>Earthquake-San Francisco</v>
      </c>
      <c r="C111" s="29" t="str">
        <f>'Risk Master'!F110</f>
        <v>A47</v>
      </c>
      <c r="D111" s="37" t="str">
        <f>VLOOKUP(C111,'Asset Master'!A:B,2,FALSE)</f>
        <v>Heat Exchanger-San Francisco</v>
      </c>
      <c r="E111" s="64">
        <f>'Risk Master'!N110</f>
        <v>60000</v>
      </c>
      <c r="H111" s="66">
        <v>0</v>
      </c>
      <c r="I111" s="29">
        <v>1</v>
      </c>
      <c r="J111" s="66">
        <v>0</v>
      </c>
      <c r="K111" s="29">
        <v>0</v>
      </c>
      <c r="L111" s="66">
        <v>0</v>
      </c>
      <c r="M111" s="29">
        <v>0</v>
      </c>
      <c r="N111" s="66">
        <v>0</v>
      </c>
      <c r="O111" s="66">
        <v>0</v>
      </c>
      <c r="P111" s="29">
        <v>1</v>
      </c>
      <c r="Q111" s="66">
        <v>0</v>
      </c>
    </row>
    <row r="112" spans="1:17" ht="12.95" customHeight="1" x14ac:dyDescent="0.2">
      <c r="A112" s="36" t="s">
        <v>422</v>
      </c>
      <c r="B112" s="37" t="str">
        <f>'Risk Master'!C111&amp;"-"&amp;'Risk Master'!D111</f>
        <v>Thunderstorms, Tornados &amp; Hail-San Francisco</v>
      </c>
      <c r="C112" s="29" t="str">
        <f>'Risk Master'!F111</f>
        <v>A49</v>
      </c>
      <c r="D112" s="37" t="str">
        <f>VLOOKUP(C112,'Asset Master'!A:B,2,FALSE)</f>
        <v>Property (Office Locations)-San Francisco</v>
      </c>
      <c r="E112" s="64">
        <f>'Risk Master'!N111</f>
        <v>80000</v>
      </c>
      <c r="H112" s="66">
        <v>0</v>
      </c>
      <c r="I112" s="29">
        <v>0</v>
      </c>
      <c r="J112" s="66">
        <v>0</v>
      </c>
      <c r="K112" s="29">
        <v>0</v>
      </c>
      <c r="L112" s="66">
        <v>0</v>
      </c>
      <c r="M112" s="29">
        <v>0</v>
      </c>
      <c r="N112" s="66">
        <v>0</v>
      </c>
      <c r="O112" s="66">
        <v>1</v>
      </c>
      <c r="P112" s="29">
        <v>0</v>
      </c>
      <c r="Q112" s="66">
        <v>0</v>
      </c>
    </row>
    <row r="113" spans="1:17" ht="12.95" customHeight="1" x14ac:dyDescent="0.2">
      <c r="A113" s="36" t="s">
        <v>424</v>
      </c>
      <c r="B113" s="37" t="str">
        <f>'Risk Master'!C112&amp;"-"&amp;'Risk Master'!D112</f>
        <v>Hurricane-Typhoon -San Francisco</v>
      </c>
      <c r="C113" s="29" t="str">
        <f>'Risk Master'!F112</f>
        <v>A49</v>
      </c>
      <c r="D113" s="37" t="str">
        <f>VLOOKUP(C113,'Asset Master'!A:B,2,FALSE)</f>
        <v>Property (Office Locations)-San Francisco</v>
      </c>
      <c r="E113" s="64">
        <f>'Risk Master'!N112</f>
        <v>80000</v>
      </c>
      <c r="H113" s="66">
        <v>0</v>
      </c>
      <c r="I113" s="29">
        <v>0</v>
      </c>
      <c r="J113" s="66">
        <v>1</v>
      </c>
      <c r="K113" s="29">
        <v>0</v>
      </c>
      <c r="L113" s="66">
        <v>1</v>
      </c>
      <c r="M113" s="29">
        <v>0</v>
      </c>
      <c r="N113" s="66">
        <v>0</v>
      </c>
      <c r="O113" s="66">
        <v>0</v>
      </c>
      <c r="P113" s="29">
        <v>0</v>
      </c>
      <c r="Q113" s="66">
        <v>0</v>
      </c>
    </row>
    <row r="114" spans="1:17" ht="12.95" customHeight="1" x14ac:dyDescent="0.2">
      <c r="A114" s="36" t="s">
        <v>426</v>
      </c>
      <c r="B114" s="37" t="str">
        <f>'Risk Master'!C113&amp;"-"&amp;'Risk Master'!D113</f>
        <v>Earthquake-San Francisco</v>
      </c>
      <c r="C114" s="29" t="str">
        <f>'Risk Master'!F113</f>
        <v>A49</v>
      </c>
      <c r="D114" s="37" t="str">
        <f>VLOOKUP(C114,'Asset Master'!A:B,2,FALSE)</f>
        <v>Property (Office Locations)-San Francisco</v>
      </c>
      <c r="E114" s="64">
        <f>'Risk Master'!N113</f>
        <v>80000</v>
      </c>
      <c r="H114" s="66">
        <v>0</v>
      </c>
      <c r="I114" s="29">
        <v>0</v>
      </c>
      <c r="J114" s="66">
        <v>0</v>
      </c>
      <c r="K114" s="29">
        <v>0</v>
      </c>
      <c r="L114" s="66">
        <v>0</v>
      </c>
      <c r="M114" s="29">
        <v>0</v>
      </c>
      <c r="N114" s="66">
        <v>0</v>
      </c>
      <c r="O114" s="66">
        <v>0</v>
      </c>
      <c r="P114" s="29">
        <v>0</v>
      </c>
      <c r="Q114" s="66">
        <v>0</v>
      </c>
    </row>
    <row r="115" spans="1:17" ht="12.95" customHeight="1" x14ac:dyDescent="0.2">
      <c r="A115" s="36" t="s">
        <v>428</v>
      </c>
      <c r="B115" s="37" t="str">
        <f>'Risk Master'!C114&amp;"-"&amp;'Risk Master'!D114</f>
        <v>Thunderstorms, Tornados &amp; Hail-San Francisco</v>
      </c>
      <c r="C115" s="29" t="str">
        <f>'Risk Master'!F114</f>
        <v>A53</v>
      </c>
      <c r="D115" s="37" t="str">
        <f>VLOOKUP(C115,'Asset Master'!A:B,2,FALSE)</f>
        <v>Supermarkets &amp; Malls-San Francisco</v>
      </c>
      <c r="E115" s="64">
        <f>'Risk Master'!N114</f>
        <v>50000</v>
      </c>
      <c r="H115" s="66">
        <v>0</v>
      </c>
      <c r="I115" s="29">
        <v>0</v>
      </c>
      <c r="J115" s="66">
        <v>1</v>
      </c>
      <c r="K115" s="29">
        <v>0</v>
      </c>
      <c r="L115" s="66">
        <v>1</v>
      </c>
      <c r="M115" s="29">
        <v>0</v>
      </c>
      <c r="N115" s="66">
        <v>0</v>
      </c>
      <c r="O115" s="66">
        <v>0</v>
      </c>
      <c r="P115" s="29">
        <v>0</v>
      </c>
      <c r="Q115" s="66">
        <v>0</v>
      </c>
    </row>
    <row r="116" spans="1:17" ht="12.95" customHeight="1" x14ac:dyDescent="0.2">
      <c r="A116" s="36" t="s">
        <v>430</v>
      </c>
      <c r="B116" s="37" t="str">
        <f>'Risk Master'!C115&amp;"-"&amp;'Risk Master'!D115</f>
        <v>Hurricane-Typhoon -San Francisco</v>
      </c>
      <c r="C116" s="29" t="str">
        <f>'Risk Master'!F115</f>
        <v>A53</v>
      </c>
      <c r="D116" s="37" t="str">
        <f>VLOOKUP(C116,'Asset Master'!A:B,2,FALSE)</f>
        <v>Supermarkets &amp; Malls-San Francisco</v>
      </c>
      <c r="E116" s="64">
        <f>'Risk Master'!N115</f>
        <v>50000</v>
      </c>
      <c r="H116" s="66">
        <v>0</v>
      </c>
      <c r="I116" s="29">
        <v>0</v>
      </c>
      <c r="J116" s="66">
        <v>0</v>
      </c>
      <c r="K116" s="29">
        <v>0</v>
      </c>
      <c r="L116" s="66">
        <v>0</v>
      </c>
      <c r="M116" s="29">
        <v>0</v>
      </c>
      <c r="N116" s="66">
        <v>0</v>
      </c>
      <c r="O116" s="66">
        <v>0</v>
      </c>
      <c r="P116" s="29">
        <v>0</v>
      </c>
      <c r="Q116" s="66">
        <v>0</v>
      </c>
    </row>
    <row r="117" spans="1:17" ht="12.95" customHeight="1" x14ac:dyDescent="0.2">
      <c r="A117" s="36" t="s">
        <v>432</v>
      </c>
      <c r="B117" s="37" t="str">
        <f>'Risk Master'!C116&amp;"-"&amp;'Risk Master'!D116</f>
        <v>Earthquake-San Francisco</v>
      </c>
      <c r="C117" s="29" t="str">
        <f>'Risk Master'!F116</f>
        <v>A53</v>
      </c>
      <c r="D117" s="37" t="str">
        <f>VLOOKUP(C117,'Asset Master'!A:B,2,FALSE)</f>
        <v>Supermarkets &amp; Malls-San Francisco</v>
      </c>
      <c r="E117" s="64">
        <f>'Risk Master'!N116</f>
        <v>50000</v>
      </c>
      <c r="H117" s="66">
        <v>0</v>
      </c>
      <c r="I117" s="29">
        <v>0</v>
      </c>
      <c r="J117" s="66">
        <v>1</v>
      </c>
      <c r="K117" s="29">
        <v>0</v>
      </c>
      <c r="L117" s="66">
        <v>1</v>
      </c>
      <c r="M117" s="29">
        <v>0</v>
      </c>
      <c r="N117" s="66">
        <v>0</v>
      </c>
      <c r="O117" s="66">
        <v>0</v>
      </c>
      <c r="P117" s="29">
        <v>0</v>
      </c>
      <c r="Q117" s="66">
        <v>0</v>
      </c>
    </row>
    <row r="118" spans="1:17" ht="12.95" customHeight="1" x14ac:dyDescent="0.2">
      <c r="A118" s="36" t="s">
        <v>434</v>
      </c>
      <c r="B118" s="37" t="str">
        <f>'Risk Master'!C117&amp;"-"&amp;'Risk Master'!D117</f>
        <v>Thunderstorms, Tornados &amp; Hail-San Francisco</v>
      </c>
      <c r="C118" s="29" t="str">
        <f>'Risk Master'!F117</f>
        <v>A54</v>
      </c>
      <c r="D118" s="37" t="str">
        <f>VLOOKUP(C118,'Asset Master'!A:B,2,FALSE)</f>
        <v>Mines-San Francisco</v>
      </c>
      <c r="E118" s="64">
        <f>'Risk Master'!N117</f>
        <v>30000</v>
      </c>
      <c r="H118" s="66">
        <v>0</v>
      </c>
      <c r="I118" s="29">
        <v>1</v>
      </c>
      <c r="J118" s="66">
        <v>0</v>
      </c>
      <c r="K118" s="29">
        <v>1</v>
      </c>
      <c r="L118" s="66">
        <v>0</v>
      </c>
      <c r="M118" s="29">
        <v>0</v>
      </c>
      <c r="N118" s="66">
        <v>0</v>
      </c>
      <c r="O118" s="66">
        <v>0</v>
      </c>
      <c r="P118" s="29">
        <v>1</v>
      </c>
      <c r="Q118" s="66">
        <v>0</v>
      </c>
    </row>
    <row r="119" spans="1:17" ht="12.95" customHeight="1" x14ac:dyDescent="0.2">
      <c r="A119" s="36" t="s">
        <v>436</v>
      </c>
      <c r="B119" s="37" t="str">
        <f>'Risk Master'!C118&amp;"-"&amp;'Risk Master'!D118</f>
        <v>Hurricane-Typhoon -San Francisco</v>
      </c>
      <c r="C119" s="29" t="str">
        <f>'Risk Master'!F118</f>
        <v>A55</v>
      </c>
      <c r="D119" s="37" t="str">
        <f>VLOOKUP(C119,'Asset Master'!A:B,2,FALSE)</f>
        <v>Power Plants-San Francisco</v>
      </c>
      <c r="E119" s="64">
        <f>'Risk Master'!N118</f>
        <v>50000</v>
      </c>
      <c r="H119" s="66">
        <v>0</v>
      </c>
      <c r="I119" s="29">
        <v>0</v>
      </c>
      <c r="J119" s="66">
        <v>1</v>
      </c>
      <c r="K119" s="29">
        <v>0</v>
      </c>
      <c r="L119" s="66">
        <v>1</v>
      </c>
      <c r="M119" s="29">
        <v>0</v>
      </c>
      <c r="N119" s="66">
        <v>1</v>
      </c>
      <c r="O119" s="66">
        <v>0</v>
      </c>
      <c r="P119" s="29">
        <v>0</v>
      </c>
      <c r="Q119" s="66">
        <v>1</v>
      </c>
    </row>
    <row r="120" spans="1:17" ht="12.95" customHeight="1" x14ac:dyDescent="0.2">
      <c r="A120" s="36" t="s">
        <v>438</v>
      </c>
      <c r="B120" s="37" t="str">
        <f>'Risk Master'!C119&amp;"-"&amp;'Risk Master'!D119</f>
        <v>Earthquake-San Francisco</v>
      </c>
      <c r="C120" s="29" t="str">
        <f>'Risk Master'!F119</f>
        <v>A60</v>
      </c>
      <c r="D120" s="37" t="str">
        <f>VLOOKUP(C120,'Asset Master'!A:B,2,FALSE)</f>
        <v>Fleets &amp; Cars-San Francisco</v>
      </c>
      <c r="E120" s="64">
        <f>'Risk Master'!N119</f>
        <v>40000</v>
      </c>
      <c r="H120" s="66">
        <v>0</v>
      </c>
      <c r="I120" s="29">
        <v>0</v>
      </c>
      <c r="J120" s="66">
        <v>0</v>
      </c>
      <c r="K120" s="29">
        <v>0</v>
      </c>
      <c r="L120" s="66">
        <v>0</v>
      </c>
      <c r="M120" s="29">
        <v>0</v>
      </c>
      <c r="N120" s="66">
        <v>0</v>
      </c>
      <c r="O120" s="66">
        <v>0</v>
      </c>
      <c r="P120" s="29">
        <v>0</v>
      </c>
      <c r="Q120" s="66">
        <v>0</v>
      </c>
    </row>
    <row r="121" spans="1:17" ht="12.95" customHeight="1" x14ac:dyDescent="0.2">
      <c r="A121" s="36" t="s">
        <v>440</v>
      </c>
      <c r="B121" s="37" t="str">
        <f>'Risk Master'!C120&amp;"-"&amp;'Risk Master'!D120</f>
        <v>Hurricane-Typhoon -San Francisco</v>
      </c>
      <c r="C121" s="29" t="str">
        <f>'Risk Master'!F120</f>
        <v>A58</v>
      </c>
      <c r="D121" s="37" t="str">
        <f>VLOOKUP(C121,'Asset Master'!A:B,2,FALSE)</f>
        <v>Aircrafts-San Francisco</v>
      </c>
      <c r="E121" s="64">
        <f>'Risk Master'!N120</f>
        <v>20000</v>
      </c>
      <c r="H121" s="66">
        <v>0</v>
      </c>
      <c r="I121" s="29">
        <v>0</v>
      </c>
      <c r="J121" s="66">
        <v>0</v>
      </c>
      <c r="K121" s="29">
        <v>0</v>
      </c>
      <c r="L121" s="66">
        <v>1</v>
      </c>
      <c r="M121" s="29">
        <v>0</v>
      </c>
      <c r="N121" s="66">
        <v>1</v>
      </c>
      <c r="O121" s="66">
        <v>0</v>
      </c>
      <c r="P121" s="29">
        <v>1</v>
      </c>
      <c r="Q121" s="66">
        <v>0</v>
      </c>
    </row>
    <row r="122" spans="1:17" ht="12.95" customHeight="1" x14ac:dyDescent="0.2">
      <c r="A122" s="36" t="s">
        <v>442</v>
      </c>
      <c r="B122" s="37" t="str">
        <f>'Risk Master'!C121&amp;"-"&amp;'Risk Master'!D121</f>
        <v>Thunderstorms, Tornados &amp; Hail-Calgary</v>
      </c>
      <c r="C122" s="29" t="str">
        <f>'Risk Master'!F121</f>
        <v>A64</v>
      </c>
      <c r="D122" s="37" t="str">
        <f>VLOOKUP(C122,'Asset Master'!A:B,2,FALSE)</f>
        <v>Property (Office Locations)-Calgary</v>
      </c>
      <c r="E122" s="64">
        <f>'Risk Master'!N121</f>
        <v>100000</v>
      </c>
      <c r="H122" s="66">
        <v>0</v>
      </c>
      <c r="I122" s="29">
        <v>0</v>
      </c>
      <c r="J122" s="66">
        <v>0</v>
      </c>
      <c r="K122" s="29">
        <v>0</v>
      </c>
      <c r="L122" s="66">
        <v>0</v>
      </c>
      <c r="M122" s="29">
        <v>0</v>
      </c>
      <c r="N122" s="66">
        <v>0</v>
      </c>
      <c r="O122" s="66">
        <v>0</v>
      </c>
      <c r="P122" s="29">
        <v>0</v>
      </c>
      <c r="Q122" s="66">
        <v>0</v>
      </c>
    </row>
    <row r="123" spans="1:17" ht="12.95" customHeight="1" x14ac:dyDescent="0.2">
      <c r="A123" s="36" t="s">
        <v>444</v>
      </c>
      <c r="B123" s="37" t="str">
        <f>'Risk Master'!C122&amp;"-"&amp;'Risk Master'!D122</f>
        <v>Hurricane-Typhoon -Calgary</v>
      </c>
      <c r="C123" s="29" t="str">
        <f>'Risk Master'!F122</f>
        <v>A64</v>
      </c>
      <c r="D123" s="37" t="str">
        <f>VLOOKUP(C123,'Asset Master'!A:B,2,FALSE)</f>
        <v>Property (Office Locations)-Calgary</v>
      </c>
      <c r="E123" s="64">
        <f>'Risk Master'!N122</f>
        <v>100000</v>
      </c>
      <c r="H123" s="66">
        <v>0</v>
      </c>
      <c r="I123" s="29">
        <v>0</v>
      </c>
      <c r="J123" s="66">
        <v>1</v>
      </c>
      <c r="K123" s="29">
        <v>0</v>
      </c>
      <c r="L123" s="66">
        <v>1</v>
      </c>
      <c r="M123" s="29">
        <v>0</v>
      </c>
      <c r="N123" s="66">
        <v>0</v>
      </c>
      <c r="O123" s="66">
        <v>0</v>
      </c>
      <c r="P123" s="29">
        <v>1</v>
      </c>
      <c r="Q123" s="66">
        <v>0</v>
      </c>
    </row>
    <row r="124" spans="1:17" ht="12.95" customHeight="1" x14ac:dyDescent="0.2">
      <c r="A124" s="36" t="s">
        <v>446</v>
      </c>
      <c r="B124" s="37" t="str">
        <f>'Risk Master'!C123&amp;"-"&amp;'Risk Master'!D123</f>
        <v>Earthquake-Calgary</v>
      </c>
      <c r="C124" s="29" t="str">
        <f>'Risk Master'!F123</f>
        <v>A64</v>
      </c>
      <c r="D124" s="37" t="str">
        <f>VLOOKUP(C124,'Asset Master'!A:B,2,FALSE)</f>
        <v>Property (Office Locations)-Calgary</v>
      </c>
      <c r="E124" s="64">
        <f>'Risk Master'!N123</f>
        <v>100000</v>
      </c>
      <c r="H124" s="66">
        <v>0</v>
      </c>
      <c r="I124" s="29">
        <v>0</v>
      </c>
      <c r="J124" s="66">
        <v>0</v>
      </c>
      <c r="K124" s="29">
        <v>0</v>
      </c>
      <c r="L124" s="66">
        <v>0</v>
      </c>
      <c r="M124" s="29">
        <v>0</v>
      </c>
      <c r="N124" s="66">
        <v>0</v>
      </c>
      <c r="O124" s="66">
        <v>0</v>
      </c>
      <c r="P124" s="29">
        <v>0</v>
      </c>
      <c r="Q124" s="66">
        <v>0</v>
      </c>
    </row>
    <row r="125" spans="1:17" ht="12.95" customHeight="1" x14ac:dyDescent="0.2">
      <c r="A125" s="36" t="s">
        <v>448</v>
      </c>
      <c r="B125" s="37" t="str">
        <f>'Risk Master'!C124&amp;"-"&amp;'Risk Master'!D124</f>
        <v>Thunderstorms, Tornados &amp; Hail-Calgary</v>
      </c>
      <c r="C125" s="29" t="str">
        <f>'Risk Master'!F124</f>
        <v>A67</v>
      </c>
      <c r="D125" s="37" t="str">
        <f>VLOOKUP(C125,'Asset Master'!A:B,2,FALSE)</f>
        <v>Hotels &amp; Resorts-Calgary</v>
      </c>
      <c r="E125" s="64">
        <f>'Risk Master'!N124</f>
        <v>110000</v>
      </c>
      <c r="H125" s="66">
        <v>0</v>
      </c>
      <c r="I125" s="29">
        <v>0</v>
      </c>
      <c r="J125" s="66">
        <v>0</v>
      </c>
      <c r="K125" s="29">
        <v>0</v>
      </c>
      <c r="L125" s="66">
        <v>0</v>
      </c>
      <c r="M125" s="29">
        <v>0</v>
      </c>
      <c r="N125" s="66">
        <v>0</v>
      </c>
      <c r="O125" s="29">
        <v>0</v>
      </c>
      <c r="P125" s="29">
        <v>1</v>
      </c>
      <c r="Q125" s="66">
        <v>0</v>
      </c>
    </row>
    <row r="126" spans="1:17" ht="12.95" customHeight="1" x14ac:dyDescent="0.2">
      <c r="A126" s="36" t="s">
        <v>450</v>
      </c>
      <c r="B126" s="37" t="str">
        <f>'Risk Master'!C125&amp;"-"&amp;'Risk Master'!D125</f>
        <v>Hurricane-Typhoon -Calgary</v>
      </c>
      <c r="C126" s="29" t="str">
        <f>'Risk Master'!F125</f>
        <v>A68</v>
      </c>
      <c r="D126" s="37" t="str">
        <f>VLOOKUP(C126,'Asset Master'!A:B,2,FALSE)</f>
        <v>Supermarkets &amp; Malls-Calgary</v>
      </c>
      <c r="E126" s="64">
        <f>'Risk Master'!N125</f>
        <v>30000</v>
      </c>
      <c r="H126" s="66">
        <v>0</v>
      </c>
      <c r="I126" s="29">
        <v>0</v>
      </c>
      <c r="J126" s="66">
        <v>0</v>
      </c>
      <c r="K126" s="29">
        <v>0</v>
      </c>
      <c r="L126" s="66">
        <v>0</v>
      </c>
      <c r="M126" s="29">
        <v>0</v>
      </c>
      <c r="N126" s="66">
        <v>0</v>
      </c>
      <c r="O126" s="29">
        <v>0</v>
      </c>
      <c r="P126" s="29">
        <v>0</v>
      </c>
      <c r="Q126" s="66">
        <v>0</v>
      </c>
    </row>
    <row r="127" spans="1:17" ht="12.95" customHeight="1" x14ac:dyDescent="0.2">
      <c r="A127" s="36" t="s">
        <v>452</v>
      </c>
      <c r="B127" s="37" t="str">
        <f>'Risk Master'!C126&amp;"-"&amp;'Risk Master'!D126</f>
        <v>Earthquake-Calgary</v>
      </c>
      <c r="C127" s="29" t="str">
        <f>'Risk Master'!F126</f>
        <v>A69</v>
      </c>
      <c r="D127" s="37" t="str">
        <f>VLOOKUP(C127,'Asset Master'!A:B,2,FALSE)</f>
        <v>Mines-Calgary</v>
      </c>
      <c r="E127" s="64">
        <f>'Risk Master'!N126</f>
        <v>30000</v>
      </c>
      <c r="H127" s="66">
        <v>0</v>
      </c>
      <c r="I127" s="29">
        <v>0</v>
      </c>
      <c r="J127" s="66">
        <v>0</v>
      </c>
      <c r="K127" s="29">
        <v>0</v>
      </c>
      <c r="L127" s="66">
        <v>0</v>
      </c>
      <c r="M127" s="29">
        <v>0</v>
      </c>
      <c r="N127" s="66">
        <v>1</v>
      </c>
      <c r="O127" s="29">
        <v>0</v>
      </c>
      <c r="P127" s="29">
        <v>0</v>
      </c>
      <c r="Q127" s="66">
        <v>0</v>
      </c>
    </row>
    <row r="128" spans="1:17" ht="12.95" customHeight="1" x14ac:dyDescent="0.2">
      <c r="A128" s="36" t="s">
        <v>454</v>
      </c>
      <c r="B128" s="37" t="str">
        <f>'Risk Master'!C127&amp;"-"&amp;'Risk Master'!D127</f>
        <v>Thunderstorms, Tornados &amp; Hail-Calgary</v>
      </c>
      <c r="C128" s="29" t="str">
        <f>'Risk Master'!F127</f>
        <v>A71</v>
      </c>
      <c r="D128" s="37" t="str">
        <f>VLOOKUP(C128,'Asset Master'!A:B,2,FALSE)</f>
        <v>Oil Refineries-Calgary</v>
      </c>
      <c r="E128" s="64">
        <f>'Risk Master'!N127</f>
        <v>100000</v>
      </c>
      <c r="H128" s="66">
        <v>0</v>
      </c>
      <c r="I128" s="29">
        <v>0</v>
      </c>
      <c r="J128" s="66">
        <v>0</v>
      </c>
      <c r="K128" s="29">
        <v>0</v>
      </c>
      <c r="L128" s="66">
        <v>0</v>
      </c>
      <c r="M128" s="29">
        <v>0</v>
      </c>
      <c r="N128" s="66">
        <v>0</v>
      </c>
      <c r="O128" s="29">
        <v>0</v>
      </c>
      <c r="P128" s="29">
        <v>0</v>
      </c>
      <c r="Q128" s="66">
        <v>0</v>
      </c>
    </row>
    <row r="129" spans="1:17" ht="12.95" customHeight="1" x14ac:dyDescent="0.2">
      <c r="A129" s="36" t="s">
        <v>456</v>
      </c>
      <c r="B129" s="37" t="str">
        <f>'Risk Master'!C128&amp;"-"&amp;'Risk Master'!D128</f>
        <v>Hurricane-Typhoon -Calgary</v>
      </c>
      <c r="C129" s="29" t="str">
        <f>'Risk Master'!F128</f>
        <v>A72</v>
      </c>
      <c r="D129" s="37" t="str">
        <f>VLOOKUP(C129,'Asset Master'!A:B,2,FALSE)</f>
        <v>Telecom Towers-Calgary</v>
      </c>
      <c r="E129" s="64">
        <f>'Risk Master'!N128</f>
        <v>50000</v>
      </c>
      <c r="H129" s="66">
        <v>1</v>
      </c>
      <c r="I129" s="29">
        <v>1</v>
      </c>
      <c r="J129" s="66">
        <v>0</v>
      </c>
      <c r="K129" s="29">
        <v>1</v>
      </c>
      <c r="L129" s="66">
        <v>0</v>
      </c>
      <c r="M129" s="29">
        <v>1</v>
      </c>
      <c r="N129" s="66">
        <v>0</v>
      </c>
      <c r="O129" s="29">
        <v>1</v>
      </c>
      <c r="P129" s="29">
        <v>1</v>
      </c>
      <c r="Q129" s="66">
        <v>0</v>
      </c>
    </row>
    <row r="130" spans="1:17" ht="12.95" customHeight="1" x14ac:dyDescent="0.2">
      <c r="A130" s="36" t="s">
        <v>458</v>
      </c>
      <c r="B130" s="37" t="str">
        <f>'Risk Master'!C129&amp;"-"&amp;'Risk Master'!D129</f>
        <v>Earthquake-Calgary</v>
      </c>
      <c r="C130" s="29" t="str">
        <f>'Risk Master'!F129</f>
        <v>A73</v>
      </c>
      <c r="D130" s="37" t="str">
        <f>VLOOKUP(C130,'Asset Master'!A:B,2,FALSE)</f>
        <v>Aircrafts-Calgary</v>
      </c>
      <c r="E130" s="64">
        <f>'Risk Master'!N129</f>
        <v>20000</v>
      </c>
      <c r="H130" s="66">
        <v>0</v>
      </c>
      <c r="I130" s="29">
        <v>1</v>
      </c>
      <c r="J130" s="66">
        <v>0</v>
      </c>
      <c r="K130" s="29">
        <v>1</v>
      </c>
      <c r="L130" s="66">
        <v>0</v>
      </c>
      <c r="M130" s="29">
        <v>0</v>
      </c>
      <c r="N130" s="66">
        <v>0</v>
      </c>
      <c r="O130" s="29">
        <v>1</v>
      </c>
      <c r="P130" s="29">
        <v>1</v>
      </c>
      <c r="Q130" s="66">
        <v>0</v>
      </c>
    </row>
    <row r="131" spans="1:17" ht="12.95" customHeight="1" x14ac:dyDescent="0.2">
      <c r="A131" s="36" t="s">
        <v>460</v>
      </c>
      <c r="B131" s="37" t="str">
        <f>'Risk Master'!C130&amp;"-"&amp;'Risk Master'!D130</f>
        <v>Thunderstorms, Tornados &amp; Hail-Calgary</v>
      </c>
      <c r="C131" s="29" t="str">
        <f>'Risk Master'!F130</f>
        <v>A75</v>
      </c>
      <c r="D131" s="37" t="str">
        <f>VLOOKUP(C131,'Asset Master'!A:B,2,FALSE)</f>
        <v>Fleets &amp; Cars-Calgary</v>
      </c>
      <c r="E131" s="64">
        <f>'Risk Master'!N130</f>
        <v>20000</v>
      </c>
      <c r="H131" s="66">
        <v>0</v>
      </c>
      <c r="I131" s="29">
        <v>0</v>
      </c>
      <c r="J131" s="66">
        <v>0</v>
      </c>
      <c r="K131" s="29">
        <v>0</v>
      </c>
      <c r="L131" s="66">
        <v>0</v>
      </c>
      <c r="M131" s="29">
        <v>0</v>
      </c>
      <c r="N131" s="66">
        <v>0</v>
      </c>
      <c r="O131" s="29">
        <v>0</v>
      </c>
      <c r="P131" s="29">
        <v>0</v>
      </c>
      <c r="Q131" s="66">
        <v>0</v>
      </c>
    </row>
    <row r="132" spans="1:17" ht="12.95" customHeight="1" x14ac:dyDescent="0.2">
      <c r="A132" s="36" t="s">
        <v>462</v>
      </c>
      <c r="B132" s="37" t="str">
        <f>'Risk Master'!C131&amp;"-"&amp;'Risk Master'!D131</f>
        <v>Hurricane-Typhoon -Calgary</v>
      </c>
      <c r="C132" s="29" t="str">
        <f>'Risk Master'!F131</f>
        <v>A67</v>
      </c>
      <c r="D132" s="37" t="str">
        <f>VLOOKUP(C132,'Asset Master'!A:B,2,FALSE)</f>
        <v>Hotels &amp; Resorts-Calgary</v>
      </c>
      <c r="E132" s="64">
        <f>'Risk Master'!N131</f>
        <v>110000</v>
      </c>
      <c r="H132" s="66">
        <v>1</v>
      </c>
      <c r="I132" s="29">
        <v>0</v>
      </c>
      <c r="J132" s="66">
        <v>0</v>
      </c>
      <c r="K132" s="29">
        <v>1</v>
      </c>
      <c r="L132" s="66">
        <v>0</v>
      </c>
      <c r="M132" s="29">
        <v>0</v>
      </c>
      <c r="N132" s="66">
        <v>0</v>
      </c>
      <c r="O132" s="29">
        <v>1</v>
      </c>
      <c r="P132" s="29">
        <v>0</v>
      </c>
      <c r="Q132" s="66">
        <v>0</v>
      </c>
    </row>
    <row r="133" spans="1:17" ht="12.95" customHeight="1" x14ac:dyDescent="0.2">
      <c r="A133" s="36" t="s">
        <v>464</v>
      </c>
      <c r="B133" s="37" t="str">
        <f>'Risk Master'!C132&amp;"-"&amp;'Risk Master'!D132</f>
        <v>Earthquake-Calgary</v>
      </c>
      <c r="C133" s="29" t="str">
        <f>'Risk Master'!F132</f>
        <v>A68</v>
      </c>
      <c r="D133" s="37" t="str">
        <f>VLOOKUP(C133,'Asset Master'!A:B,2,FALSE)</f>
        <v>Supermarkets &amp; Malls-Calgary</v>
      </c>
      <c r="E133" s="64">
        <f>'Risk Master'!N132</f>
        <v>30000</v>
      </c>
      <c r="H133" s="66">
        <v>0</v>
      </c>
      <c r="I133" s="29">
        <v>0</v>
      </c>
      <c r="J133" s="66">
        <v>0</v>
      </c>
      <c r="K133" s="29">
        <v>0</v>
      </c>
      <c r="L133" s="66">
        <v>1</v>
      </c>
      <c r="M133" s="29">
        <v>0</v>
      </c>
      <c r="N133" s="66">
        <v>0</v>
      </c>
      <c r="O133" s="29">
        <v>0</v>
      </c>
      <c r="P133" s="29">
        <v>0</v>
      </c>
      <c r="Q133" s="66">
        <v>1</v>
      </c>
    </row>
    <row r="134" spans="1:17" ht="12.95" customHeight="1" x14ac:dyDescent="0.2">
      <c r="A134" s="36" t="s">
        <v>466</v>
      </c>
      <c r="B134" s="37" t="str">
        <f>'Risk Master'!C133&amp;"-"&amp;'Risk Master'!D133</f>
        <v>Hurricane-Typhoon -Calgary</v>
      </c>
      <c r="C134" s="29" t="str">
        <f>'Risk Master'!F133</f>
        <v>A73</v>
      </c>
      <c r="D134" s="37" t="str">
        <f>VLOOKUP(C134,'Asset Master'!A:B,2,FALSE)</f>
        <v>Aircrafts-Calgary</v>
      </c>
      <c r="E134" s="64">
        <f>'Risk Master'!N133</f>
        <v>20000</v>
      </c>
      <c r="H134" s="66">
        <v>1</v>
      </c>
      <c r="I134" s="29">
        <v>0</v>
      </c>
      <c r="J134" s="66">
        <v>0</v>
      </c>
      <c r="K134" s="29">
        <v>0</v>
      </c>
      <c r="L134" s="66">
        <v>0</v>
      </c>
      <c r="M134" s="29">
        <v>0</v>
      </c>
      <c r="N134" s="66">
        <v>0</v>
      </c>
      <c r="O134" s="29">
        <v>0</v>
      </c>
      <c r="P134" s="29">
        <v>0</v>
      </c>
      <c r="Q134" s="66">
        <v>0</v>
      </c>
    </row>
    <row r="135" spans="1:17" ht="12.95" customHeight="1" x14ac:dyDescent="0.2">
      <c r="A135" s="36" t="s">
        <v>468</v>
      </c>
      <c r="B135" s="37" t="str">
        <f>'Risk Master'!C134&amp;"-"&amp;'Risk Master'!D134</f>
        <v>Thunderstorms, Tornados &amp; Tropical storms-Gulf of Mexico</v>
      </c>
      <c r="C135" s="29" t="str">
        <f>'Risk Master'!F134</f>
        <v>A78</v>
      </c>
      <c r="D135" s="37" t="str">
        <f>VLOOKUP(C135,'Asset Master'!A:B,2,FALSE)</f>
        <v>Pipelines-Gulf of Mexico</v>
      </c>
      <c r="E135" s="64">
        <f>'Risk Master'!N134</f>
        <v>40000</v>
      </c>
      <c r="H135" s="66">
        <v>0</v>
      </c>
      <c r="I135" s="29">
        <v>1</v>
      </c>
      <c r="J135" s="66">
        <v>0</v>
      </c>
      <c r="K135" s="29">
        <v>1</v>
      </c>
      <c r="L135" s="66">
        <v>0</v>
      </c>
      <c r="M135" s="29">
        <v>0</v>
      </c>
      <c r="N135" s="66">
        <v>0</v>
      </c>
      <c r="O135" s="29">
        <v>0</v>
      </c>
      <c r="P135" s="29">
        <v>0</v>
      </c>
      <c r="Q135" s="66">
        <v>0</v>
      </c>
    </row>
    <row r="136" spans="1:17" ht="12.95" customHeight="1" x14ac:dyDescent="0.2">
      <c r="A136" s="36" t="s">
        <v>470</v>
      </c>
      <c r="B136" s="37" t="str">
        <f>'Risk Master'!C135&amp;"-"&amp;'Risk Master'!D135</f>
        <v>Hurricane-Typhoon -Gulf of Mexico</v>
      </c>
      <c r="C136" s="29" t="str">
        <f>'Risk Master'!F135</f>
        <v>A79</v>
      </c>
      <c r="D136" s="37" t="str">
        <f>VLOOKUP(C136,'Asset Master'!A:B,2,FALSE)</f>
        <v>Property (Office Locations)-Gulf of Mexico</v>
      </c>
      <c r="E136" s="64">
        <f>'Risk Master'!N135</f>
        <v>50000</v>
      </c>
      <c r="H136" s="66">
        <v>0</v>
      </c>
      <c r="I136" s="29">
        <v>1</v>
      </c>
      <c r="J136" s="66">
        <v>0</v>
      </c>
      <c r="K136" s="29">
        <v>1</v>
      </c>
      <c r="L136" s="66">
        <v>0</v>
      </c>
      <c r="M136" s="29">
        <v>0</v>
      </c>
      <c r="N136" s="66">
        <v>0</v>
      </c>
      <c r="O136" s="29">
        <v>1</v>
      </c>
      <c r="P136" s="29">
        <v>0</v>
      </c>
      <c r="Q136" s="66">
        <v>1</v>
      </c>
    </row>
    <row r="137" spans="1:17" ht="12.95" customHeight="1" x14ac:dyDescent="0.2">
      <c r="A137" s="36" t="s">
        <v>472</v>
      </c>
      <c r="B137" s="37" t="str">
        <f>'Risk Master'!C136&amp;"-"&amp;'Risk Master'!D136</f>
        <v>Thunderstorms, Tornados &amp; Tropical storms-Gulf of Mexico</v>
      </c>
      <c r="C137" s="29" t="str">
        <f>'Risk Master'!F136</f>
        <v>A81</v>
      </c>
      <c r="D137" s="37" t="str">
        <f>VLOOKUP(C137,'Asset Master'!A:B,2,FALSE)</f>
        <v>Warehouse &amp; Cold Storage-Gulf of Mexico</v>
      </c>
      <c r="E137" s="64">
        <f>'Risk Master'!N136</f>
        <v>20000</v>
      </c>
      <c r="H137" s="66">
        <v>0</v>
      </c>
      <c r="I137" s="29">
        <v>0</v>
      </c>
      <c r="J137" s="66">
        <v>1</v>
      </c>
      <c r="K137" s="29">
        <v>0</v>
      </c>
      <c r="L137" s="66">
        <v>1</v>
      </c>
      <c r="M137" s="29">
        <v>0</v>
      </c>
      <c r="N137" s="66">
        <v>0</v>
      </c>
      <c r="O137" s="29">
        <v>0</v>
      </c>
      <c r="P137" s="29">
        <v>0</v>
      </c>
      <c r="Q137" s="66">
        <v>0</v>
      </c>
    </row>
    <row r="138" spans="1:17" ht="12.95" customHeight="1" x14ac:dyDescent="0.2">
      <c r="A138" s="36" t="s">
        <v>474</v>
      </c>
      <c r="B138" s="37" t="str">
        <f>'Risk Master'!C137&amp;"-"&amp;'Risk Master'!D137</f>
        <v>Thunderstorms, Tornados &amp; Tropical storms-Gulf of Mexico</v>
      </c>
      <c r="C138" s="29" t="str">
        <f>'Risk Master'!F137</f>
        <v>A83</v>
      </c>
      <c r="D138" s="37" t="str">
        <f>VLOOKUP(C138,'Asset Master'!A:B,2,FALSE)</f>
        <v>Supermarkets &amp; Malls-Gulf of Mexico</v>
      </c>
      <c r="E138" s="64">
        <f>'Risk Master'!N137</f>
        <v>30000</v>
      </c>
      <c r="H138" s="66">
        <v>0</v>
      </c>
      <c r="I138" s="29">
        <v>0</v>
      </c>
      <c r="J138" s="66">
        <v>0</v>
      </c>
      <c r="K138" s="29">
        <v>0</v>
      </c>
      <c r="L138" s="66">
        <v>0</v>
      </c>
      <c r="M138" s="29">
        <v>0</v>
      </c>
      <c r="N138" s="66">
        <v>0</v>
      </c>
      <c r="O138" s="29">
        <v>0</v>
      </c>
      <c r="P138" s="29">
        <v>0</v>
      </c>
      <c r="Q138" s="66">
        <v>1</v>
      </c>
    </row>
    <row r="139" spans="1:17" ht="12.95" customHeight="1" x14ac:dyDescent="0.2">
      <c r="A139" s="36" t="s">
        <v>476</v>
      </c>
      <c r="B139" s="37" t="str">
        <f>'Risk Master'!C138&amp;"-"&amp;'Risk Master'!D138</f>
        <v>Thunderstorms, Tornados &amp; Tropical storms-Gulf of Mexico</v>
      </c>
      <c r="C139" s="29" t="str">
        <f>'Risk Master'!F138</f>
        <v>A88</v>
      </c>
      <c r="D139" s="37" t="str">
        <f>VLOOKUP(C139,'Asset Master'!A:B,2,FALSE)</f>
        <v>Aircrafts-Gulf of Mexico</v>
      </c>
      <c r="E139" s="64">
        <f>'Risk Master'!N138</f>
        <v>50000</v>
      </c>
      <c r="H139" s="66">
        <v>0</v>
      </c>
      <c r="I139" s="29">
        <v>1</v>
      </c>
      <c r="J139" s="66">
        <v>0</v>
      </c>
      <c r="K139" s="29">
        <v>0</v>
      </c>
      <c r="L139" s="66">
        <v>1</v>
      </c>
      <c r="M139" s="29">
        <v>1</v>
      </c>
      <c r="N139" s="66">
        <v>0</v>
      </c>
      <c r="O139" s="29">
        <v>0</v>
      </c>
      <c r="P139" s="29">
        <v>0</v>
      </c>
      <c r="Q139" s="66">
        <v>0</v>
      </c>
    </row>
    <row r="140" spans="1:17" ht="12.95" customHeight="1" x14ac:dyDescent="0.2">
      <c r="A140" s="36" t="s">
        <v>671</v>
      </c>
      <c r="B140" s="37" t="str">
        <f>'Risk Master'!C139&amp;"-"&amp;'Risk Master'!D139</f>
        <v>Earthquake-Gulf of Mexico</v>
      </c>
      <c r="C140" s="29" t="str">
        <f>'Risk Master'!F139</f>
        <v>A90</v>
      </c>
      <c r="D140" s="37" t="str">
        <f>VLOOKUP(C140,'Asset Master'!A:B,2,FALSE)</f>
        <v>Fleets &amp; Cars-Gulf of Mexico</v>
      </c>
      <c r="E140" s="64">
        <f>'Risk Master'!N139</f>
        <v>60000</v>
      </c>
      <c r="H140" s="66">
        <v>0</v>
      </c>
      <c r="I140" s="29">
        <v>0</v>
      </c>
      <c r="J140" s="66">
        <v>0</v>
      </c>
      <c r="K140" s="29">
        <v>0</v>
      </c>
      <c r="L140" s="66">
        <v>0</v>
      </c>
      <c r="M140" s="29">
        <v>0</v>
      </c>
      <c r="N140" s="66">
        <v>0</v>
      </c>
      <c r="O140" s="29">
        <v>0</v>
      </c>
      <c r="P140" s="29">
        <v>0</v>
      </c>
      <c r="Q140" s="66">
        <v>1</v>
      </c>
    </row>
    <row r="141" spans="1:17" ht="12.95" customHeight="1" x14ac:dyDescent="0.2">
      <c r="A141" s="36" t="s">
        <v>672</v>
      </c>
      <c r="B141" s="37" t="str">
        <f>'Risk Master'!C140&amp;"-"&amp;'Risk Master'!D140</f>
        <v>Thunderstorms, Tornados &amp; Hail-Tokyo</v>
      </c>
      <c r="C141" s="29" t="str">
        <f>'Risk Master'!F140</f>
        <v>A93</v>
      </c>
      <c r="D141" s="37" t="str">
        <f>VLOOKUP(C141,'Asset Master'!A:B,2,FALSE)</f>
        <v>Pipelines-Tokyo</v>
      </c>
      <c r="E141" s="64">
        <f>'Risk Master'!N140</f>
        <v>40000</v>
      </c>
      <c r="H141" s="66">
        <v>0</v>
      </c>
      <c r="I141" s="29">
        <v>1</v>
      </c>
      <c r="J141" s="66">
        <v>0</v>
      </c>
      <c r="K141" s="29">
        <v>1</v>
      </c>
      <c r="L141" s="66">
        <v>1</v>
      </c>
      <c r="M141" s="29">
        <v>0</v>
      </c>
      <c r="N141" s="66">
        <v>1</v>
      </c>
      <c r="O141" s="29">
        <v>0</v>
      </c>
      <c r="P141" s="29">
        <v>0</v>
      </c>
      <c r="Q141" s="66">
        <v>0</v>
      </c>
    </row>
    <row r="142" spans="1:17" ht="12.95" customHeight="1" x14ac:dyDescent="0.2">
      <c r="A142" s="36" t="s">
        <v>673</v>
      </c>
      <c r="B142" s="37" t="str">
        <f>'Risk Master'!C141&amp;"-"&amp;'Risk Master'!D141</f>
        <v>Hurricane-Typhoon -Tokyo</v>
      </c>
      <c r="C142" s="29" t="str">
        <f>'Risk Master'!F141</f>
        <v>A93</v>
      </c>
      <c r="D142" s="37" t="str">
        <f>VLOOKUP(C142,'Asset Master'!A:B,2,FALSE)</f>
        <v>Pipelines-Tokyo</v>
      </c>
      <c r="E142" s="64">
        <f>'Risk Master'!N141</f>
        <v>40000</v>
      </c>
      <c r="H142" s="66">
        <v>0</v>
      </c>
      <c r="I142" s="29">
        <v>0</v>
      </c>
      <c r="J142" s="66">
        <v>0</v>
      </c>
      <c r="K142" s="29">
        <v>0</v>
      </c>
      <c r="L142" s="29">
        <v>0</v>
      </c>
      <c r="M142" s="29">
        <v>0</v>
      </c>
      <c r="N142" s="66">
        <v>0</v>
      </c>
      <c r="O142" s="29">
        <v>0</v>
      </c>
      <c r="P142" s="29">
        <v>0</v>
      </c>
      <c r="Q142" s="66">
        <v>1</v>
      </c>
    </row>
    <row r="143" spans="1:17" ht="12.95" customHeight="1" x14ac:dyDescent="0.2">
      <c r="A143" s="36" t="s">
        <v>674</v>
      </c>
      <c r="B143" s="37" t="str">
        <f>'Risk Master'!C142&amp;"-"&amp;'Risk Master'!D142</f>
        <v>Earthquake-Tokyo</v>
      </c>
      <c r="C143" s="29" t="str">
        <f>'Risk Master'!F142</f>
        <v>A93</v>
      </c>
      <c r="D143" s="37" t="str">
        <f>VLOOKUP(C143,'Asset Master'!A:B,2,FALSE)</f>
        <v>Pipelines-Tokyo</v>
      </c>
      <c r="E143" s="64">
        <f>'Risk Master'!N142</f>
        <v>40000</v>
      </c>
      <c r="H143" s="66">
        <v>0</v>
      </c>
      <c r="I143" s="29">
        <v>0</v>
      </c>
      <c r="J143" s="66">
        <v>0</v>
      </c>
      <c r="K143" s="29">
        <v>1</v>
      </c>
      <c r="L143" s="29">
        <v>0</v>
      </c>
      <c r="M143" s="29">
        <v>0</v>
      </c>
      <c r="N143" s="66">
        <v>0</v>
      </c>
      <c r="O143" s="29">
        <v>0</v>
      </c>
      <c r="P143" s="29">
        <v>0</v>
      </c>
      <c r="Q143" s="66">
        <v>0</v>
      </c>
    </row>
    <row r="144" spans="1:17" ht="12.95" customHeight="1" x14ac:dyDescent="0.2">
      <c r="A144" s="36" t="s">
        <v>675</v>
      </c>
      <c r="B144" s="37" t="str">
        <f>'Risk Master'!C143&amp;"-"&amp;'Risk Master'!D143</f>
        <v>Thunderstorms, Tornados &amp; Hail-Tokyo</v>
      </c>
      <c r="C144" s="29" t="str">
        <f>'Risk Master'!F143</f>
        <v>A94</v>
      </c>
      <c r="D144" s="37" t="str">
        <f>VLOOKUP(C144,'Asset Master'!A:B,2,FALSE)</f>
        <v>Property (Office Locations)-Tokyo</v>
      </c>
      <c r="E144" s="64">
        <f>'Risk Master'!N143</f>
        <v>30000</v>
      </c>
      <c r="H144" s="66">
        <v>0</v>
      </c>
      <c r="I144" s="29">
        <v>0</v>
      </c>
      <c r="J144" s="66">
        <v>0</v>
      </c>
      <c r="K144" s="29">
        <v>0</v>
      </c>
      <c r="L144" s="29">
        <v>0</v>
      </c>
      <c r="M144" s="29">
        <v>0</v>
      </c>
      <c r="N144" s="66">
        <v>1</v>
      </c>
      <c r="O144" s="29">
        <v>0</v>
      </c>
      <c r="P144" s="29">
        <v>0</v>
      </c>
      <c r="Q144" s="66">
        <v>1</v>
      </c>
    </row>
    <row r="145" spans="1:17" ht="12.95" customHeight="1" x14ac:dyDescent="0.2">
      <c r="A145" s="36" t="s">
        <v>676</v>
      </c>
      <c r="B145" s="37" t="str">
        <f>'Risk Master'!C144&amp;"-"&amp;'Risk Master'!D144</f>
        <v>Hurricane-Typhoon -Tokyo</v>
      </c>
      <c r="C145" s="29" t="str">
        <f>'Risk Master'!F144</f>
        <v>A94</v>
      </c>
      <c r="D145" s="37" t="str">
        <f>VLOOKUP(C145,'Asset Master'!A:B,2,FALSE)</f>
        <v>Property (Office Locations)-Tokyo</v>
      </c>
      <c r="E145" s="64">
        <f>'Risk Master'!N144</f>
        <v>30000</v>
      </c>
      <c r="H145" s="66">
        <v>0</v>
      </c>
      <c r="I145" s="29">
        <v>0</v>
      </c>
      <c r="J145" s="66">
        <v>0</v>
      </c>
      <c r="K145" s="29">
        <v>0</v>
      </c>
      <c r="L145" s="29">
        <v>0</v>
      </c>
      <c r="M145" s="29">
        <v>0</v>
      </c>
      <c r="N145" s="66">
        <v>0</v>
      </c>
      <c r="O145" s="29">
        <v>0</v>
      </c>
      <c r="P145" s="29">
        <v>0</v>
      </c>
      <c r="Q145" s="29">
        <v>0</v>
      </c>
    </row>
    <row r="146" spans="1:17" ht="12.95" customHeight="1" x14ac:dyDescent="0.2">
      <c r="A146" s="36" t="s">
        <v>677</v>
      </c>
      <c r="B146" s="37" t="str">
        <f>'Risk Master'!C145&amp;"-"&amp;'Risk Master'!D145</f>
        <v>Earthquake-Tokyo</v>
      </c>
      <c r="C146" s="29" t="str">
        <f>'Risk Master'!F145</f>
        <v>A98</v>
      </c>
      <c r="D146" s="37" t="str">
        <f>VLOOKUP(C146,'Asset Master'!A:B,2,FALSE)</f>
        <v>Supermarkets &amp; Malls-Tokyo</v>
      </c>
      <c r="E146" s="64">
        <f>'Risk Master'!N145</f>
        <v>30000</v>
      </c>
      <c r="H146" s="66">
        <v>0</v>
      </c>
      <c r="I146" s="29">
        <v>0</v>
      </c>
      <c r="J146" s="66">
        <v>0</v>
      </c>
      <c r="K146" s="29">
        <v>0</v>
      </c>
      <c r="L146" s="29">
        <v>0</v>
      </c>
      <c r="M146" s="29">
        <v>1</v>
      </c>
      <c r="N146" s="66">
        <v>1</v>
      </c>
      <c r="O146" s="29">
        <v>0</v>
      </c>
      <c r="P146" s="29">
        <v>0</v>
      </c>
      <c r="Q146" s="29">
        <v>0</v>
      </c>
    </row>
    <row r="147" spans="1:17" ht="12.95" customHeight="1" x14ac:dyDescent="0.2">
      <c r="A147" s="36" t="s">
        <v>678</v>
      </c>
      <c r="B147" s="37" t="str">
        <f>'Risk Master'!C146&amp;"-"&amp;'Risk Master'!D146</f>
        <v>Thunderstorms, Tornados &amp; Hail-Tokyo</v>
      </c>
      <c r="C147" s="29" t="str">
        <f>'Risk Master'!F146</f>
        <v>A99</v>
      </c>
      <c r="D147" s="37" t="str">
        <f>VLOOKUP(C147,'Asset Master'!A:B,2,FALSE)</f>
        <v>Mines-Tokyo</v>
      </c>
      <c r="E147" s="64">
        <f>'Risk Master'!N146</f>
        <v>30000</v>
      </c>
      <c r="H147" s="66">
        <v>0</v>
      </c>
      <c r="I147" s="29">
        <v>0</v>
      </c>
      <c r="J147" s="66">
        <v>0</v>
      </c>
      <c r="K147" s="29">
        <v>0</v>
      </c>
      <c r="L147" s="29">
        <v>0</v>
      </c>
      <c r="M147" s="29">
        <v>0</v>
      </c>
      <c r="N147" s="66">
        <v>0</v>
      </c>
      <c r="O147" s="29">
        <v>0</v>
      </c>
      <c r="P147" s="29">
        <v>0</v>
      </c>
      <c r="Q147" s="29">
        <v>0</v>
      </c>
    </row>
    <row r="148" spans="1:17" ht="12.95" customHeight="1" x14ac:dyDescent="0.2">
      <c r="A148" s="36" t="s">
        <v>679</v>
      </c>
      <c r="B148" s="37" t="str">
        <f>'Risk Master'!C147&amp;"-"&amp;'Risk Master'!D147</f>
        <v>Fire-Tokyo</v>
      </c>
      <c r="C148" s="29" t="str">
        <f>'Risk Master'!F147</f>
        <v>A103</v>
      </c>
      <c r="D148" s="37" t="str">
        <f>VLOOKUP(C148,'Asset Master'!A:B,2,FALSE)</f>
        <v>Aircrafts-Tokyo</v>
      </c>
      <c r="E148" s="64">
        <f>'Risk Master'!N147</f>
        <v>20000</v>
      </c>
      <c r="H148" s="66">
        <v>0</v>
      </c>
      <c r="I148" s="29">
        <v>0</v>
      </c>
      <c r="J148" s="66">
        <v>0</v>
      </c>
      <c r="K148" s="29">
        <v>0</v>
      </c>
      <c r="L148" s="29">
        <v>0</v>
      </c>
      <c r="M148" s="29">
        <v>0</v>
      </c>
      <c r="N148" s="66">
        <v>1</v>
      </c>
      <c r="O148" s="29">
        <v>1</v>
      </c>
      <c r="P148" s="29">
        <v>0</v>
      </c>
      <c r="Q148" s="29">
        <v>1</v>
      </c>
    </row>
    <row r="149" spans="1:17" ht="12.95" customHeight="1" x14ac:dyDescent="0.2">
      <c r="A149" s="36" t="s">
        <v>680</v>
      </c>
      <c r="B149" s="37" t="str">
        <f>'Risk Master'!C148&amp;"-"&amp;'Risk Master'!D148</f>
        <v>Earthquake-Tokyo</v>
      </c>
      <c r="C149" s="29" t="str">
        <f>'Risk Master'!F148</f>
        <v>A103</v>
      </c>
      <c r="D149" s="37" t="str">
        <f>VLOOKUP(C149,'Asset Master'!A:B,2,FALSE)</f>
        <v>Aircrafts-Tokyo</v>
      </c>
      <c r="E149" s="64">
        <f>'Risk Master'!N148</f>
        <v>20000</v>
      </c>
      <c r="H149" s="66">
        <v>0</v>
      </c>
      <c r="I149" s="29">
        <v>0</v>
      </c>
      <c r="J149" s="66">
        <v>0</v>
      </c>
      <c r="K149" s="29">
        <v>0</v>
      </c>
      <c r="L149" s="29">
        <v>0</v>
      </c>
      <c r="M149" s="29">
        <v>0</v>
      </c>
      <c r="N149" s="66">
        <v>0</v>
      </c>
      <c r="O149" s="29">
        <v>0</v>
      </c>
      <c r="P149" s="29">
        <v>0</v>
      </c>
      <c r="Q149" s="29">
        <v>1</v>
      </c>
    </row>
    <row r="150" spans="1:17" ht="12.95" customHeight="1" x14ac:dyDescent="0.2">
      <c r="A150" s="36" t="s">
        <v>681</v>
      </c>
      <c r="B150" s="37" t="str">
        <f>'Risk Master'!C149&amp;"-"&amp;'Risk Master'!D149</f>
        <v>Thunderstorms, Tornados &amp; Hail-Tokyo</v>
      </c>
      <c r="C150" s="29" t="str">
        <f>'Risk Master'!F149</f>
        <v>A105</v>
      </c>
      <c r="D150" s="37" t="str">
        <f>VLOOKUP(C150,'Asset Master'!A:B,2,FALSE)</f>
        <v>Fleets &amp; Cars-Tokyo</v>
      </c>
      <c r="E150" s="64">
        <f>'Risk Master'!N149</f>
        <v>40000</v>
      </c>
      <c r="H150" s="66">
        <v>0</v>
      </c>
      <c r="I150" s="29">
        <v>0</v>
      </c>
      <c r="J150" s="66">
        <v>0</v>
      </c>
      <c r="K150" s="29">
        <v>0</v>
      </c>
      <c r="L150" s="29">
        <v>0</v>
      </c>
      <c r="M150" s="29">
        <v>0</v>
      </c>
      <c r="N150" s="66">
        <v>1</v>
      </c>
      <c r="O150" s="29">
        <v>0</v>
      </c>
      <c r="P150" s="29">
        <v>0</v>
      </c>
      <c r="Q150" s="29">
        <v>1</v>
      </c>
    </row>
    <row r="151" spans="1:17" ht="12.95" customHeight="1" x14ac:dyDescent="0.2">
      <c r="A151" s="36" t="s">
        <v>682</v>
      </c>
      <c r="B151" s="37" t="str">
        <f>'Risk Master'!C150&amp;"-"&amp;'Risk Master'!D150</f>
        <v>Hurricane-Typhoon -Tokyo</v>
      </c>
      <c r="C151" s="29" t="str">
        <f>'Risk Master'!F150</f>
        <v>A105</v>
      </c>
      <c r="D151" s="37" t="str">
        <f>VLOOKUP(C151,'Asset Master'!A:B,2,FALSE)</f>
        <v>Fleets &amp; Cars-Tokyo</v>
      </c>
      <c r="E151" s="64">
        <f>'Risk Master'!N150</f>
        <v>40000</v>
      </c>
      <c r="H151" s="66">
        <v>0</v>
      </c>
      <c r="I151" s="29">
        <v>0</v>
      </c>
      <c r="J151" s="66">
        <v>1</v>
      </c>
      <c r="K151" s="29">
        <v>0</v>
      </c>
      <c r="L151" s="29">
        <v>0</v>
      </c>
      <c r="M151" s="29">
        <v>0</v>
      </c>
      <c r="N151" s="66">
        <v>0</v>
      </c>
      <c r="O151" s="29">
        <v>1</v>
      </c>
      <c r="P151" s="29">
        <v>0</v>
      </c>
      <c r="Q151" s="29">
        <v>0</v>
      </c>
    </row>
    <row r="152" spans="1:17" ht="12.95" customHeight="1" x14ac:dyDescent="0.2">
      <c r="A152" s="36" t="s">
        <v>683</v>
      </c>
      <c r="B152" s="37" t="str">
        <f>'Risk Master'!C151&amp;"-"&amp;'Risk Master'!D151</f>
        <v>Earthquake-Tokyo</v>
      </c>
      <c r="C152" s="29" t="str">
        <f>'Risk Master'!F151</f>
        <v>A105</v>
      </c>
      <c r="D152" s="37" t="str">
        <f>VLOOKUP(C152,'Asset Master'!A:B,2,FALSE)</f>
        <v>Fleets &amp; Cars-Tokyo</v>
      </c>
      <c r="E152" s="64">
        <f>'Risk Master'!N151</f>
        <v>40000</v>
      </c>
      <c r="H152" s="66">
        <v>0</v>
      </c>
      <c r="I152" s="29">
        <v>0</v>
      </c>
      <c r="J152" s="66">
        <v>0</v>
      </c>
      <c r="K152" s="29">
        <v>0</v>
      </c>
      <c r="L152" s="29">
        <v>0</v>
      </c>
      <c r="M152" s="29">
        <v>0</v>
      </c>
      <c r="N152" s="66">
        <v>1</v>
      </c>
      <c r="O152" s="29">
        <v>0</v>
      </c>
      <c r="P152" s="29">
        <v>0</v>
      </c>
      <c r="Q152" s="29">
        <v>0</v>
      </c>
    </row>
    <row r="153" spans="1:17" ht="12.95" customHeight="1" x14ac:dyDescent="0.2">
      <c r="A153" s="36" t="s">
        <v>684</v>
      </c>
      <c r="B153" s="37" t="str">
        <f>'Risk Master'!C152&amp;"-"&amp;'Risk Master'!D152</f>
        <v>Fire-Tokyo</v>
      </c>
      <c r="C153" s="29" t="str">
        <f>'Risk Master'!F152</f>
        <v>A94</v>
      </c>
      <c r="D153" s="37" t="str">
        <f>VLOOKUP(C153,'Asset Master'!A:B,2,FALSE)</f>
        <v>Property (Office Locations)-Tokyo</v>
      </c>
      <c r="E153" s="64">
        <f>'Risk Master'!N152</f>
        <v>30000</v>
      </c>
      <c r="H153" s="66">
        <v>0</v>
      </c>
      <c r="I153" s="29">
        <v>0</v>
      </c>
      <c r="J153" s="66">
        <v>0</v>
      </c>
      <c r="K153" s="29">
        <v>0</v>
      </c>
      <c r="L153" s="29">
        <v>0</v>
      </c>
      <c r="M153" s="29">
        <v>0</v>
      </c>
      <c r="N153" s="29">
        <v>0</v>
      </c>
      <c r="O153" s="29">
        <v>1</v>
      </c>
      <c r="P153" s="29">
        <v>0</v>
      </c>
      <c r="Q153" s="29">
        <v>0</v>
      </c>
    </row>
    <row r="154" spans="1:17" ht="12.95" customHeight="1" x14ac:dyDescent="0.2">
      <c r="A154" s="36" t="s">
        <v>685</v>
      </c>
      <c r="B154" s="37" t="str">
        <f>'Risk Master'!C153&amp;"-"&amp;'Risk Master'!D153</f>
        <v>Thunderstorms, Tornados &amp; Hail-Tokyo</v>
      </c>
      <c r="C154" s="29" t="str">
        <f>'Risk Master'!F153</f>
        <v>A98</v>
      </c>
      <c r="D154" s="37" t="str">
        <f>VLOOKUP(C154,'Asset Master'!A:B,2,FALSE)</f>
        <v>Supermarkets &amp; Malls-Tokyo</v>
      </c>
      <c r="E154" s="64">
        <f>'Risk Master'!N153</f>
        <v>30000</v>
      </c>
      <c r="H154" s="66">
        <v>0</v>
      </c>
      <c r="I154" s="29">
        <v>0</v>
      </c>
      <c r="J154" s="66">
        <v>1</v>
      </c>
      <c r="K154" s="29">
        <v>0</v>
      </c>
      <c r="L154" s="29">
        <v>0</v>
      </c>
      <c r="M154" s="29">
        <v>0</v>
      </c>
      <c r="N154" s="29">
        <v>0</v>
      </c>
      <c r="O154" s="29">
        <v>0</v>
      </c>
      <c r="P154" s="29">
        <v>0</v>
      </c>
      <c r="Q154" s="29">
        <v>0</v>
      </c>
    </row>
    <row r="155" spans="1:17" ht="12.95" customHeight="1" x14ac:dyDescent="0.2">
      <c r="A155" s="36" t="s">
        <v>686</v>
      </c>
      <c r="B155" s="37" t="str">
        <f>'Risk Master'!C154&amp;"-"&amp;'Risk Master'!D154</f>
        <v>Tropical Storm-Tokyo</v>
      </c>
      <c r="C155" s="29" t="str">
        <f>'Risk Master'!F154</f>
        <v>A99</v>
      </c>
      <c r="D155" s="37" t="str">
        <f>VLOOKUP(C155,'Asset Master'!A:B,2,FALSE)</f>
        <v>Mines-Tokyo</v>
      </c>
      <c r="E155" s="64">
        <f>'Risk Master'!N154</f>
        <v>30000</v>
      </c>
      <c r="H155" s="66">
        <v>0</v>
      </c>
      <c r="I155" s="29">
        <v>0</v>
      </c>
      <c r="J155" s="66">
        <v>0</v>
      </c>
      <c r="K155" s="29">
        <v>0</v>
      </c>
      <c r="L155" s="29">
        <v>0</v>
      </c>
      <c r="M155" s="29">
        <v>0</v>
      </c>
      <c r="N155" s="29">
        <v>0</v>
      </c>
      <c r="O155" s="29">
        <v>1</v>
      </c>
      <c r="P155" s="29">
        <v>0</v>
      </c>
      <c r="Q155" s="29">
        <v>0</v>
      </c>
    </row>
    <row r="156" spans="1:17" ht="12.95" customHeight="1" x14ac:dyDescent="0.2">
      <c r="A156" s="36" t="s">
        <v>687</v>
      </c>
      <c r="B156" s="37" t="str">
        <f>'Risk Master'!C155&amp;"-"&amp;'Risk Master'!D155</f>
        <v>Earthquake-Tokyo</v>
      </c>
      <c r="C156" s="29" t="str">
        <f>'Risk Master'!F155</f>
        <v>A98</v>
      </c>
      <c r="D156" s="37" t="str">
        <f>VLOOKUP(C156,'Asset Master'!A:B,2,FALSE)</f>
        <v>Supermarkets &amp; Malls-Tokyo</v>
      </c>
      <c r="E156" s="64">
        <f>'Risk Master'!N155</f>
        <v>30000</v>
      </c>
      <c r="H156" s="66">
        <v>1</v>
      </c>
      <c r="I156" s="29">
        <v>0</v>
      </c>
      <c r="J156" s="66">
        <v>1</v>
      </c>
      <c r="K156" s="29">
        <v>1</v>
      </c>
      <c r="L156" s="29">
        <v>1</v>
      </c>
      <c r="M156" s="29">
        <v>0</v>
      </c>
      <c r="N156" s="29">
        <v>0</v>
      </c>
      <c r="O156" s="29">
        <v>1</v>
      </c>
      <c r="P156" s="29">
        <v>0</v>
      </c>
      <c r="Q156" s="29">
        <v>1</v>
      </c>
    </row>
    <row r="157" spans="1:17" ht="12.95" customHeight="1" x14ac:dyDescent="0.2">
      <c r="A157" s="36" t="s">
        <v>688</v>
      </c>
      <c r="B157" s="37" t="str">
        <f>'Risk Master'!C156&amp;"-"&amp;'Risk Master'!D156</f>
        <v>Fire-Tokyo</v>
      </c>
      <c r="C157" s="29" t="str">
        <f>'Risk Master'!F156</f>
        <v>A99</v>
      </c>
      <c r="D157" s="37" t="str">
        <f>VLOOKUP(C157,'Asset Master'!A:B,2,FALSE)</f>
        <v>Mines-Tokyo</v>
      </c>
      <c r="E157" s="64">
        <f>'Risk Master'!N156</f>
        <v>30000</v>
      </c>
      <c r="H157" s="66">
        <v>0</v>
      </c>
      <c r="I157" s="29">
        <v>0</v>
      </c>
      <c r="J157" s="66">
        <v>0</v>
      </c>
      <c r="K157" s="29">
        <v>0</v>
      </c>
      <c r="L157" s="29">
        <v>0</v>
      </c>
      <c r="M157" s="29">
        <v>0</v>
      </c>
      <c r="N157" s="29">
        <v>0</v>
      </c>
      <c r="O157" s="29">
        <v>1</v>
      </c>
      <c r="P157" s="29">
        <v>0</v>
      </c>
      <c r="Q157" s="29">
        <v>0</v>
      </c>
    </row>
    <row r="158" spans="1:17" ht="12.95" customHeight="1" x14ac:dyDescent="0.2">
      <c r="A158" s="36" t="s">
        <v>689</v>
      </c>
      <c r="B158" s="37" t="str">
        <f>'Risk Master'!C157&amp;"-"&amp;'Risk Master'!D157</f>
        <v>Fire-Tokyo</v>
      </c>
      <c r="C158" s="29" t="str">
        <f>'Risk Master'!F157</f>
        <v>A98</v>
      </c>
      <c r="D158" s="37" t="str">
        <f>VLOOKUP(C158,'Asset Master'!A:B,2,FALSE)</f>
        <v>Supermarkets &amp; Malls-Tokyo</v>
      </c>
      <c r="E158" s="64">
        <f>'Risk Master'!N157</f>
        <v>30000</v>
      </c>
      <c r="H158" s="66">
        <v>0</v>
      </c>
      <c r="I158" s="29">
        <v>0</v>
      </c>
      <c r="J158" s="66">
        <v>1</v>
      </c>
      <c r="K158" s="29">
        <v>0</v>
      </c>
      <c r="L158" s="29">
        <v>0</v>
      </c>
      <c r="M158" s="29">
        <v>0</v>
      </c>
      <c r="N158" s="29">
        <v>1</v>
      </c>
      <c r="O158" s="29">
        <v>0</v>
      </c>
      <c r="P158" s="29">
        <v>0</v>
      </c>
      <c r="Q158" s="29">
        <v>0</v>
      </c>
    </row>
    <row r="159" spans="1:17" ht="12.95" customHeight="1" x14ac:dyDescent="0.2">
      <c r="A159" s="36" t="s">
        <v>690</v>
      </c>
      <c r="B159" s="37" t="str">
        <f>'Risk Master'!C158&amp;"-"&amp;'Risk Master'!D158</f>
        <v>Thunderstorms, Tornados &amp; Tropical storms-Caribbean Islands</v>
      </c>
      <c r="C159" s="29" t="str">
        <f>'Risk Master'!F158</f>
        <v>A109</v>
      </c>
      <c r="D159" s="37" t="str">
        <f>VLOOKUP(C159,'Asset Master'!A:B,2,FALSE)</f>
        <v>Property (Office Locations)-Caribbean Islands</v>
      </c>
      <c r="E159" s="64">
        <f>'Risk Master'!N158</f>
        <v>40000</v>
      </c>
      <c r="H159" s="66">
        <v>0</v>
      </c>
      <c r="I159" s="29">
        <v>0</v>
      </c>
      <c r="J159" s="66">
        <v>0</v>
      </c>
      <c r="K159" s="29">
        <v>0</v>
      </c>
      <c r="L159" s="29">
        <v>0</v>
      </c>
      <c r="M159" s="29">
        <v>0</v>
      </c>
      <c r="N159" s="29">
        <v>0</v>
      </c>
      <c r="O159" s="29">
        <v>1</v>
      </c>
      <c r="P159" s="29">
        <v>0</v>
      </c>
      <c r="Q159" s="29">
        <v>0</v>
      </c>
    </row>
    <row r="160" spans="1:17" ht="12.95" customHeight="1" x14ac:dyDescent="0.2">
      <c r="A160" s="36" t="s">
        <v>691</v>
      </c>
      <c r="B160" s="37" t="str">
        <f>'Risk Master'!C159&amp;"-"&amp;'Risk Master'!D159</f>
        <v>Thunderstorms, Tornados &amp; Tropical storms-Caribbean Islands</v>
      </c>
      <c r="C160" s="29" t="str">
        <f>'Risk Master'!F159</f>
        <v>A109</v>
      </c>
      <c r="D160" s="37" t="str">
        <f>VLOOKUP(C160,'Asset Master'!A:B,2,FALSE)</f>
        <v>Property (Office Locations)-Caribbean Islands</v>
      </c>
      <c r="E160" s="64">
        <f>'Risk Master'!N159</f>
        <v>40000</v>
      </c>
      <c r="H160" s="66">
        <v>0</v>
      </c>
      <c r="I160" s="29">
        <v>0</v>
      </c>
      <c r="J160" s="66">
        <v>1</v>
      </c>
      <c r="K160" s="29">
        <v>0</v>
      </c>
      <c r="L160" s="29">
        <v>0</v>
      </c>
      <c r="M160" s="29">
        <v>0</v>
      </c>
      <c r="N160" s="29">
        <v>0</v>
      </c>
      <c r="O160" s="29">
        <v>0</v>
      </c>
      <c r="P160" s="29">
        <v>0</v>
      </c>
      <c r="Q160" s="29">
        <v>0</v>
      </c>
    </row>
    <row r="161" spans="1:17" ht="12.95" customHeight="1" x14ac:dyDescent="0.2">
      <c r="A161" s="36" t="s">
        <v>692</v>
      </c>
      <c r="B161" s="37" t="str">
        <f>'Risk Master'!C160&amp;"-"&amp;'Risk Master'!D160</f>
        <v>Thunderstorms, Tornados &amp; Tropical storms-Caribbean Islands</v>
      </c>
      <c r="C161" s="29" t="str">
        <f>'Risk Master'!F160</f>
        <v>A113</v>
      </c>
      <c r="D161" s="37" t="str">
        <f>VLOOKUP(C161,'Asset Master'!A:B,2,FALSE)</f>
        <v>Supermarkets &amp; Malls-Caribbean Islands</v>
      </c>
      <c r="E161" s="64">
        <f>'Risk Master'!N160</f>
        <v>60000</v>
      </c>
      <c r="H161" s="66">
        <v>0</v>
      </c>
      <c r="I161" s="29">
        <v>0</v>
      </c>
      <c r="J161" s="66">
        <v>0</v>
      </c>
      <c r="K161" s="29">
        <v>0</v>
      </c>
      <c r="L161" s="29">
        <v>0</v>
      </c>
      <c r="M161" s="29">
        <v>0</v>
      </c>
      <c r="N161" s="29">
        <v>0</v>
      </c>
      <c r="O161" s="29">
        <v>1</v>
      </c>
      <c r="P161" s="29">
        <v>0</v>
      </c>
      <c r="Q161" s="29">
        <v>1</v>
      </c>
    </row>
    <row r="162" spans="1:17" ht="12.95" customHeight="1" x14ac:dyDescent="0.2">
      <c r="A162" s="36" t="s">
        <v>693</v>
      </c>
      <c r="B162" s="37" t="str">
        <f>'Risk Master'!C161&amp;"-"&amp;'Risk Master'!D161</f>
        <v>Earthquake-Caribbean Islands</v>
      </c>
      <c r="C162" s="29" t="str">
        <f>'Risk Master'!F161</f>
        <v>A113</v>
      </c>
      <c r="D162" s="37" t="str">
        <f>VLOOKUP(C162,'Asset Master'!A:B,2,FALSE)</f>
        <v>Supermarkets &amp; Malls-Caribbean Islands</v>
      </c>
      <c r="E162" s="64">
        <f>'Risk Master'!N161</f>
        <v>60000</v>
      </c>
      <c r="H162" s="66">
        <v>0</v>
      </c>
      <c r="I162" s="29">
        <v>0</v>
      </c>
      <c r="J162" s="66">
        <v>1</v>
      </c>
      <c r="K162" s="29">
        <v>0</v>
      </c>
      <c r="L162" s="29">
        <v>0</v>
      </c>
      <c r="M162" s="29">
        <v>0</v>
      </c>
      <c r="N162" s="29">
        <v>1</v>
      </c>
      <c r="O162" s="29"/>
      <c r="P162" s="29">
        <v>0</v>
      </c>
      <c r="Q162" s="29">
        <v>0</v>
      </c>
    </row>
    <row r="163" spans="1:17" ht="12.95" customHeight="1" x14ac:dyDescent="0.2">
      <c r="A163" s="36" t="s">
        <v>694</v>
      </c>
      <c r="B163" s="37" t="str">
        <f>'Risk Master'!C162&amp;"-"&amp;'Risk Master'!D162</f>
        <v>Thunderstorms, Tornados &amp; Hail-Caribbean Islands</v>
      </c>
      <c r="C163" s="29" t="str">
        <f>'Risk Master'!F162</f>
        <v>A113</v>
      </c>
      <c r="D163" s="37" t="str">
        <f>VLOOKUP(C163,'Asset Master'!A:B,2,FALSE)</f>
        <v>Supermarkets &amp; Malls-Caribbean Islands</v>
      </c>
      <c r="E163" s="64">
        <f>'Risk Master'!N162</f>
        <v>60000</v>
      </c>
      <c r="H163" s="66">
        <v>0</v>
      </c>
      <c r="I163" s="29">
        <v>1</v>
      </c>
      <c r="J163" s="29">
        <v>0</v>
      </c>
      <c r="K163" s="29">
        <v>0</v>
      </c>
      <c r="L163" s="29">
        <v>0</v>
      </c>
      <c r="M163" s="29">
        <v>0</v>
      </c>
      <c r="N163" s="29">
        <v>0</v>
      </c>
      <c r="O163" s="29">
        <v>0</v>
      </c>
      <c r="P163" s="29">
        <v>0</v>
      </c>
      <c r="Q163" s="29">
        <v>0</v>
      </c>
    </row>
    <row r="164" spans="1:17" ht="12.95" customHeight="1" x14ac:dyDescent="0.2">
      <c r="A164" s="36" t="s">
        <v>695</v>
      </c>
      <c r="B164" s="37" t="str">
        <f>'Risk Master'!C163&amp;"-"&amp;'Risk Master'!D163</f>
        <v>Thunderstorms, Tornados &amp; Tropical storms-Caribbean Islands</v>
      </c>
      <c r="C164" s="29" t="str">
        <f>'Risk Master'!F163</f>
        <v>A109</v>
      </c>
      <c r="D164" s="37" t="str">
        <f>VLOOKUP(C164,'Asset Master'!A:B,2,FALSE)</f>
        <v>Property (Office Locations)-Caribbean Islands</v>
      </c>
      <c r="E164" s="64">
        <f>'Risk Master'!N163</f>
        <v>40000</v>
      </c>
      <c r="H164" s="66">
        <v>0</v>
      </c>
      <c r="I164" s="29">
        <v>0</v>
      </c>
      <c r="J164" s="29">
        <v>0</v>
      </c>
      <c r="K164" s="29">
        <v>0</v>
      </c>
      <c r="L164" s="29">
        <v>0</v>
      </c>
      <c r="M164" s="29">
        <v>0</v>
      </c>
      <c r="N164" s="29">
        <v>0</v>
      </c>
      <c r="O164" s="29">
        <v>0</v>
      </c>
      <c r="P164" s="29">
        <v>0</v>
      </c>
      <c r="Q164" s="29">
        <v>0</v>
      </c>
    </row>
    <row r="165" spans="1:17" ht="12.95" customHeight="1" x14ac:dyDescent="0.2">
      <c r="A165" s="36" t="s">
        <v>696</v>
      </c>
      <c r="B165" s="37" t="str">
        <f>'Risk Master'!C164&amp;"-"&amp;'Risk Master'!D164</f>
        <v>Earthquake-Caribbean Islands</v>
      </c>
      <c r="C165" s="29" t="str">
        <f>'Risk Master'!F164</f>
        <v>A118</v>
      </c>
      <c r="D165" s="37" t="str">
        <f>VLOOKUP(C165,'Asset Master'!A:B,2,FALSE)</f>
        <v>Aircrafts-Caribbean Islands</v>
      </c>
      <c r="E165" s="64">
        <f>'Risk Master'!N164</f>
        <v>60000</v>
      </c>
      <c r="H165" s="66">
        <v>0</v>
      </c>
      <c r="I165" s="29">
        <v>0</v>
      </c>
      <c r="J165" s="29">
        <v>0</v>
      </c>
      <c r="K165" s="29">
        <v>0</v>
      </c>
      <c r="L165" s="29">
        <v>1</v>
      </c>
      <c r="M165" s="29">
        <v>0</v>
      </c>
      <c r="N165" s="29">
        <v>0</v>
      </c>
      <c r="O165" s="29">
        <v>1</v>
      </c>
      <c r="P165" s="29">
        <v>0</v>
      </c>
      <c r="Q165" s="29">
        <v>0</v>
      </c>
    </row>
    <row r="166" spans="1:17" ht="12.95" customHeight="1" x14ac:dyDescent="0.2">
      <c r="A166" s="36" t="s">
        <v>726</v>
      </c>
      <c r="B166" s="37" t="str">
        <f>'Risk Master'!C165&amp;"-"&amp;'Risk Master'!D165</f>
        <v>Hurricane-Typhoon -Caribbean Islands</v>
      </c>
      <c r="C166" s="29" t="str">
        <f>'Risk Master'!F165</f>
        <v>A118</v>
      </c>
      <c r="D166" s="37" t="str">
        <f>VLOOKUP(C166,'Asset Master'!A:B,2,FALSE)</f>
        <v>Aircrafts-Caribbean Islands</v>
      </c>
      <c r="E166" s="64">
        <f>'Risk Master'!N165</f>
        <v>60000</v>
      </c>
      <c r="H166" s="66">
        <v>0</v>
      </c>
      <c r="I166" s="29">
        <v>0</v>
      </c>
      <c r="J166" s="29">
        <v>0</v>
      </c>
      <c r="K166" s="29">
        <v>0</v>
      </c>
      <c r="L166" s="29">
        <v>0</v>
      </c>
      <c r="M166" s="29">
        <v>0</v>
      </c>
      <c r="N166" s="29">
        <v>0</v>
      </c>
      <c r="O166" s="29">
        <v>0</v>
      </c>
      <c r="P166" s="29">
        <v>0</v>
      </c>
      <c r="Q166" s="29">
        <v>0</v>
      </c>
    </row>
    <row r="167" spans="1:17" ht="12.95" customHeight="1" x14ac:dyDescent="0.2">
      <c r="A167" s="36" t="s">
        <v>728</v>
      </c>
      <c r="B167" s="37" t="str">
        <f>'Risk Master'!C166&amp;"-"&amp;'Risk Master'!D166</f>
        <v>Thunderstorms, Tornados &amp; Hail-Caribbean Islands</v>
      </c>
      <c r="C167" s="29" t="str">
        <f>'Risk Master'!F166</f>
        <v>A118</v>
      </c>
      <c r="D167" s="37" t="str">
        <f>VLOOKUP(C167,'Asset Master'!A:B,2,FALSE)</f>
        <v>Aircrafts-Caribbean Islands</v>
      </c>
      <c r="E167" s="64">
        <f>'Risk Master'!N166</f>
        <v>60000</v>
      </c>
      <c r="H167" s="66">
        <v>0</v>
      </c>
      <c r="I167" s="29">
        <v>0</v>
      </c>
      <c r="J167" s="29">
        <v>0</v>
      </c>
      <c r="K167" s="29">
        <v>0</v>
      </c>
      <c r="L167" s="29">
        <v>1</v>
      </c>
      <c r="M167" s="29">
        <v>0</v>
      </c>
      <c r="N167" s="29">
        <v>0</v>
      </c>
      <c r="O167" s="29">
        <v>0</v>
      </c>
      <c r="P167" s="29">
        <v>0</v>
      </c>
      <c r="Q167" s="29">
        <v>0</v>
      </c>
    </row>
    <row r="168" spans="1:17" ht="12.95" customHeight="1" x14ac:dyDescent="0.2">
      <c r="A168" s="36" t="s">
        <v>730</v>
      </c>
      <c r="B168" s="37" t="str">
        <f>'Risk Master'!C167&amp;"-"&amp;'Risk Master'!D167</f>
        <v>Hurricane-Typhoon -Caribbean Islands</v>
      </c>
      <c r="C168" s="29" t="str">
        <f>'Risk Master'!F167</f>
        <v>A120</v>
      </c>
      <c r="D168" s="37" t="str">
        <f>VLOOKUP(C168,'Asset Master'!A:B,2,FALSE)</f>
        <v>Fleets &amp; Cars-Caribbean Islands</v>
      </c>
      <c r="E168" s="64">
        <f>'Risk Master'!N167</f>
        <v>20000</v>
      </c>
      <c r="H168" s="66">
        <v>0</v>
      </c>
      <c r="I168" s="29">
        <v>0</v>
      </c>
      <c r="J168" s="29">
        <v>0</v>
      </c>
      <c r="K168" s="29">
        <v>0</v>
      </c>
      <c r="L168" s="29">
        <v>0</v>
      </c>
      <c r="M168" s="29">
        <v>0</v>
      </c>
      <c r="N168" s="29">
        <v>0</v>
      </c>
      <c r="O168" s="29">
        <v>0</v>
      </c>
      <c r="P168" s="29">
        <v>0</v>
      </c>
      <c r="Q168" s="29">
        <v>0</v>
      </c>
    </row>
    <row r="169" spans="1:17" ht="12.95" customHeight="1" x14ac:dyDescent="0.2">
      <c r="A169" s="36" t="s">
        <v>732</v>
      </c>
      <c r="B169" s="37" t="str">
        <f>'Risk Master'!C168&amp;"-"&amp;'Risk Master'!D168</f>
        <v>Earthquake-Caribbean Islands</v>
      </c>
      <c r="C169" s="29" t="str">
        <f>'Risk Master'!F168</f>
        <v>A120</v>
      </c>
      <c r="D169" s="37" t="str">
        <f>VLOOKUP(C169,'Asset Master'!A:B,2,FALSE)</f>
        <v>Fleets &amp; Cars-Caribbean Islands</v>
      </c>
      <c r="E169" s="64">
        <f>'Risk Master'!N168</f>
        <v>20000</v>
      </c>
      <c r="H169" s="66">
        <v>0</v>
      </c>
      <c r="I169" s="29">
        <v>0</v>
      </c>
      <c r="J169" s="29">
        <v>0</v>
      </c>
      <c r="K169" s="29">
        <v>0</v>
      </c>
      <c r="L169" s="29">
        <v>0</v>
      </c>
      <c r="M169" s="29">
        <v>0</v>
      </c>
      <c r="N169" s="29">
        <v>0</v>
      </c>
      <c r="O169" s="29">
        <v>0</v>
      </c>
      <c r="P169" s="29">
        <v>0</v>
      </c>
      <c r="Q169" s="29">
        <v>0</v>
      </c>
    </row>
    <row r="170" spans="1:17" ht="12.95" customHeight="1" x14ac:dyDescent="0.2">
      <c r="A170" s="36" t="s">
        <v>734</v>
      </c>
      <c r="B170" s="37" t="str">
        <f>'Risk Master'!C169&amp;"-"&amp;'Risk Master'!D169</f>
        <v>Fire-Caribbean Islands</v>
      </c>
      <c r="C170" s="29" t="str">
        <f>'Risk Master'!F169</f>
        <v>A120</v>
      </c>
      <c r="D170" s="37" t="str">
        <f>VLOOKUP(C170,'Asset Master'!A:B,2,FALSE)</f>
        <v>Fleets &amp; Cars-Caribbean Islands</v>
      </c>
      <c r="E170" s="64">
        <f>'Risk Master'!N169</f>
        <v>20000</v>
      </c>
      <c r="H170" s="66">
        <v>0</v>
      </c>
      <c r="I170" s="29">
        <v>1</v>
      </c>
      <c r="J170" s="29">
        <v>1</v>
      </c>
      <c r="K170" s="29">
        <v>1</v>
      </c>
      <c r="L170" s="29">
        <v>1</v>
      </c>
      <c r="M170" s="29">
        <v>1</v>
      </c>
      <c r="N170" s="29">
        <v>1</v>
      </c>
      <c r="O170" s="29">
        <v>0</v>
      </c>
      <c r="P170" s="29">
        <v>0</v>
      </c>
      <c r="Q170" s="29">
        <v>0</v>
      </c>
    </row>
    <row r="171" spans="1:17" ht="12.95" customHeight="1" x14ac:dyDescent="0.2">
      <c r="A171" s="36" t="s">
        <v>736</v>
      </c>
      <c r="B171" s="37" t="str">
        <f>'Risk Master'!C170&amp;"-"&amp;'Risk Master'!D170</f>
        <v>Tropical Storm-Caribbean Islands</v>
      </c>
      <c r="C171" s="29" t="str">
        <f>'Risk Master'!F170</f>
        <v>A120</v>
      </c>
      <c r="D171" s="37" t="str">
        <f>VLOOKUP(C171,'Asset Master'!A:B,2,FALSE)</f>
        <v>Fleets &amp; Cars-Caribbean Islands</v>
      </c>
      <c r="E171" s="64">
        <f>'Risk Master'!N170</f>
        <v>20000</v>
      </c>
      <c r="H171" s="66">
        <v>1</v>
      </c>
      <c r="I171" s="29">
        <v>0</v>
      </c>
      <c r="J171" s="29">
        <v>0</v>
      </c>
      <c r="K171" s="29">
        <v>0</v>
      </c>
      <c r="L171" s="29">
        <v>0</v>
      </c>
      <c r="M171" s="29">
        <v>0</v>
      </c>
      <c r="N171" s="29">
        <v>0</v>
      </c>
      <c r="O171" s="29">
        <v>0</v>
      </c>
      <c r="P171" s="29">
        <v>0</v>
      </c>
      <c r="Q171" s="29">
        <v>0</v>
      </c>
    </row>
    <row r="172" spans="1:17" ht="12.95" customHeight="1" x14ac:dyDescent="0.2">
      <c r="A172" s="36" t="s">
        <v>738</v>
      </c>
      <c r="B172" s="37" t="str">
        <f>'Risk Master'!C171&amp;"-"&amp;'Risk Master'!D171</f>
        <v>Earthquake-Texas</v>
      </c>
      <c r="C172" s="29" t="str">
        <f>'Risk Master'!F171</f>
        <v>A124</v>
      </c>
      <c r="D172" s="37" t="str">
        <f>VLOOKUP(C172,'Asset Master'!A:B,2,FALSE)</f>
        <v>Property (Office Locations)-Texas</v>
      </c>
      <c r="E172" s="64">
        <f>'Risk Master'!N171</f>
        <v>120000</v>
      </c>
      <c r="H172" s="66">
        <v>0</v>
      </c>
      <c r="I172" s="29">
        <v>0</v>
      </c>
      <c r="J172" s="29">
        <v>0</v>
      </c>
      <c r="K172" s="29">
        <v>0</v>
      </c>
      <c r="L172" s="29">
        <v>1</v>
      </c>
      <c r="M172" s="29">
        <v>0</v>
      </c>
      <c r="N172" s="29">
        <v>0</v>
      </c>
      <c r="O172" s="29">
        <v>0</v>
      </c>
      <c r="P172" s="29">
        <v>0</v>
      </c>
      <c r="Q172" s="29">
        <v>0</v>
      </c>
    </row>
    <row r="173" spans="1:17" ht="12.95" customHeight="1" x14ac:dyDescent="0.2">
      <c r="A173" s="36" t="s">
        <v>740</v>
      </c>
      <c r="B173" s="37" t="str">
        <f>'Risk Master'!C172&amp;"-"&amp;'Risk Master'!D172</f>
        <v>Thunderstorms, Tornados &amp; Hail-Texas</v>
      </c>
      <c r="C173" s="29" t="str">
        <f>'Risk Master'!F172</f>
        <v>A124</v>
      </c>
      <c r="D173" s="37" t="str">
        <f>VLOOKUP(C173,'Asset Master'!A:B,2,FALSE)</f>
        <v>Property (Office Locations)-Texas</v>
      </c>
      <c r="E173" s="64">
        <f>'Risk Master'!N172</f>
        <v>120000</v>
      </c>
      <c r="H173" s="66">
        <v>1</v>
      </c>
      <c r="I173" s="29">
        <v>0</v>
      </c>
      <c r="J173" s="29">
        <v>1</v>
      </c>
      <c r="K173" s="29">
        <v>1</v>
      </c>
      <c r="L173" s="29">
        <v>0</v>
      </c>
      <c r="M173" s="29">
        <v>0</v>
      </c>
      <c r="N173" s="29">
        <v>0</v>
      </c>
      <c r="O173" s="29">
        <v>0</v>
      </c>
      <c r="P173" s="29">
        <v>0</v>
      </c>
      <c r="Q173" s="29">
        <v>0</v>
      </c>
    </row>
    <row r="174" spans="1:17" ht="12.95" customHeight="1" x14ac:dyDescent="0.2">
      <c r="A174" s="36" t="s">
        <v>742</v>
      </c>
      <c r="B174" s="37" t="str">
        <f>'Risk Master'!C173&amp;"-"&amp;'Risk Master'!D173</f>
        <v>Hurricane-Typhoon -Texas</v>
      </c>
      <c r="C174" s="29" t="str">
        <f>'Risk Master'!F173</f>
        <v>A124</v>
      </c>
      <c r="D174" s="37" t="str">
        <f>VLOOKUP(C174,'Asset Master'!A:B,2,FALSE)</f>
        <v>Property (Office Locations)-Texas</v>
      </c>
      <c r="E174" s="64">
        <f>'Risk Master'!N173</f>
        <v>120000</v>
      </c>
      <c r="H174" s="66">
        <v>0</v>
      </c>
      <c r="I174" s="29">
        <v>0</v>
      </c>
      <c r="J174" s="29">
        <v>0</v>
      </c>
      <c r="K174" s="29">
        <v>0</v>
      </c>
      <c r="L174" s="29">
        <v>0</v>
      </c>
      <c r="M174" s="29">
        <v>1</v>
      </c>
      <c r="N174" s="29">
        <v>1</v>
      </c>
      <c r="O174" s="29">
        <v>0</v>
      </c>
      <c r="P174" s="29">
        <v>0</v>
      </c>
      <c r="Q174" s="29">
        <v>0</v>
      </c>
    </row>
    <row r="175" spans="1:17" ht="12.95" customHeight="1" x14ac:dyDescent="0.2">
      <c r="A175" s="36" t="s">
        <v>744</v>
      </c>
      <c r="B175" s="37" t="str">
        <f>'Risk Master'!C174&amp;"-"&amp;'Risk Master'!D174</f>
        <v>Earthquake-Texas</v>
      </c>
      <c r="C175" s="29" t="str">
        <f>'Risk Master'!F174</f>
        <v>A127</v>
      </c>
      <c r="D175" s="37" t="str">
        <f>VLOOKUP(C175,'Asset Master'!A:B,2,FALSE)</f>
        <v>Hotels &amp; Resorts-Texas</v>
      </c>
      <c r="E175" s="64">
        <f>'Risk Master'!N174</f>
        <v>100000</v>
      </c>
      <c r="H175" s="66">
        <v>1</v>
      </c>
      <c r="I175" s="29">
        <v>0</v>
      </c>
      <c r="J175" s="29">
        <v>1</v>
      </c>
      <c r="K175" s="29">
        <v>1</v>
      </c>
      <c r="L175" s="29">
        <v>0</v>
      </c>
      <c r="M175" s="29">
        <v>1</v>
      </c>
      <c r="N175" s="29">
        <v>0</v>
      </c>
      <c r="O175" s="29">
        <v>1</v>
      </c>
      <c r="P175" s="29">
        <v>0</v>
      </c>
      <c r="Q175" s="29">
        <v>0</v>
      </c>
    </row>
    <row r="176" spans="1:17" ht="12.95" customHeight="1" x14ac:dyDescent="0.2">
      <c r="A176" s="36" t="s">
        <v>746</v>
      </c>
      <c r="B176" s="37" t="str">
        <f>'Risk Master'!C175&amp;"-"&amp;'Risk Master'!D175</f>
        <v>Hurricane-Typhoon -Texas</v>
      </c>
      <c r="C176" s="29" t="str">
        <f>'Risk Master'!F175</f>
        <v>A128</v>
      </c>
      <c r="D176" s="37" t="str">
        <f>VLOOKUP(C176,'Asset Master'!A:B,2,FALSE)</f>
        <v>Supermarkets &amp; Malls-Texas</v>
      </c>
      <c r="E176" s="64">
        <f>'Risk Master'!N175</f>
        <v>30000</v>
      </c>
      <c r="H176" s="66">
        <v>0</v>
      </c>
      <c r="I176" s="29">
        <v>0</v>
      </c>
      <c r="J176" s="29">
        <v>0</v>
      </c>
      <c r="K176" s="29">
        <v>0</v>
      </c>
      <c r="L176" s="29">
        <v>0</v>
      </c>
      <c r="M176" s="29">
        <v>0</v>
      </c>
      <c r="N176" s="29">
        <v>0</v>
      </c>
      <c r="O176" s="29">
        <v>0</v>
      </c>
      <c r="P176" s="29">
        <v>0</v>
      </c>
      <c r="Q176" s="29">
        <v>0</v>
      </c>
    </row>
    <row r="177" spans="1:17" ht="12.95" customHeight="1" x14ac:dyDescent="0.2">
      <c r="A177" s="36" t="s">
        <v>748</v>
      </c>
      <c r="B177" s="37" t="str">
        <f>'Risk Master'!C176&amp;"-"&amp;'Risk Master'!D176</f>
        <v>Thunderstorms, Tornados &amp; Hail-Texas</v>
      </c>
      <c r="C177" s="29" t="str">
        <f>'Risk Master'!F176</f>
        <v>A131</v>
      </c>
      <c r="D177" s="37" t="str">
        <f>VLOOKUP(C177,'Asset Master'!A:B,2,FALSE)</f>
        <v>Oil Refineries-Texas</v>
      </c>
      <c r="E177" s="64">
        <f>'Risk Master'!N176</f>
        <v>100000</v>
      </c>
      <c r="H177" s="66">
        <v>0</v>
      </c>
      <c r="I177" s="29">
        <v>0</v>
      </c>
      <c r="J177" s="29">
        <v>1</v>
      </c>
      <c r="K177" s="29">
        <v>1</v>
      </c>
      <c r="L177" s="29">
        <v>0</v>
      </c>
      <c r="M177" s="29">
        <v>0</v>
      </c>
      <c r="N177" s="29">
        <v>1</v>
      </c>
      <c r="O177" s="29">
        <v>0</v>
      </c>
      <c r="P177" s="29">
        <v>0</v>
      </c>
      <c r="Q177" s="29">
        <v>0</v>
      </c>
    </row>
    <row r="178" spans="1:17" ht="12.95" customHeight="1" x14ac:dyDescent="0.2">
      <c r="A178" s="36" t="s">
        <v>750</v>
      </c>
      <c r="B178" s="37" t="str">
        <f>'Risk Master'!C177&amp;"-"&amp;'Risk Master'!D177</f>
        <v>Hurricane-Typhoon -Texas</v>
      </c>
      <c r="C178" s="29" t="str">
        <f>'Risk Master'!F177</f>
        <v>A131</v>
      </c>
      <c r="D178" s="37" t="str">
        <f>VLOOKUP(C178,'Asset Master'!A:B,2,FALSE)</f>
        <v>Oil Refineries-Texas</v>
      </c>
      <c r="E178" s="64">
        <f>'Risk Master'!N177</f>
        <v>100000</v>
      </c>
      <c r="H178" s="66">
        <v>0</v>
      </c>
      <c r="I178" s="29">
        <v>1</v>
      </c>
      <c r="J178" s="29">
        <v>0</v>
      </c>
      <c r="K178" s="29">
        <v>0</v>
      </c>
      <c r="L178" s="29">
        <v>0</v>
      </c>
      <c r="M178" s="29">
        <v>0</v>
      </c>
      <c r="N178" s="29">
        <v>0</v>
      </c>
      <c r="O178" s="29">
        <v>0</v>
      </c>
      <c r="P178" s="29">
        <v>0</v>
      </c>
      <c r="Q178" s="29">
        <v>0</v>
      </c>
    </row>
    <row r="179" spans="1:17" ht="12.95" customHeight="1" x14ac:dyDescent="0.2">
      <c r="A179" s="36" t="s">
        <v>752</v>
      </c>
      <c r="B179" s="37" t="str">
        <f>'Risk Master'!C178&amp;"-"&amp;'Risk Master'!D178</f>
        <v>Earthquake-Texas</v>
      </c>
      <c r="C179" s="29" t="str">
        <f>'Risk Master'!F178</f>
        <v>A131</v>
      </c>
      <c r="D179" s="37" t="str">
        <f>VLOOKUP(C179,'Asset Master'!A:B,2,FALSE)</f>
        <v>Oil Refineries-Texas</v>
      </c>
      <c r="E179" s="64">
        <f>'Risk Master'!N178</f>
        <v>100000</v>
      </c>
      <c r="H179" s="66">
        <v>1</v>
      </c>
      <c r="I179" s="29">
        <v>0</v>
      </c>
      <c r="J179" s="29">
        <v>0</v>
      </c>
      <c r="K179" s="29">
        <v>1</v>
      </c>
      <c r="L179" s="29">
        <v>0</v>
      </c>
      <c r="M179" s="29">
        <v>0</v>
      </c>
      <c r="N179" s="29">
        <v>1</v>
      </c>
      <c r="O179" s="29">
        <v>1</v>
      </c>
      <c r="P179" s="29">
        <v>0</v>
      </c>
      <c r="Q179" s="29">
        <v>0</v>
      </c>
    </row>
    <row r="180" spans="1:17" ht="12.95" customHeight="1" x14ac:dyDescent="0.2">
      <c r="A180" s="36" t="s">
        <v>754</v>
      </c>
      <c r="B180" s="37" t="str">
        <f>'Risk Master'!C179&amp;"-"&amp;'Risk Master'!D179</f>
        <v>Hurricane-Typhoon -Texas</v>
      </c>
      <c r="C180" s="29" t="str">
        <f>'Risk Master'!F179</f>
        <v>A132</v>
      </c>
      <c r="D180" s="37" t="str">
        <f>VLOOKUP(C180,'Asset Master'!A:B,2,FALSE)</f>
        <v>Telecom Towers-Texas</v>
      </c>
      <c r="E180" s="64">
        <f>'Risk Master'!N179</f>
        <v>50000</v>
      </c>
      <c r="H180" s="66">
        <v>0</v>
      </c>
      <c r="I180" s="29">
        <v>0</v>
      </c>
      <c r="J180" s="29">
        <v>0</v>
      </c>
      <c r="K180" s="29">
        <v>0</v>
      </c>
      <c r="L180" s="29">
        <v>0</v>
      </c>
      <c r="M180" s="29">
        <v>0</v>
      </c>
      <c r="N180" s="29">
        <v>0</v>
      </c>
      <c r="O180" s="29">
        <v>0</v>
      </c>
      <c r="P180" s="29">
        <v>0</v>
      </c>
      <c r="Q180" s="29">
        <v>0</v>
      </c>
    </row>
    <row r="181" spans="1:17" ht="12.95" customHeight="1" x14ac:dyDescent="0.2">
      <c r="A181" s="36" t="s">
        <v>756</v>
      </c>
      <c r="B181" s="37" t="str">
        <f>'Risk Master'!C180&amp;"-"&amp;'Risk Master'!D180</f>
        <v>Thunderstorms, Tornados &amp; Hail-Texas</v>
      </c>
      <c r="C181" s="29" t="str">
        <f>'Risk Master'!F180</f>
        <v>A132</v>
      </c>
      <c r="D181" s="37" t="str">
        <f>VLOOKUP(C181,'Asset Master'!A:B,2,FALSE)</f>
        <v>Telecom Towers-Texas</v>
      </c>
      <c r="E181" s="64">
        <f>'Risk Master'!N180</f>
        <v>50000</v>
      </c>
      <c r="H181" s="66">
        <v>1</v>
      </c>
      <c r="I181" s="29">
        <v>1</v>
      </c>
      <c r="J181" s="29">
        <v>0</v>
      </c>
      <c r="K181" s="29">
        <v>1</v>
      </c>
      <c r="L181" s="29">
        <v>0</v>
      </c>
      <c r="M181" s="29">
        <v>1</v>
      </c>
      <c r="N181" s="29">
        <v>1</v>
      </c>
      <c r="O181" s="29">
        <v>1</v>
      </c>
      <c r="P181" s="29">
        <v>0</v>
      </c>
      <c r="Q181" s="29">
        <v>0</v>
      </c>
    </row>
    <row r="182" spans="1:17" ht="12.95" customHeight="1" x14ac:dyDescent="0.2">
      <c r="A182" s="36" t="s">
        <v>758</v>
      </c>
      <c r="B182" s="37" t="str">
        <f>'Risk Master'!C181&amp;"-"&amp;'Risk Master'!D181</f>
        <v>Hurricane-Typhoon -Texas</v>
      </c>
      <c r="C182" s="29" t="str">
        <f>'Risk Master'!F181</f>
        <v>A133</v>
      </c>
      <c r="D182" s="37" t="str">
        <f>VLOOKUP(C182,'Asset Master'!A:B,2,FALSE)</f>
        <v>Aircrafts-Texas</v>
      </c>
      <c r="E182" s="64">
        <f>'Risk Master'!N181</f>
        <v>20000</v>
      </c>
      <c r="H182" s="66">
        <v>0</v>
      </c>
      <c r="I182" s="29">
        <v>0</v>
      </c>
      <c r="J182" s="29">
        <v>0</v>
      </c>
      <c r="K182" s="29">
        <v>0</v>
      </c>
      <c r="L182" s="29">
        <v>0</v>
      </c>
      <c r="M182" s="29">
        <v>0</v>
      </c>
      <c r="N182" s="29">
        <v>0</v>
      </c>
      <c r="O182" s="29">
        <v>0</v>
      </c>
      <c r="P182" s="29">
        <v>0</v>
      </c>
      <c r="Q182" s="29">
        <v>0</v>
      </c>
    </row>
    <row r="183" spans="1:17" ht="12.95" customHeight="1" x14ac:dyDescent="0.2">
      <c r="A183" s="36" t="s">
        <v>760</v>
      </c>
      <c r="B183" s="37" t="str">
        <f>'Risk Master'!C182&amp;"-"&amp;'Risk Master'!D182</f>
        <v>Earthquake-Texas</v>
      </c>
      <c r="C183" s="29" t="str">
        <f>'Risk Master'!F182</f>
        <v>A135</v>
      </c>
      <c r="D183" s="37" t="str">
        <f>VLOOKUP(C183,'Asset Master'!A:B,2,FALSE)</f>
        <v>Fleets &amp; Cars-Texas</v>
      </c>
      <c r="E183" s="64">
        <f>'Risk Master'!N182</f>
        <v>20000</v>
      </c>
      <c r="H183" s="66">
        <v>1</v>
      </c>
      <c r="I183" s="29">
        <v>0</v>
      </c>
      <c r="J183" s="29">
        <v>0</v>
      </c>
      <c r="K183" s="29">
        <v>0</v>
      </c>
      <c r="L183" s="29">
        <v>0</v>
      </c>
      <c r="M183" s="29">
        <v>0</v>
      </c>
      <c r="N183" s="29">
        <v>1</v>
      </c>
      <c r="O183" s="29">
        <v>1</v>
      </c>
      <c r="P183" s="29">
        <v>0</v>
      </c>
      <c r="Q183" s="29">
        <v>0</v>
      </c>
    </row>
    <row r="184" spans="1:17" ht="12.95" customHeight="1" x14ac:dyDescent="0.2">
      <c r="A184" s="36" t="s">
        <v>762</v>
      </c>
      <c r="B184" s="37" t="str">
        <f>'Risk Master'!C183&amp;"-"&amp;'Risk Master'!D183</f>
        <v>Hurricane-Typhoon -Texas</v>
      </c>
      <c r="C184" s="29" t="str">
        <f>'Risk Master'!F183</f>
        <v>A135</v>
      </c>
      <c r="D184" s="37" t="str">
        <f>VLOOKUP(C184,'Asset Master'!A:B,2,FALSE)</f>
        <v>Fleets &amp; Cars-Texas</v>
      </c>
      <c r="E184" s="64">
        <f>'Risk Master'!N183</f>
        <v>20000</v>
      </c>
      <c r="H184" s="66">
        <v>0</v>
      </c>
      <c r="I184" s="29">
        <v>0</v>
      </c>
      <c r="J184" s="29">
        <v>0</v>
      </c>
      <c r="K184" s="29">
        <v>0</v>
      </c>
      <c r="L184" s="29">
        <v>0</v>
      </c>
      <c r="M184" s="29">
        <v>0</v>
      </c>
      <c r="N184" s="29">
        <v>1</v>
      </c>
      <c r="O184" s="29">
        <v>0</v>
      </c>
      <c r="P184" s="29">
        <v>0</v>
      </c>
      <c r="Q184" s="29">
        <v>0</v>
      </c>
    </row>
    <row r="185" spans="1:17" ht="39.75" customHeight="1" x14ac:dyDescent="0.2">
      <c r="E185" s="40">
        <f>SUM(E3:E184)</f>
        <v>8190000</v>
      </c>
      <c r="H185" s="39">
        <f>0.05*'Asset Master'!$F$137</f>
        <v>1525000</v>
      </c>
      <c r="I185" s="39">
        <f>0.05*'Asset Master'!$F$137</f>
        <v>1525000</v>
      </c>
      <c r="J185" s="39">
        <f>0.05*'Asset Master'!$F$137</f>
        <v>1525000</v>
      </c>
      <c r="K185" s="39">
        <f>0.05*'Asset Master'!$F$137</f>
        <v>1525000</v>
      </c>
      <c r="L185" s="39">
        <f>0.05*'Asset Master'!$F$137</f>
        <v>1525000</v>
      </c>
      <c r="M185" s="39">
        <f>0.05*'Asset Master'!$F$137</f>
        <v>1525000</v>
      </c>
      <c r="N185" s="39">
        <f>0.05*'Asset Master'!$F$137</f>
        <v>1525000</v>
      </c>
      <c r="O185" s="39">
        <f>0.05*'Asset Master'!$F$137</f>
        <v>1525000</v>
      </c>
      <c r="P185" s="39">
        <f>0.05*'Asset Master'!$F$137</f>
        <v>1525000</v>
      </c>
      <c r="Q185" s="39">
        <f>0.05*'Asset Master'!$F$137</f>
        <v>1525000</v>
      </c>
    </row>
    <row r="186" spans="1:17" ht="12.95" customHeight="1" x14ac:dyDescent="0.2">
      <c r="Q186" s="29"/>
    </row>
    <row r="187" spans="1:17" ht="12.95" customHeight="1" x14ac:dyDescent="0.2">
      <c r="Q187" s="29"/>
    </row>
    <row r="188" spans="1:17" ht="12.95" customHeight="1" x14ac:dyDescent="0.2">
      <c r="Q188" s="29"/>
    </row>
    <row r="189" spans="1:17" ht="12.95" customHeight="1" x14ac:dyDescent="0.2">
      <c r="Q189" s="29"/>
    </row>
    <row r="190" spans="1:17" ht="12.95" customHeight="1" x14ac:dyDescent="0.2">
      <c r="Q190" s="29"/>
    </row>
    <row r="191" spans="1:17" ht="12.95" customHeight="1" x14ac:dyDescent="0.2">
      <c r="Q191" s="29"/>
    </row>
    <row r="192" spans="1:17" ht="12.95" customHeight="1" x14ac:dyDescent="0.2">
      <c r="Q192" s="29"/>
    </row>
    <row r="193" spans="17:17" ht="12.95" customHeight="1" x14ac:dyDescent="0.2">
      <c r="Q193" s="29"/>
    </row>
    <row r="194" spans="17:17" ht="12.95" customHeight="1" x14ac:dyDescent="0.2">
      <c r="Q194" s="29"/>
    </row>
    <row r="195" spans="17:17" ht="12.95" customHeight="1" x14ac:dyDescent="0.2">
      <c r="Q195" s="29"/>
    </row>
    <row r="196" spans="17:17" ht="12.95" customHeight="1" x14ac:dyDescent="0.2">
      <c r="Q196" s="29"/>
    </row>
    <row r="197" spans="17:17" ht="12.95" customHeight="1" x14ac:dyDescent="0.2">
      <c r="Q197" s="29"/>
    </row>
    <row r="198" spans="17:17" ht="12.95" customHeight="1" x14ac:dyDescent="0.2">
      <c r="Q198" s="29"/>
    </row>
    <row r="199" spans="17:17" ht="12.95" customHeight="1" x14ac:dyDescent="0.2">
      <c r="Q199" s="29"/>
    </row>
    <row r="200" spans="17:17" ht="12.95" customHeight="1" x14ac:dyDescent="0.2">
      <c r="Q200" s="29"/>
    </row>
    <row r="201" spans="17:17" ht="12.95" customHeight="1" x14ac:dyDescent="0.2">
      <c r="Q201" s="29"/>
    </row>
    <row r="202" spans="17:17" ht="12.95" customHeight="1" x14ac:dyDescent="0.2">
      <c r="Q202" s="29"/>
    </row>
    <row r="203" spans="17:17" ht="12.95" customHeight="1" x14ac:dyDescent="0.2">
      <c r="Q203" s="29"/>
    </row>
    <row r="204" spans="17:17" ht="12.95" customHeight="1" x14ac:dyDescent="0.2">
      <c r="Q204" s="29"/>
    </row>
    <row r="205" spans="17:17" ht="12.95" customHeight="1" x14ac:dyDescent="0.2">
      <c r="Q205" s="29"/>
    </row>
    <row r="206" spans="17:17" ht="12.95" customHeight="1" x14ac:dyDescent="0.2">
      <c r="Q206" s="29"/>
    </row>
    <row r="207" spans="17:17" ht="12.95" customHeight="1" x14ac:dyDescent="0.2">
      <c r="Q207" s="29"/>
    </row>
    <row r="208" spans="17:17" ht="12.95" customHeight="1" x14ac:dyDescent="0.2">
      <c r="Q208" s="29"/>
    </row>
    <row r="209" spans="17:17" ht="12.95" customHeight="1" x14ac:dyDescent="0.2">
      <c r="Q209" s="29"/>
    </row>
    <row r="210" spans="17:17" ht="12.95" customHeight="1" x14ac:dyDescent="0.2">
      <c r="Q210" s="29"/>
    </row>
    <row r="211" spans="17:17" ht="12.95" customHeight="1" x14ac:dyDescent="0.2">
      <c r="Q211" s="29"/>
    </row>
    <row r="212" spans="17:17" ht="12.95" customHeight="1" x14ac:dyDescent="0.2">
      <c r="Q212" s="29"/>
    </row>
    <row r="213" spans="17:17" ht="12.95" customHeight="1" x14ac:dyDescent="0.2">
      <c r="Q213" s="29"/>
    </row>
    <row r="214" spans="17:17" ht="12.95" customHeight="1" x14ac:dyDescent="0.2">
      <c r="Q214" s="29"/>
    </row>
    <row r="215" spans="17:17" ht="12.95" customHeight="1" x14ac:dyDescent="0.2">
      <c r="Q215" s="29"/>
    </row>
    <row r="216" spans="17:17" ht="12.95" customHeight="1" x14ac:dyDescent="0.2">
      <c r="Q216" s="29"/>
    </row>
    <row r="217" spans="17:17" ht="12.95" customHeight="1" x14ac:dyDescent="0.2">
      <c r="Q217" s="29"/>
    </row>
    <row r="218" spans="17:17" ht="12.95" customHeight="1" x14ac:dyDescent="0.2">
      <c r="Q218" s="29"/>
    </row>
    <row r="219" spans="17:17" ht="12.95" customHeight="1" x14ac:dyDescent="0.2">
      <c r="Q219" s="29"/>
    </row>
    <row r="220" spans="17:17" ht="12.95" customHeight="1" x14ac:dyDescent="0.2">
      <c r="Q220" s="29"/>
    </row>
    <row r="221" spans="17:17" ht="12.95" customHeight="1" x14ac:dyDescent="0.2">
      <c r="Q221" s="29"/>
    </row>
    <row r="222" spans="17:17" ht="12.95" customHeight="1" x14ac:dyDescent="0.2">
      <c r="Q222" s="29"/>
    </row>
    <row r="223" spans="17:17" ht="12.95" customHeight="1" x14ac:dyDescent="0.2">
      <c r="Q223" s="29"/>
    </row>
    <row r="224" spans="17:17" ht="12.95" customHeight="1" x14ac:dyDescent="0.2">
      <c r="Q224" s="29"/>
    </row>
    <row r="225" spans="17:17" ht="12.95" customHeight="1" x14ac:dyDescent="0.2">
      <c r="Q225" s="29"/>
    </row>
    <row r="226" spans="17:17" ht="12.95" customHeight="1" x14ac:dyDescent="0.2">
      <c r="Q226" s="29"/>
    </row>
    <row r="227" spans="17:17" ht="12.95" customHeight="1" x14ac:dyDescent="0.2">
      <c r="Q227" s="29"/>
    </row>
    <row r="228" spans="17:17" ht="12.95" customHeight="1" x14ac:dyDescent="0.2">
      <c r="Q228" s="29"/>
    </row>
    <row r="229" spans="17:17" ht="12.95" customHeight="1" x14ac:dyDescent="0.2">
      <c r="Q229" s="29"/>
    </row>
    <row r="230" spans="17:17" ht="12.95" customHeight="1" x14ac:dyDescent="0.2">
      <c r="Q230" s="29"/>
    </row>
    <row r="231" spans="17:17" ht="12.95" customHeight="1" x14ac:dyDescent="0.2">
      <c r="Q231" s="29"/>
    </row>
    <row r="232" spans="17:17" ht="12.95" customHeight="1" x14ac:dyDescent="0.2">
      <c r="Q232" s="29"/>
    </row>
    <row r="233" spans="17:17" ht="12.95" customHeight="1" x14ac:dyDescent="0.2">
      <c r="Q233" s="29"/>
    </row>
    <row r="234" spans="17:17" ht="12.95" customHeight="1" x14ac:dyDescent="0.2">
      <c r="Q234" s="29"/>
    </row>
    <row r="235" spans="17:17" ht="12.95" customHeight="1" x14ac:dyDescent="0.2">
      <c r="Q235" s="29"/>
    </row>
    <row r="236" spans="17:17" ht="12.95" customHeight="1" x14ac:dyDescent="0.2">
      <c r="Q236" s="29"/>
    </row>
    <row r="237" spans="17:17" ht="12.95" customHeight="1" x14ac:dyDescent="0.2">
      <c r="Q237" s="29"/>
    </row>
    <row r="238" spans="17:17" ht="12.95" customHeight="1" x14ac:dyDescent="0.2">
      <c r="Q238" s="29"/>
    </row>
    <row r="239" spans="17:17" ht="12.95" customHeight="1" x14ac:dyDescent="0.2">
      <c r="Q239" s="29"/>
    </row>
    <row r="240" spans="17:17" ht="12.95" customHeight="1" x14ac:dyDescent="0.2">
      <c r="Q240" s="29"/>
    </row>
    <row r="241" spans="17:17" ht="12.95" customHeight="1" x14ac:dyDescent="0.2">
      <c r="Q241" s="29"/>
    </row>
    <row r="242" spans="17:17" ht="12.95" customHeight="1" x14ac:dyDescent="0.2">
      <c r="Q242" s="29"/>
    </row>
    <row r="243" spans="17:17" ht="12.95" customHeight="1" x14ac:dyDescent="0.2">
      <c r="Q243" s="29"/>
    </row>
    <row r="244" spans="17:17" ht="12.95" customHeight="1" x14ac:dyDescent="0.2">
      <c r="Q244" s="29"/>
    </row>
    <row r="245" spans="17:17" ht="12.95" customHeight="1" x14ac:dyDescent="0.2">
      <c r="Q245" s="29"/>
    </row>
    <row r="246" spans="17:17" ht="12.95" customHeight="1" x14ac:dyDescent="0.2">
      <c r="Q246" s="29"/>
    </row>
    <row r="247" spans="17:17" ht="12.95" customHeight="1" x14ac:dyDescent="0.2">
      <c r="Q247" s="29"/>
    </row>
    <row r="248" spans="17:17" ht="12.95" customHeight="1" x14ac:dyDescent="0.2">
      <c r="Q248" s="29"/>
    </row>
    <row r="249" spans="17:17" ht="12.95" customHeight="1" x14ac:dyDescent="0.2">
      <c r="Q249" s="29"/>
    </row>
    <row r="250" spans="17:17" ht="12.95" customHeight="1" x14ac:dyDescent="0.2">
      <c r="Q250" s="29"/>
    </row>
    <row r="251" spans="17:17" ht="12.95" customHeight="1" x14ac:dyDescent="0.2">
      <c r="Q251" s="29"/>
    </row>
    <row r="252" spans="17:17" ht="12.95" customHeight="1" x14ac:dyDescent="0.2">
      <c r="Q252" s="29"/>
    </row>
    <row r="253" spans="17:17" ht="12.95" customHeight="1" x14ac:dyDescent="0.2">
      <c r="Q253" s="29"/>
    </row>
    <row r="254" spans="17:17" ht="12.95" customHeight="1" x14ac:dyDescent="0.2">
      <c r="Q254" s="29"/>
    </row>
    <row r="255" spans="17:17" ht="12.95" customHeight="1" x14ac:dyDescent="0.2">
      <c r="Q255" s="29"/>
    </row>
    <row r="256" spans="17:17" ht="12.95" customHeight="1" x14ac:dyDescent="0.2">
      <c r="Q256" s="29"/>
    </row>
    <row r="257" spans="17:17" ht="12.95" customHeight="1" x14ac:dyDescent="0.2">
      <c r="Q257" s="29"/>
    </row>
    <row r="258" spans="17:17" ht="12.95" customHeight="1" x14ac:dyDescent="0.2">
      <c r="Q258" s="29"/>
    </row>
    <row r="259" spans="17:17" ht="12.95" customHeight="1" x14ac:dyDescent="0.2">
      <c r="Q259" s="29"/>
    </row>
    <row r="260" spans="17:17" ht="12.95" customHeight="1" x14ac:dyDescent="0.2">
      <c r="Q260" s="29"/>
    </row>
    <row r="261" spans="17:17" ht="12.95" customHeight="1" x14ac:dyDescent="0.2">
      <c r="Q261" s="29"/>
    </row>
    <row r="262" spans="17:17" ht="12.95" customHeight="1" x14ac:dyDescent="0.2">
      <c r="Q262" s="29"/>
    </row>
    <row r="263" spans="17:17" ht="12.95" customHeight="1" x14ac:dyDescent="0.2">
      <c r="Q263" s="29"/>
    </row>
    <row r="264" spans="17:17" ht="12.95" customHeight="1" x14ac:dyDescent="0.2">
      <c r="Q264" s="29"/>
    </row>
    <row r="265" spans="17:17" ht="12.95" customHeight="1" x14ac:dyDescent="0.2">
      <c r="Q265" s="29"/>
    </row>
    <row r="266" spans="17:17" ht="12.95" customHeight="1" x14ac:dyDescent="0.2">
      <c r="Q266" s="29"/>
    </row>
    <row r="267" spans="17:17" ht="12.95" customHeight="1" x14ac:dyDescent="0.2">
      <c r="Q267" s="29"/>
    </row>
    <row r="268" spans="17:17" ht="12.95" customHeight="1" x14ac:dyDescent="0.2">
      <c r="Q268" s="29"/>
    </row>
    <row r="269" spans="17:17" ht="12.95" customHeight="1" x14ac:dyDescent="0.2">
      <c r="Q269" s="29"/>
    </row>
    <row r="270" spans="17:17" ht="12.95" customHeight="1" x14ac:dyDescent="0.2">
      <c r="Q270" s="29"/>
    </row>
    <row r="271" spans="17:17" ht="12.95" customHeight="1" x14ac:dyDescent="0.2">
      <c r="Q271" s="29"/>
    </row>
    <row r="272" spans="17:17" ht="12.95" customHeight="1" x14ac:dyDescent="0.2">
      <c r="Q272" s="29"/>
    </row>
    <row r="273" spans="17:17" ht="12.95" customHeight="1" x14ac:dyDescent="0.2">
      <c r="Q273" s="29"/>
    </row>
    <row r="274" spans="17:17" ht="12.95" customHeight="1" x14ac:dyDescent="0.2">
      <c r="Q274" s="29"/>
    </row>
    <row r="275" spans="17:17" ht="12.95" customHeight="1" x14ac:dyDescent="0.2">
      <c r="Q275" s="29"/>
    </row>
    <row r="276" spans="17:17" ht="12.95" customHeight="1" x14ac:dyDescent="0.2">
      <c r="Q276" s="29"/>
    </row>
    <row r="277" spans="17:17" ht="12.95" customHeight="1" x14ac:dyDescent="0.2">
      <c r="Q277" s="29"/>
    </row>
    <row r="278" spans="17:17" ht="12.95" customHeight="1" x14ac:dyDescent="0.2">
      <c r="Q278" s="29"/>
    </row>
    <row r="279" spans="17:17" ht="12.95" customHeight="1" x14ac:dyDescent="0.2">
      <c r="Q279" s="29"/>
    </row>
    <row r="280" spans="17:17" ht="12.95" customHeight="1" x14ac:dyDescent="0.2">
      <c r="Q280" s="29"/>
    </row>
    <row r="281" spans="17:17" ht="12.95" customHeight="1" x14ac:dyDescent="0.2">
      <c r="Q281" s="29"/>
    </row>
    <row r="282" spans="17:17" ht="12.95" customHeight="1" x14ac:dyDescent="0.2">
      <c r="Q282" s="29"/>
    </row>
    <row r="283" spans="17:17" ht="12.95" customHeight="1" x14ac:dyDescent="0.2">
      <c r="Q283" s="29"/>
    </row>
    <row r="284" spans="17:17" ht="12.95" customHeight="1" x14ac:dyDescent="0.2">
      <c r="Q284" s="29"/>
    </row>
    <row r="285" spans="17:17" ht="12.95" customHeight="1" x14ac:dyDescent="0.2">
      <c r="Q285" s="29"/>
    </row>
    <row r="286" spans="17:17" ht="12.95" customHeight="1" x14ac:dyDescent="0.2">
      <c r="Q286" s="29"/>
    </row>
    <row r="287" spans="17:17" ht="12.95" customHeight="1" x14ac:dyDescent="0.2">
      <c r="Q287" s="29"/>
    </row>
    <row r="288" spans="17:17" ht="12.95" customHeight="1" x14ac:dyDescent="0.2">
      <c r="Q288" s="29"/>
    </row>
    <row r="289" spans="17:17" ht="12.95" customHeight="1" x14ac:dyDescent="0.2">
      <c r="Q289" s="29"/>
    </row>
    <row r="290" spans="17:17" ht="12.95" customHeight="1" x14ac:dyDescent="0.2">
      <c r="Q290" s="29"/>
    </row>
    <row r="291" spans="17:17" ht="12.95" customHeight="1" x14ac:dyDescent="0.2">
      <c r="Q291" s="29"/>
    </row>
    <row r="292" spans="17:17" ht="12.95" customHeight="1" x14ac:dyDescent="0.2">
      <c r="Q292" s="29"/>
    </row>
    <row r="293" spans="17:17" ht="12.95" customHeight="1" x14ac:dyDescent="0.2">
      <c r="Q293" s="29"/>
    </row>
    <row r="294" spans="17:17" ht="12.95" customHeight="1" x14ac:dyDescent="0.2">
      <c r="Q294" s="29"/>
    </row>
    <row r="295" spans="17:17" ht="12.95" customHeight="1" x14ac:dyDescent="0.2">
      <c r="Q295" s="29"/>
    </row>
    <row r="296" spans="17:17" ht="12.95" customHeight="1" x14ac:dyDescent="0.2">
      <c r="Q296" s="29"/>
    </row>
    <row r="297" spans="17:17" ht="12.95" customHeight="1" x14ac:dyDescent="0.2">
      <c r="Q297" s="29"/>
    </row>
    <row r="298" spans="17:17" ht="12.95" customHeight="1" x14ac:dyDescent="0.2">
      <c r="Q298" s="29"/>
    </row>
    <row r="299" spans="17:17" ht="12.95" customHeight="1" x14ac:dyDescent="0.2">
      <c r="Q299" s="29"/>
    </row>
    <row r="300" spans="17:17" ht="12.95" customHeight="1" x14ac:dyDescent="0.2">
      <c r="Q300" s="29"/>
    </row>
    <row r="301" spans="17:17" ht="12.95" customHeight="1" x14ac:dyDescent="0.2">
      <c r="Q301" s="29"/>
    </row>
    <row r="302" spans="17:17" ht="12.95" customHeight="1" x14ac:dyDescent="0.2">
      <c r="Q302" s="29"/>
    </row>
    <row r="303" spans="17:17" ht="12.95" customHeight="1" x14ac:dyDescent="0.2">
      <c r="Q303" s="29"/>
    </row>
    <row r="304" spans="17:17" ht="12.95" customHeight="1" x14ac:dyDescent="0.2">
      <c r="Q304" s="29"/>
    </row>
    <row r="305" spans="17:17" ht="12.95" customHeight="1" x14ac:dyDescent="0.2">
      <c r="Q305" s="29"/>
    </row>
    <row r="306" spans="17:17" ht="12.95" customHeight="1" x14ac:dyDescent="0.2">
      <c r="Q306" s="29"/>
    </row>
    <row r="307" spans="17:17" ht="12.95" customHeight="1" x14ac:dyDescent="0.2">
      <c r="Q307" s="29"/>
    </row>
    <row r="308" spans="17:17" ht="12.95" customHeight="1" x14ac:dyDescent="0.2">
      <c r="Q308" s="29"/>
    </row>
    <row r="309" spans="17:17" ht="12.95" customHeight="1" x14ac:dyDescent="0.2">
      <c r="Q309" s="29"/>
    </row>
    <row r="310" spans="17:17" ht="12.95" customHeight="1" x14ac:dyDescent="0.2">
      <c r="Q310" s="29"/>
    </row>
    <row r="311" spans="17:17" ht="12.95" customHeight="1" x14ac:dyDescent="0.2">
      <c r="Q311" s="29"/>
    </row>
    <row r="312" spans="17:17" ht="12.95" customHeight="1" x14ac:dyDescent="0.2">
      <c r="Q312" s="29"/>
    </row>
    <row r="313" spans="17:17" ht="12.95" customHeight="1" x14ac:dyDescent="0.2">
      <c r="Q313" s="29"/>
    </row>
    <row r="314" spans="17:17" ht="12.95" customHeight="1" x14ac:dyDescent="0.2">
      <c r="Q314" s="29"/>
    </row>
    <row r="315" spans="17:17" ht="12.95" customHeight="1" x14ac:dyDescent="0.2">
      <c r="Q315" s="29"/>
    </row>
    <row r="316" spans="17:17" ht="12.95" customHeight="1" x14ac:dyDescent="0.2">
      <c r="Q316" s="29"/>
    </row>
    <row r="317" spans="17:17" ht="12.95" customHeight="1" x14ac:dyDescent="0.2">
      <c r="Q317" s="29"/>
    </row>
    <row r="318" spans="17:17" ht="12.95" customHeight="1" x14ac:dyDescent="0.2">
      <c r="Q318" s="29"/>
    </row>
    <row r="319" spans="17:17" ht="12.95" customHeight="1" x14ac:dyDescent="0.2">
      <c r="Q319" s="29"/>
    </row>
    <row r="320" spans="17:17" ht="12.95" customHeight="1" x14ac:dyDescent="0.2">
      <c r="Q320" s="29"/>
    </row>
    <row r="321" spans="17:17" ht="12.95" customHeight="1" x14ac:dyDescent="0.2">
      <c r="Q321" s="29"/>
    </row>
    <row r="322" spans="17:17" ht="12.95" customHeight="1" x14ac:dyDescent="0.2">
      <c r="Q322" s="29"/>
    </row>
    <row r="323" spans="17:17" ht="12.95" customHeight="1" x14ac:dyDescent="0.2">
      <c r="Q323" s="29"/>
    </row>
  </sheetData>
  <mergeCells count="5">
    <mergeCell ref="A1:A2"/>
    <mergeCell ref="B1:B2"/>
    <mergeCell ref="C1:C2"/>
    <mergeCell ref="D1:D2"/>
    <mergeCell ref="E1:E2"/>
  </mergeCells>
  <conditionalFormatting sqref="H2:Q2">
    <cfRule type="cellIs" dxfId="6" priority="1" operator="greaterThan">
      <formula>H$185</formula>
    </cfRule>
  </conditionalFormatting>
  <dataValidations count="1">
    <dataValidation type="list" allowBlank="1" showInputMessage="1" showErrorMessage="1" sqref="H3:Q184 Q186:Q323" xr:uid="{00000000-0002-0000-0300-000000000000}">
      <formula1>"1,0"</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AJ183"/>
  <sheetViews>
    <sheetView tabSelected="1" workbookViewId="0">
      <selection activeCell="N1" sqref="N1"/>
    </sheetView>
  </sheetViews>
  <sheetFormatPr defaultColWidth="13.140625" defaultRowHeight="12.75" x14ac:dyDescent="0.25"/>
  <cols>
    <col min="1" max="1" width="27.42578125" style="38" customWidth="1"/>
    <col min="2" max="2" width="25.28515625" style="38" bestFit="1" customWidth="1"/>
    <col min="3" max="3" width="5.140625" style="75" bestFit="1" customWidth="1"/>
    <col min="4" max="4" width="11.85546875" style="75" bestFit="1" customWidth="1"/>
    <col min="5" max="5" width="11.85546875" style="75" customWidth="1"/>
    <col min="6" max="13" width="13.140625" style="75" customWidth="1"/>
    <col min="14" max="14" width="7.85546875" style="75" hidden="1" customWidth="1"/>
    <col min="15" max="24" width="13.140625" style="75" hidden="1" customWidth="1"/>
    <col min="25" max="25" width="8.140625" style="75" customWidth="1"/>
    <col min="26" max="26" width="13.140625" style="77"/>
    <col min="27" max="28" width="13.140625" style="78"/>
    <col min="29" max="33" width="13.140625" style="79"/>
    <col min="34" max="16384" width="13.140625" style="75"/>
  </cols>
  <sheetData>
    <row r="1" spans="1:36" ht="25.5" x14ac:dyDescent="0.25">
      <c r="A1" s="74" t="s">
        <v>478</v>
      </c>
      <c r="B1" s="74" t="s">
        <v>928</v>
      </c>
      <c r="C1" s="46" t="s">
        <v>0</v>
      </c>
      <c r="D1" s="72" t="s">
        <v>929</v>
      </c>
      <c r="E1" s="48" t="s">
        <v>930</v>
      </c>
      <c r="F1" s="48" t="s">
        <v>931</v>
      </c>
      <c r="G1" s="48" t="s">
        <v>932</v>
      </c>
      <c r="H1" s="48" t="s">
        <v>933</v>
      </c>
      <c r="I1" s="48" t="s">
        <v>934</v>
      </c>
      <c r="J1" s="48" t="s">
        <v>935</v>
      </c>
      <c r="K1" s="48" t="s">
        <v>936</v>
      </c>
      <c r="L1" s="48" t="s">
        <v>937</v>
      </c>
      <c r="M1" s="48" t="s">
        <v>938</v>
      </c>
      <c r="N1" s="87"/>
      <c r="O1" s="87" t="s">
        <v>952</v>
      </c>
      <c r="P1" s="87" t="s">
        <v>953</v>
      </c>
      <c r="Q1" s="87" t="s">
        <v>954</v>
      </c>
      <c r="R1" s="87" t="s">
        <v>955</v>
      </c>
      <c r="S1" s="87" t="s">
        <v>956</v>
      </c>
      <c r="T1" s="87" t="s">
        <v>957</v>
      </c>
      <c r="U1" s="87" t="s">
        <v>958</v>
      </c>
      <c r="V1" s="87" t="s">
        <v>959</v>
      </c>
      <c r="W1" s="87" t="s">
        <v>960</v>
      </c>
      <c r="X1" s="87" t="s">
        <v>961</v>
      </c>
      <c r="Z1" s="76"/>
      <c r="AA1" s="49" t="s">
        <v>939</v>
      </c>
      <c r="AB1" s="49" t="s">
        <v>940</v>
      </c>
      <c r="AC1" s="49" t="s">
        <v>941</v>
      </c>
      <c r="AD1" s="49" t="s">
        <v>942</v>
      </c>
      <c r="AE1" s="49" t="s">
        <v>943</v>
      </c>
      <c r="AF1" s="49" t="s">
        <v>944</v>
      </c>
      <c r="AG1" s="49" t="s">
        <v>945</v>
      </c>
      <c r="AH1" s="49" t="s">
        <v>946</v>
      </c>
      <c r="AI1" s="49" t="s">
        <v>947</v>
      </c>
      <c r="AJ1" s="49" t="s">
        <v>948</v>
      </c>
    </row>
    <row r="2" spans="1:36" ht="25.5" x14ac:dyDescent="0.25">
      <c r="A2" s="37" t="str">
        <f>'Risk Master'!B2:B138&amp;"-"&amp;'Risk Master'!D2</f>
        <v>High tide and high rainfalls leading to large floods-Mumbai</v>
      </c>
      <c r="B2" s="37" t="str">
        <f>'Input Sheet year 2'!B3</f>
        <v>Flood-Mumbai</v>
      </c>
      <c r="C2" s="29" t="str">
        <f>'Risk Master'!F2</f>
        <v>A1</v>
      </c>
      <c r="D2" s="73">
        <f>'Risk Master'!$G2*-1+('Risk Master'!$G2*'Event Trigger'!$D2*(1-'Input Sheet year 1'!H3))</f>
        <v>200000</v>
      </c>
      <c r="E2" s="73">
        <f>'Risk Master'!$G2*-1+('Risk Master'!$G2*'Event Trigger'!$D2*(1-'Input Sheet year 2'!I3))</f>
        <v>200000</v>
      </c>
      <c r="F2" s="73">
        <f>'Risk Master'!$G2*-1+('Risk Master'!$G2*'Event Trigger'!$D2*(1-'Input Sheet year 2'!J3))</f>
        <v>200000</v>
      </c>
      <c r="G2" s="73">
        <f>'Risk Master'!$G2*-1+('Risk Master'!$G2*'Event Trigger'!$D2*(1-'Input Sheet year 2'!K3))</f>
        <v>200000</v>
      </c>
      <c r="H2" s="73">
        <f>'Risk Master'!$G2*-1+('Risk Master'!$G2*'Event Trigger'!$D2*(1-'Input Sheet year 2'!L3))</f>
        <v>200000</v>
      </c>
      <c r="I2" s="73">
        <f>'Risk Master'!$G2*-1+('Risk Master'!$G2*'Event Trigger'!$D2*(1-'Input Sheet year 2'!M3))</f>
        <v>200000</v>
      </c>
      <c r="J2" s="73">
        <f>'Risk Master'!$G2*-1+('Risk Master'!$G2*'Event Trigger'!$D2*(1-'Input Sheet year 2'!N3))</f>
        <v>200000</v>
      </c>
      <c r="K2" s="73">
        <f>'Risk Master'!$G2*-1+('Risk Master'!$G2*'Event Trigger'!$D2*(1-'Input Sheet year 2'!O3))</f>
        <v>200000</v>
      </c>
      <c r="L2" s="73">
        <f>'Risk Master'!$G2*-1+('Risk Master'!$G2*'Event Trigger'!$D2*(1-'Input Sheet year 2'!P3))</f>
        <v>200000</v>
      </c>
      <c r="M2" s="73">
        <f>'Risk Master'!$G2*-1+('Risk Master'!$G2*'Event Trigger'!$D2*(1-'Input Sheet year 2'!Q3))</f>
        <v>200000</v>
      </c>
      <c r="N2" s="88"/>
      <c r="O2" s="88">
        <f>VLOOKUP($C2,$Z:$AJ,2,FALSE)*-1</f>
        <v>0</v>
      </c>
      <c r="P2" s="88">
        <f>VLOOKUP($C2,$Z:$AJ,3,FALSE)*-1</f>
        <v>0</v>
      </c>
      <c r="Q2" s="88">
        <f>VLOOKUP($C2,$Z:$AJ,4,FALSE)*-1</f>
        <v>0</v>
      </c>
      <c r="R2" s="88">
        <f>VLOOKUP($C2,$Z:$AJ,5,FALSE)*-1</f>
        <v>0</v>
      </c>
      <c r="S2" s="88">
        <f>VLOOKUP($C2,$Z:$AJ,6,FALSE)*-1</f>
        <v>0</v>
      </c>
      <c r="T2" s="88">
        <f>VLOOKUP($C2,$Z:$AJ,7,FALSE)*-1</f>
        <v>-200000</v>
      </c>
      <c r="U2" s="88">
        <f>VLOOKUP($C2,$Z:$AJ,8,FALSE)*-1</f>
        <v>0</v>
      </c>
      <c r="V2" s="88">
        <f>VLOOKUP($C2,$Z:$AJ,9,FALSE)*-1</f>
        <v>0</v>
      </c>
      <c r="W2" s="88">
        <f>VLOOKUP($C2,$Z:$AJ,10,FALSE)*-1</f>
        <v>0</v>
      </c>
      <c r="X2" s="88">
        <f>VLOOKUP($C2,$Z:$AJ,11,FALSE)*-1</f>
        <v>-200000</v>
      </c>
      <c r="Z2" s="51" t="s">
        <v>26</v>
      </c>
      <c r="AA2" s="52">
        <f>IF(VLOOKUP($Z2,'Asset Master'!$A:$J,6,FALSE)*COUNTIF('Event Trigger'!$C:$C,'Year 1 Results'!$Z2)&gt;SUMIF('Event Trigger'!$C:$C,$Z2,D:D),0,VLOOKUP($Z2,'Asset Master'!$A:$J,6,FALSE))</f>
        <v>0</v>
      </c>
      <c r="AB2" s="52">
        <f>IF(VLOOKUP($Z2,'Asset Master'!$A:$J,6,FALSE)*COUNTIF('Event Trigger'!$C:$C,'Year 1 Results'!$Z2)&gt;SUMIF('Event Trigger'!$C:$C,$Z2,E:E),0,VLOOKUP($Z2,'Asset Master'!$A:$J,6,FALSE))</f>
        <v>0</v>
      </c>
      <c r="AC2" s="52">
        <f>IF(VLOOKUP($Z2,'Asset Master'!$A:$J,6,FALSE)*COUNTIF('Event Trigger'!$C:$C,'Year 1 Results'!$Z2)&gt;SUMIF('Event Trigger'!$C:$C,$Z2,F:F),0,VLOOKUP($Z2,'Asset Master'!$A:$J,6,FALSE))</f>
        <v>0</v>
      </c>
      <c r="AD2" s="52">
        <f>IF(VLOOKUP($Z2,'Asset Master'!$A:$J,6,FALSE)*COUNTIF('Event Trigger'!$C:$C,'Year 1 Results'!$Z2)&gt;SUMIF('Event Trigger'!$C:$C,$Z2,G:G),0,VLOOKUP($Z2,'Asset Master'!$A:$J,6,FALSE))</f>
        <v>0</v>
      </c>
      <c r="AE2" s="52">
        <f>IF(VLOOKUP($Z2,'Asset Master'!$A:$J,6,FALSE)*COUNTIF('Event Trigger'!$C:$C,'Year 1 Results'!$Z2)&gt;SUMIF('Event Trigger'!$C:$C,$Z2,H:H),0,VLOOKUP($Z2,'Asset Master'!$A:$J,6,FALSE))</f>
        <v>0</v>
      </c>
      <c r="AF2" s="52">
        <f>IF(VLOOKUP($Z2,'Asset Master'!$A:$J,6,FALSE)*COUNTIF('Event Trigger'!$C:$C,'Year 1 Results'!$Z2)&gt;SUMIF('Event Trigger'!$C:$C,$Z2,I:I),0,VLOOKUP($Z2,'Asset Master'!$A:$J,6,FALSE))</f>
        <v>200000</v>
      </c>
      <c r="AG2" s="52">
        <f>IF(VLOOKUP($Z2,'Asset Master'!$A:$J,6,FALSE)*COUNTIF('Event Trigger'!$C:$C,'Year 1 Results'!$Z2)&gt;SUMIF('Event Trigger'!$C:$C,$Z2,J:J),0,VLOOKUP($Z2,'Asset Master'!$A:$J,6,FALSE))</f>
        <v>0</v>
      </c>
      <c r="AH2" s="52">
        <f>IF(VLOOKUP($Z2,'Asset Master'!$A:$J,6,FALSE)*COUNTIF('Event Trigger'!$C:$C,'Year 1 Results'!$Z2)&gt;SUMIF('Event Trigger'!$C:$C,$Z2,K:K),0,VLOOKUP($Z2,'Asset Master'!$A:$J,6,FALSE))</f>
        <v>0</v>
      </c>
      <c r="AI2" s="52">
        <f>IF(VLOOKUP($Z2,'Asset Master'!$A:$J,6,FALSE)*COUNTIF('Event Trigger'!$C:$C,'Year 1 Results'!$Z2)&gt;SUMIF('Event Trigger'!$C:$C,$Z2,L:L),0,VLOOKUP($Z2,'Asset Master'!$A:$J,6,FALSE))</f>
        <v>0</v>
      </c>
      <c r="AJ2" s="52">
        <f>IF(VLOOKUP($Z2,'Asset Master'!$A:$J,6,FALSE)*COUNTIF('Event Trigger'!$C:$C,'Year 1 Results'!$Z2)&gt;SUMIF('Event Trigger'!$C:$C,$Z2,M:M),0,VLOOKUP($Z2,'Asset Master'!$A:$J,6,FALSE))</f>
        <v>200000</v>
      </c>
    </row>
    <row r="3" spans="1:36" x14ac:dyDescent="0.25">
      <c r="A3" s="37" t="str">
        <f>'Risk Master'!B3:B139&amp;"-"&amp;'Risk Master'!D3</f>
        <v>Earthquake-Mumbai</v>
      </c>
      <c r="B3" s="37" t="str">
        <f>'Input Sheet year 2'!B4</f>
        <v>Earthquake-Mumbai</v>
      </c>
      <c r="C3" s="29" t="str">
        <f>'Risk Master'!F3</f>
        <v>A1</v>
      </c>
      <c r="D3" s="73">
        <f>'Risk Master'!$G3*-1+('Risk Master'!$G3*'Event Trigger'!$D3*(1-'Input Sheet year 1'!H4))</f>
        <v>0</v>
      </c>
      <c r="E3" s="73">
        <f>'Risk Master'!$G3*-1+('Risk Master'!$G3*'Event Trigger'!$D3*(1-'Input Sheet year 2'!I4))</f>
        <v>200000</v>
      </c>
      <c r="F3" s="73">
        <f>'Risk Master'!$G3*-1+('Risk Master'!$G3*'Event Trigger'!$D3*(1-'Input Sheet year 2'!J4))</f>
        <v>0</v>
      </c>
      <c r="G3" s="73">
        <f>'Risk Master'!$G3*-1+('Risk Master'!$G3*'Event Trigger'!$D3*(1-'Input Sheet year 2'!K4))</f>
        <v>0</v>
      </c>
      <c r="H3" s="73">
        <f>'Risk Master'!$G3*-1+('Risk Master'!$G3*'Event Trigger'!$D3*(1-'Input Sheet year 2'!L4))</f>
        <v>200000</v>
      </c>
      <c r="I3" s="73">
        <f>'Risk Master'!$G3*-1+('Risk Master'!$G3*'Event Trigger'!$D3*(1-'Input Sheet year 2'!M4))</f>
        <v>200000</v>
      </c>
      <c r="J3" s="73">
        <f>'Risk Master'!$G3*-1+('Risk Master'!$G3*'Event Trigger'!$D3*(1-'Input Sheet year 2'!N4))</f>
        <v>0</v>
      </c>
      <c r="K3" s="73">
        <f>'Risk Master'!$G3*-1+('Risk Master'!$G3*'Event Trigger'!$D3*(1-'Input Sheet year 2'!O4))</f>
        <v>0</v>
      </c>
      <c r="L3" s="73">
        <f>'Risk Master'!$G3*-1+('Risk Master'!$G3*'Event Trigger'!$D3*(1-'Input Sheet year 2'!P4))</f>
        <v>200000</v>
      </c>
      <c r="M3" s="73">
        <f>'Risk Master'!$G3*-1+('Risk Master'!$G3*'Event Trigger'!$D3*(1-'Input Sheet year 2'!Q4))</f>
        <v>200000</v>
      </c>
      <c r="N3" s="88"/>
      <c r="O3" s="88">
        <f t="shared" ref="O3:O66" si="0">VLOOKUP(C3,$Z:$AJ,2,FALSE)*-1</f>
        <v>0</v>
      </c>
      <c r="P3" s="88">
        <f t="shared" ref="P3:P66" si="1">VLOOKUP($C3,$Z:$AJ,3,FALSE)*-1</f>
        <v>0</v>
      </c>
      <c r="Q3" s="88">
        <f t="shared" ref="Q3:Q66" si="2">VLOOKUP($C3,$Z:$AJ,4,FALSE)*-1</f>
        <v>0</v>
      </c>
      <c r="R3" s="88">
        <f t="shared" ref="R3:R66" si="3">VLOOKUP($C3,$Z:$AJ,5,FALSE)*-1</f>
        <v>0</v>
      </c>
      <c r="S3" s="88">
        <f t="shared" ref="S3:S66" si="4">VLOOKUP($C3,$Z:$AJ,6,FALSE)*-1</f>
        <v>0</v>
      </c>
      <c r="T3" s="88">
        <f t="shared" ref="T3:T66" si="5">VLOOKUP($C3,$Z:$AJ,7,FALSE)*-1</f>
        <v>-200000</v>
      </c>
      <c r="U3" s="88">
        <f t="shared" ref="U3:U66" si="6">VLOOKUP($C3,$Z:$AJ,8,FALSE)*-1</f>
        <v>0</v>
      </c>
      <c r="V3" s="88">
        <f t="shared" ref="V3:V66" si="7">VLOOKUP($C3,$Z:$AJ,9,FALSE)*-1</f>
        <v>0</v>
      </c>
      <c r="W3" s="88">
        <f t="shared" ref="W3:W66" si="8">VLOOKUP($C3,$Z:$AJ,10,FALSE)*-1</f>
        <v>0</v>
      </c>
      <c r="X3" s="88">
        <f t="shared" ref="X3:X66" si="9">VLOOKUP($C3,$Z:$AJ,11,FALSE)*-1</f>
        <v>-200000</v>
      </c>
      <c r="Z3" s="51" t="s">
        <v>27</v>
      </c>
      <c r="AA3" s="52">
        <f>IF(VLOOKUP($Z3,'Asset Master'!$A:$J,6,FALSE)*COUNTIF('Event Trigger'!$C:$C,'Year 1 Results'!$Z3)&gt;SUMIF('Event Trigger'!$C:$C,$Z3,D:D),0,VLOOKUP($Z3,'Asset Master'!$A:$J,6,FALSE))</f>
        <v>0</v>
      </c>
      <c r="AB3" s="52">
        <f>IF(VLOOKUP($Z3,'Asset Master'!$A:$J,6,FALSE)*COUNTIF('Event Trigger'!$C:$C,'Year 1 Results'!$Z3)&gt;SUMIF('Event Trigger'!$C:$C,$Z3,E:E),0,VLOOKUP($Z3,'Asset Master'!$A:$J,6,FALSE))</f>
        <v>0</v>
      </c>
      <c r="AC3" s="52">
        <f>IF(VLOOKUP($Z3,'Asset Master'!$A:$J,6,FALSE)*COUNTIF('Event Trigger'!$C:$C,'Year 1 Results'!$Z3)&gt;SUMIF('Event Trigger'!$C:$C,$Z3,F:F),0,VLOOKUP($Z3,'Asset Master'!$A:$J,6,FALSE))</f>
        <v>0</v>
      </c>
      <c r="AD3" s="52">
        <f>IF(VLOOKUP($Z3,'Asset Master'!$A:$J,6,FALSE)*COUNTIF('Event Trigger'!$C:$C,'Year 1 Results'!$Z3)&gt;SUMIF('Event Trigger'!$C:$C,$Z3,G:G),0,VLOOKUP($Z3,'Asset Master'!$A:$J,6,FALSE))</f>
        <v>0</v>
      </c>
      <c r="AE3" s="52">
        <f>IF(VLOOKUP($Z3,'Asset Master'!$A:$J,6,FALSE)*COUNTIF('Event Trigger'!$C:$C,'Year 1 Results'!$Z3)&gt;SUMIF('Event Trigger'!$C:$C,$Z3,H:H),0,VLOOKUP($Z3,'Asset Master'!$A:$J,6,FALSE))</f>
        <v>0</v>
      </c>
      <c r="AF3" s="52">
        <f>IF(VLOOKUP($Z3,'Asset Master'!$A:$J,6,FALSE)*COUNTIF('Event Trigger'!$C:$C,'Year 1 Results'!$Z3)&gt;SUMIF('Event Trigger'!$C:$C,$Z3,I:I),0,VLOOKUP($Z3,'Asset Master'!$A:$J,6,FALSE))</f>
        <v>200000</v>
      </c>
      <c r="AG3" s="52">
        <f>IF(VLOOKUP($Z3,'Asset Master'!$A:$J,6,FALSE)*COUNTIF('Event Trigger'!$C:$C,'Year 1 Results'!$Z3)&gt;SUMIF('Event Trigger'!$C:$C,$Z3,J:J),0,VLOOKUP($Z3,'Asset Master'!$A:$J,6,FALSE))</f>
        <v>0</v>
      </c>
      <c r="AH3" s="52">
        <f>IF(VLOOKUP($Z3,'Asset Master'!$A:$J,6,FALSE)*COUNTIF('Event Trigger'!$C:$C,'Year 1 Results'!$Z3)&gt;SUMIF('Event Trigger'!$C:$C,$Z3,K:K),0,VLOOKUP($Z3,'Asset Master'!$A:$J,6,FALSE))</f>
        <v>0</v>
      </c>
      <c r="AI3" s="52">
        <f>IF(VLOOKUP($Z3,'Asset Master'!$A:$J,6,FALSE)*COUNTIF('Event Trigger'!$C:$C,'Year 1 Results'!$Z3)&gt;SUMIF('Event Trigger'!$C:$C,$Z3,L:L),0,VLOOKUP($Z3,'Asset Master'!$A:$J,6,FALSE))</f>
        <v>0</v>
      </c>
      <c r="AJ3" s="52">
        <f>IF(VLOOKUP($Z3,'Asset Master'!$A:$J,6,FALSE)*COUNTIF('Event Trigger'!$C:$C,'Year 1 Results'!$Z3)&gt;SUMIF('Event Trigger'!$C:$C,$Z3,M:M),0,VLOOKUP($Z3,'Asset Master'!$A:$J,6,FALSE))</f>
        <v>0</v>
      </c>
    </row>
    <row r="4" spans="1:36" x14ac:dyDescent="0.25">
      <c r="A4" s="37" t="str">
        <f>'Risk Master'!B4:B140&amp;"-"&amp;'Risk Master'!D4</f>
        <v>Fire-Mumbai</v>
      </c>
      <c r="B4" s="37" t="str">
        <f>'Input Sheet year 2'!B5</f>
        <v>Fire-Mumbai</v>
      </c>
      <c r="C4" s="29" t="str">
        <f>'Risk Master'!F4</f>
        <v>A1</v>
      </c>
      <c r="D4" s="73">
        <f>'Risk Master'!$G4*-1+('Risk Master'!$G4*'Event Trigger'!$D4*(1-'Input Sheet year 1'!H5))</f>
        <v>200000</v>
      </c>
      <c r="E4" s="73">
        <f>'Risk Master'!$G4*-1+('Risk Master'!$G4*'Event Trigger'!$D4*(1-'Input Sheet year 2'!I5))</f>
        <v>200000</v>
      </c>
      <c r="F4" s="73">
        <f>'Risk Master'!$G4*-1+('Risk Master'!$G4*'Event Trigger'!$D4*(1-'Input Sheet year 2'!J5))</f>
        <v>200000</v>
      </c>
      <c r="G4" s="73">
        <f>'Risk Master'!$G4*-1+('Risk Master'!$G4*'Event Trigger'!$D4*(1-'Input Sheet year 2'!K5))</f>
        <v>200000</v>
      </c>
      <c r="H4" s="73">
        <f>'Risk Master'!$G4*-1+('Risk Master'!$G4*'Event Trigger'!$D4*(1-'Input Sheet year 2'!L5))</f>
        <v>200000</v>
      </c>
      <c r="I4" s="73">
        <f>'Risk Master'!$G4*-1+('Risk Master'!$G4*'Event Trigger'!$D4*(1-'Input Sheet year 2'!M5))</f>
        <v>200000</v>
      </c>
      <c r="J4" s="73">
        <f>'Risk Master'!$G4*-1+('Risk Master'!$G4*'Event Trigger'!$D4*(1-'Input Sheet year 2'!N5))</f>
        <v>200000</v>
      </c>
      <c r="K4" s="73">
        <f>'Risk Master'!$G4*-1+('Risk Master'!$G4*'Event Trigger'!$D4*(1-'Input Sheet year 2'!O5))</f>
        <v>200000</v>
      </c>
      <c r="L4" s="73">
        <f>'Risk Master'!$G4*-1+('Risk Master'!$G4*'Event Trigger'!$D4*(1-'Input Sheet year 2'!P5))</f>
        <v>200000</v>
      </c>
      <c r="M4" s="73">
        <f>'Risk Master'!$G4*-1+('Risk Master'!$G4*'Event Trigger'!$D4*(1-'Input Sheet year 2'!Q5))</f>
        <v>200000</v>
      </c>
      <c r="N4" s="88"/>
      <c r="O4" s="88">
        <f t="shared" si="0"/>
        <v>0</v>
      </c>
      <c r="P4" s="88">
        <f t="shared" si="1"/>
        <v>0</v>
      </c>
      <c r="Q4" s="88">
        <f t="shared" si="2"/>
        <v>0</v>
      </c>
      <c r="R4" s="88">
        <f t="shared" si="3"/>
        <v>0</v>
      </c>
      <c r="S4" s="88">
        <f t="shared" si="4"/>
        <v>0</v>
      </c>
      <c r="T4" s="88">
        <f t="shared" si="5"/>
        <v>-200000</v>
      </c>
      <c r="U4" s="88">
        <f t="shared" si="6"/>
        <v>0</v>
      </c>
      <c r="V4" s="88">
        <f t="shared" si="7"/>
        <v>0</v>
      </c>
      <c r="W4" s="88">
        <f t="shared" si="8"/>
        <v>0</v>
      </c>
      <c r="X4" s="88">
        <f t="shared" si="9"/>
        <v>-200000</v>
      </c>
      <c r="Z4" s="51" t="s">
        <v>28</v>
      </c>
      <c r="AA4" s="52">
        <f>IF(VLOOKUP($Z4,'Asset Master'!$A:$J,6,FALSE)*COUNTIF('Event Trigger'!$C:$C,'Year 1 Results'!$Z4)&gt;SUMIF('Event Trigger'!$C:$C,$Z4,D:D),0,VLOOKUP($Z4,'Asset Master'!$A:$J,6,FALSE))</f>
        <v>0</v>
      </c>
      <c r="AB4" s="52">
        <f>IF(VLOOKUP($Z4,'Asset Master'!$A:$J,6,FALSE)*COUNTIF('Event Trigger'!$C:$C,'Year 1 Results'!$Z4)&gt;SUMIF('Event Trigger'!$C:$C,$Z4,E:E),0,VLOOKUP($Z4,'Asset Master'!$A:$J,6,FALSE))</f>
        <v>0</v>
      </c>
      <c r="AC4" s="52">
        <f>IF(VLOOKUP($Z4,'Asset Master'!$A:$J,6,FALSE)*COUNTIF('Event Trigger'!$C:$C,'Year 1 Results'!$Z4)&gt;SUMIF('Event Trigger'!$C:$C,$Z4,F:F),0,VLOOKUP($Z4,'Asset Master'!$A:$J,6,FALSE))</f>
        <v>0</v>
      </c>
      <c r="AD4" s="52">
        <f>IF(VLOOKUP($Z4,'Asset Master'!$A:$J,6,FALSE)*COUNTIF('Event Trigger'!$C:$C,'Year 1 Results'!$Z4)&gt;SUMIF('Event Trigger'!$C:$C,$Z4,G:G),0,VLOOKUP($Z4,'Asset Master'!$A:$J,6,FALSE))</f>
        <v>0</v>
      </c>
      <c r="AE4" s="52">
        <f>IF(VLOOKUP($Z4,'Asset Master'!$A:$J,6,FALSE)*COUNTIF('Event Trigger'!$C:$C,'Year 1 Results'!$Z4)&gt;SUMIF('Event Trigger'!$C:$C,$Z4,H:H),0,VLOOKUP($Z4,'Asset Master'!$A:$J,6,FALSE))</f>
        <v>0</v>
      </c>
      <c r="AF4" s="52">
        <f>IF(VLOOKUP($Z4,'Asset Master'!$A:$J,6,FALSE)*COUNTIF('Event Trigger'!$C:$C,'Year 1 Results'!$Z4)&gt;SUMIF('Event Trigger'!$C:$C,$Z4,I:I),0,VLOOKUP($Z4,'Asset Master'!$A:$J,6,FALSE))</f>
        <v>0</v>
      </c>
      <c r="AG4" s="52">
        <f>IF(VLOOKUP($Z4,'Asset Master'!$A:$J,6,FALSE)*COUNTIF('Event Trigger'!$C:$C,'Year 1 Results'!$Z4)&gt;SUMIF('Event Trigger'!$C:$C,$Z4,J:J),0,VLOOKUP($Z4,'Asset Master'!$A:$J,6,FALSE))</f>
        <v>0</v>
      </c>
      <c r="AH4" s="52">
        <f>IF(VLOOKUP($Z4,'Asset Master'!$A:$J,6,FALSE)*COUNTIF('Event Trigger'!$C:$C,'Year 1 Results'!$Z4)&gt;SUMIF('Event Trigger'!$C:$C,$Z4,K:K),0,VLOOKUP($Z4,'Asset Master'!$A:$J,6,FALSE))</f>
        <v>0</v>
      </c>
      <c r="AI4" s="52">
        <f>IF(VLOOKUP($Z4,'Asset Master'!$A:$J,6,FALSE)*COUNTIF('Event Trigger'!$C:$C,'Year 1 Results'!$Z4)&gt;SUMIF('Event Trigger'!$C:$C,$Z4,L:L),0,VLOOKUP($Z4,'Asset Master'!$A:$J,6,FALSE))</f>
        <v>0</v>
      </c>
      <c r="AJ4" s="52">
        <f>IF(VLOOKUP($Z4,'Asset Master'!$A:$J,6,FALSE)*COUNTIF('Event Trigger'!$C:$C,'Year 1 Results'!$Z4)&gt;SUMIF('Event Trigger'!$C:$C,$Z4,M:M),0,VLOOKUP($Z4,'Asset Master'!$A:$J,6,FALSE))</f>
        <v>0</v>
      </c>
    </row>
    <row r="5" spans="1:36" x14ac:dyDescent="0.25">
      <c r="A5" s="37" t="str">
        <f>'Risk Master'!B5:B141&amp;"-"&amp;'Risk Master'!D5</f>
        <v>Typhoon-Mumbai</v>
      </c>
      <c r="B5" s="37" t="str">
        <f>'Input Sheet year 2'!B6</f>
        <v>Typhoon-Mumbai</v>
      </c>
      <c r="C5" s="29" t="str">
        <f>'Risk Master'!F5</f>
        <v>A1</v>
      </c>
      <c r="D5" s="73">
        <f>'Risk Master'!$G5*-1+('Risk Master'!$G5*'Event Trigger'!$D5*(1-'Input Sheet year 1'!H6))</f>
        <v>0</v>
      </c>
      <c r="E5" s="73">
        <f>'Risk Master'!$G5*-1+('Risk Master'!$G5*'Event Trigger'!$D5*(1-'Input Sheet year 2'!I6))</f>
        <v>0</v>
      </c>
      <c r="F5" s="73">
        <f>'Risk Master'!$G5*-1+('Risk Master'!$G5*'Event Trigger'!$D5*(1-'Input Sheet year 2'!J6))</f>
        <v>0</v>
      </c>
      <c r="G5" s="73">
        <f>'Risk Master'!$G5*-1+('Risk Master'!$G5*'Event Trigger'!$D5*(1-'Input Sheet year 2'!K6))</f>
        <v>200000</v>
      </c>
      <c r="H5" s="73">
        <f>'Risk Master'!$G5*-1+('Risk Master'!$G5*'Event Trigger'!$D5*(1-'Input Sheet year 2'!L6))</f>
        <v>0</v>
      </c>
      <c r="I5" s="73">
        <f>'Risk Master'!$G5*-1+('Risk Master'!$G5*'Event Trigger'!$D5*(1-'Input Sheet year 2'!M6))</f>
        <v>200000</v>
      </c>
      <c r="J5" s="73">
        <f>'Risk Master'!$G5*-1+('Risk Master'!$G5*'Event Trigger'!$D5*(1-'Input Sheet year 2'!N6))</f>
        <v>200000</v>
      </c>
      <c r="K5" s="73">
        <f>'Risk Master'!$G5*-1+('Risk Master'!$G5*'Event Trigger'!$D5*(1-'Input Sheet year 2'!O6))</f>
        <v>0</v>
      </c>
      <c r="L5" s="73">
        <f>'Risk Master'!$G5*-1+('Risk Master'!$G5*'Event Trigger'!$D5*(1-'Input Sheet year 2'!P6))</f>
        <v>0</v>
      </c>
      <c r="M5" s="73">
        <f>'Risk Master'!$G5*-1+('Risk Master'!$G5*'Event Trigger'!$D5*(1-'Input Sheet year 2'!Q6))</f>
        <v>200000</v>
      </c>
      <c r="N5" s="88"/>
      <c r="O5" s="88">
        <f t="shared" si="0"/>
        <v>0</v>
      </c>
      <c r="P5" s="88">
        <f t="shared" si="1"/>
        <v>0</v>
      </c>
      <c r="Q5" s="88">
        <f t="shared" si="2"/>
        <v>0</v>
      </c>
      <c r="R5" s="88">
        <f t="shared" si="3"/>
        <v>0</v>
      </c>
      <c r="S5" s="88">
        <f t="shared" si="4"/>
        <v>0</v>
      </c>
      <c r="T5" s="88">
        <f t="shared" si="5"/>
        <v>-200000</v>
      </c>
      <c r="U5" s="88">
        <f t="shared" si="6"/>
        <v>0</v>
      </c>
      <c r="V5" s="88">
        <f t="shared" si="7"/>
        <v>0</v>
      </c>
      <c r="W5" s="88">
        <f t="shared" si="8"/>
        <v>0</v>
      </c>
      <c r="X5" s="88">
        <f t="shared" si="9"/>
        <v>-200000</v>
      </c>
      <c r="Z5" s="51" t="s">
        <v>29</v>
      </c>
      <c r="AA5" s="52">
        <f>IF(VLOOKUP($Z5,'Asset Master'!$A:$J,6,FALSE)*COUNTIF('Event Trigger'!$C:$C,'Year 1 Results'!$Z5)&gt;SUMIF('Event Trigger'!$C:$C,$Z5,D:D),0,VLOOKUP($Z5,'Asset Master'!$A:$J,6,FALSE))</f>
        <v>700000</v>
      </c>
      <c r="AB5" s="52">
        <f>IF(VLOOKUP($Z5,'Asset Master'!$A:$J,6,FALSE)*COUNTIF('Event Trigger'!$C:$C,'Year 1 Results'!$Z5)&gt;SUMIF('Event Trigger'!$C:$C,$Z5,E:E),0,VLOOKUP($Z5,'Asset Master'!$A:$J,6,FALSE))</f>
        <v>700000</v>
      </c>
      <c r="AC5" s="52">
        <f>IF(VLOOKUP($Z5,'Asset Master'!$A:$J,6,FALSE)*COUNTIF('Event Trigger'!$C:$C,'Year 1 Results'!$Z5)&gt;SUMIF('Event Trigger'!$C:$C,$Z5,F:F),0,VLOOKUP($Z5,'Asset Master'!$A:$J,6,FALSE))</f>
        <v>700000</v>
      </c>
      <c r="AD5" s="52">
        <f>IF(VLOOKUP($Z5,'Asset Master'!$A:$J,6,FALSE)*COUNTIF('Event Trigger'!$C:$C,'Year 1 Results'!$Z5)&gt;SUMIF('Event Trigger'!$C:$C,$Z5,G:G),0,VLOOKUP($Z5,'Asset Master'!$A:$J,6,FALSE))</f>
        <v>700000</v>
      </c>
      <c r="AE5" s="52">
        <f>IF(VLOOKUP($Z5,'Asset Master'!$A:$J,6,FALSE)*COUNTIF('Event Trigger'!$C:$C,'Year 1 Results'!$Z5)&gt;SUMIF('Event Trigger'!$C:$C,$Z5,H:H),0,VLOOKUP($Z5,'Asset Master'!$A:$J,6,FALSE))</f>
        <v>700000</v>
      </c>
      <c r="AF5" s="52">
        <f>IF(VLOOKUP($Z5,'Asset Master'!$A:$J,6,FALSE)*COUNTIF('Event Trigger'!$C:$C,'Year 1 Results'!$Z5)&gt;SUMIF('Event Trigger'!$C:$C,$Z5,I:I),0,VLOOKUP($Z5,'Asset Master'!$A:$J,6,FALSE))</f>
        <v>700000</v>
      </c>
      <c r="AG5" s="52">
        <f>IF(VLOOKUP($Z5,'Asset Master'!$A:$J,6,FALSE)*COUNTIF('Event Trigger'!$C:$C,'Year 1 Results'!$Z5)&gt;SUMIF('Event Trigger'!$C:$C,$Z5,J:J),0,VLOOKUP($Z5,'Asset Master'!$A:$J,6,FALSE))</f>
        <v>700000</v>
      </c>
      <c r="AH5" s="52">
        <f>IF(VLOOKUP($Z5,'Asset Master'!$A:$J,6,FALSE)*COUNTIF('Event Trigger'!$C:$C,'Year 1 Results'!$Z5)&gt;SUMIF('Event Trigger'!$C:$C,$Z5,K:K),0,VLOOKUP($Z5,'Asset Master'!$A:$J,6,FALSE))</f>
        <v>700000</v>
      </c>
      <c r="AI5" s="52">
        <f>IF(VLOOKUP($Z5,'Asset Master'!$A:$J,6,FALSE)*COUNTIF('Event Trigger'!$C:$C,'Year 1 Results'!$Z5)&gt;SUMIF('Event Trigger'!$C:$C,$Z5,L:L),0,VLOOKUP($Z5,'Asset Master'!$A:$J,6,FALSE))</f>
        <v>700000</v>
      </c>
      <c r="AJ5" s="52">
        <f>IF(VLOOKUP($Z5,'Asset Master'!$A:$J,6,FALSE)*COUNTIF('Event Trigger'!$C:$C,'Year 1 Results'!$Z5)&gt;SUMIF('Event Trigger'!$C:$C,$Z5,M:M),0,VLOOKUP($Z5,'Asset Master'!$A:$J,6,FALSE))</f>
        <v>700000</v>
      </c>
    </row>
    <row r="6" spans="1:36" ht="25.5" x14ac:dyDescent="0.25">
      <c r="A6" s="37" t="str">
        <f>'Risk Master'!B6:B142&amp;"-"&amp;'Risk Master'!D6</f>
        <v>Thunderstorms, Tornados &amp; Hail-Mumbai</v>
      </c>
      <c r="B6" s="37" t="str">
        <f>'Input Sheet year 2'!B7</f>
        <v>Thunderstorms, Tornados &amp; Hail-Mumbai</v>
      </c>
      <c r="C6" s="29" t="str">
        <f>'Risk Master'!F6</f>
        <v>A1</v>
      </c>
      <c r="D6" s="73">
        <f>'Risk Master'!$G6*-1+('Risk Master'!$G6*'Event Trigger'!$D6*(1-'Input Sheet year 1'!H7))</f>
        <v>200000</v>
      </c>
      <c r="E6" s="73">
        <f>'Risk Master'!$G6*-1+('Risk Master'!$G6*'Event Trigger'!$D6*(1-'Input Sheet year 2'!I7))</f>
        <v>200000</v>
      </c>
      <c r="F6" s="73">
        <f>'Risk Master'!$G6*-1+('Risk Master'!$G6*'Event Trigger'!$D6*(1-'Input Sheet year 2'!J7))</f>
        <v>200000</v>
      </c>
      <c r="G6" s="73">
        <f>'Risk Master'!$G6*-1+('Risk Master'!$G6*'Event Trigger'!$D6*(1-'Input Sheet year 2'!K7))</f>
        <v>200000</v>
      </c>
      <c r="H6" s="73">
        <f>'Risk Master'!$G6*-1+('Risk Master'!$G6*'Event Trigger'!$D6*(1-'Input Sheet year 2'!L7))</f>
        <v>200000</v>
      </c>
      <c r="I6" s="73">
        <f>'Risk Master'!$G6*-1+('Risk Master'!$G6*'Event Trigger'!$D6*(1-'Input Sheet year 2'!M7))</f>
        <v>200000</v>
      </c>
      <c r="J6" s="73">
        <f>'Risk Master'!$G6*-1+('Risk Master'!$G6*'Event Trigger'!$D6*(1-'Input Sheet year 2'!N7))</f>
        <v>200000</v>
      </c>
      <c r="K6" s="73">
        <f>'Risk Master'!$G6*-1+('Risk Master'!$G6*'Event Trigger'!$D6*(1-'Input Sheet year 2'!O7))</f>
        <v>200000</v>
      </c>
      <c r="L6" s="73">
        <f>'Risk Master'!$G6*-1+('Risk Master'!$G6*'Event Trigger'!$D6*(1-'Input Sheet year 2'!P7))</f>
        <v>200000</v>
      </c>
      <c r="M6" s="73">
        <f>'Risk Master'!$G6*-1+('Risk Master'!$G6*'Event Trigger'!$D6*(1-'Input Sheet year 2'!Q7))</f>
        <v>200000</v>
      </c>
      <c r="N6" s="88"/>
      <c r="O6" s="88">
        <f t="shared" si="0"/>
        <v>0</v>
      </c>
      <c r="P6" s="88">
        <f t="shared" si="1"/>
        <v>0</v>
      </c>
      <c r="Q6" s="88">
        <f t="shared" si="2"/>
        <v>0</v>
      </c>
      <c r="R6" s="88">
        <f t="shared" si="3"/>
        <v>0</v>
      </c>
      <c r="S6" s="88">
        <f t="shared" si="4"/>
        <v>0</v>
      </c>
      <c r="T6" s="88">
        <f t="shared" si="5"/>
        <v>-200000</v>
      </c>
      <c r="U6" s="88">
        <f t="shared" si="6"/>
        <v>0</v>
      </c>
      <c r="V6" s="88">
        <f t="shared" si="7"/>
        <v>0</v>
      </c>
      <c r="W6" s="88">
        <f t="shared" si="8"/>
        <v>0</v>
      </c>
      <c r="X6" s="88">
        <f t="shared" si="9"/>
        <v>-200000</v>
      </c>
      <c r="Z6" s="51" t="s">
        <v>30</v>
      </c>
      <c r="AA6" s="52">
        <f>IF(VLOOKUP($Z6,'Asset Master'!$A:$J,6,FALSE)*COUNTIF('Event Trigger'!$C:$C,'Year 1 Results'!$Z6)&gt;SUMIF('Event Trigger'!$C:$C,$Z6,D:D),0,VLOOKUP($Z6,'Asset Master'!$A:$J,6,FALSE))</f>
        <v>0</v>
      </c>
      <c r="AB6" s="52">
        <f>IF(VLOOKUP($Z6,'Asset Master'!$A:$J,6,FALSE)*COUNTIF('Event Trigger'!$C:$C,'Year 1 Results'!$Z6)&gt;SUMIF('Event Trigger'!$C:$C,$Z6,E:E),0,VLOOKUP($Z6,'Asset Master'!$A:$J,6,FALSE))</f>
        <v>0</v>
      </c>
      <c r="AC6" s="52">
        <f>IF(VLOOKUP($Z6,'Asset Master'!$A:$J,6,FALSE)*COUNTIF('Event Trigger'!$C:$C,'Year 1 Results'!$Z6)&gt;SUMIF('Event Trigger'!$C:$C,$Z6,F:F),0,VLOOKUP($Z6,'Asset Master'!$A:$J,6,FALSE))</f>
        <v>0</v>
      </c>
      <c r="AD6" s="52">
        <f>IF(VLOOKUP($Z6,'Asset Master'!$A:$J,6,FALSE)*COUNTIF('Event Trigger'!$C:$C,'Year 1 Results'!$Z6)&gt;SUMIF('Event Trigger'!$C:$C,$Z6,G:G),0,VLOOKUP($Z6,'Asset Master'!$A:$J,6,FALSE))</f>
        <v>0</v>
      </c>
      <c r="AE6" s="52">
        <f>IF(VLOOKUP($Z6,'Asset Master'!$A:$J,6,FALSE)*COUNTIF('Event Trigger'!$C:$C,'Year 1 Results'!$Z6)&gt;SUMIF('Event Trigger'!$C:$C,$Z6,H:H),0,VLOOKUP($Z6,'Asset Master'!$A:$J,6,FALSE))</f>
        <v>0</v>
      </c>
      <c r="AF6" s="52">
        <f>IF(VLOOKUP($Z6,'Asset Master'!$A:$J,6,FALSE)*COUNTIF('Event Trigger'!$C:$C,'Year 1 Results'!$Z6)&gt;SUMIF('Event Trigger'!$C:$C,$Z6,I:I),0,VLOOKUP($Z6,'Asset Master'!$A:$J,6,FALSE))</f>
        <v>0</v>
      </c>
      <c r="AG6" s="52">
        <f>IF(VLOOKUP($Z6,'Asset Master'!$A:$J,6,FALSE)*COUNTIF('Event Trigger'!$C:$C,'Year 1 Results'!$Z6)&gt;SUMIF('Event Trigger'!$C:$C,$Z6,J:J),0,VLOOKUP($Z6,'Asset Master'!$A:$J,6,FALSE))</f>
        <v>0</v>
      </c>
      <c r="AH6" s="52">
        <f>IF(VLOOKUP($Z6,'Asset Master'!$A:$J,6,FALSE)*COUNTIF('Event Trigger'!$C:$C,'Year 1 Results'!$Z6)&gt;SUMIF('Event Trigger'!$C:$C,$Z6,K:K),0,VLOOKUP($Z6,'Asset Master'!$A:$J,6,FALSE))</f>
        <v>0</v>
      </c>
      <c r="AI6" s="52">
        <f>IF(VLOOKUP($Z6,'Asset Master'!$A:$J,6,FALSE)*COUNTIF('Event Trigger'!$C:$C,'Year 1 Results'!$Z6)&gt;SUMIF('Event Trigger'!$C:$C,$Z6,L:L),0,VLOOKUP($Z6,'Asset Master'!$A:$J,6,FALSE))</f>
        <v>0</v>
      </c>
      <c r="AJ6" s="52">
        <f>IF(VLOOKUP($Z6,'Asset Master'!$A:$J,6,FALSE)*COUNTIF('Event Trigger'!$C:$C,'Year 1 Results'!$Z6)&gt;SUMIF('Event Trigger'!$C:$C,$Z6,M:M),0,VLOOKUP($Z6,'Asset Master'!$A:$J,6,FALSE))</f>
        <v>0</v>
      </c>
    </row>
    <row r="7" spans="1:36" x14ac:dyDescent="0.25">
      <c r="A7" s="37" t="str">
        <f>'Risk Master'!B7:B143&amp;"-"&amp;'Risk Master'!D7</f>
        <v>Tsunami-Mumbai</v>
      </c>
      <c r="B7" s="37" t="str">
        <f>'Input Sheet year 2'!B8</f>
        <v>Tsunami-Mumbai</v>
      </c>
      <c r="C7" s="29" t="str">
        <f>'Risk Master'!F7</f>
        <v>A1</v>
      </c>
      <c r="D7" s="73">
        <f>'Risk Master'!$G7*-1+('Risk Master'!$G7*'Event Trigger'!$D7*(1-'Input Sheet year 1'!H8))</f>
        <v>200000</v>
      </c>
      <c r="E7" s="73">
        <f>'Risk Master'!$G7*-1+('Risk Master'!$G7*'Event Trigger'!$D7*(1-'Input Sheet year 2'!I8))</f>
        <v>200000</v>
      </c>
      <c r="F7" s="73">
        <f>'Risk Master'!$G7*-1+('Risk Master'!$G7*'Event Trigger'!$D7*(1-'Input Sheet year 2'!J8))</f>
        <v>200000</v>
      </c>
      <c r="G7" s="73">
        <f>'Risk Master'!$G7*-1+('Risk Master'!$G7*'Event Trigger'!$D7*(1-'Input Sheet year 2'!K8))</f>
        <v>200000</v>
      </c>
      <c r="H7" s="73">
        <f>'Risk Master'!$G7*-1+('Risk Master'!$G7*'Event Trigger'!$D7*(1-'Input Sheet year 2'!L8))</f>
        <v>200000</v>
      </c>
      <c r="I7" s="73">
        <f>'Risk Master'!$G7*-1+('Risk Master'!$G7*'Event Trigger'!$D7*(1-'Input Sheet year 2'!M8))</f>
        <v>200000</v>
      </c>
      <c r="J7" s="73">
        <f>'Risk Master'!$G7*-1+('Risk Master'!$G7*'Event Trigger'!$D7*(1-'Input Sheet year 2'!N8))</f>
        <v>200000</v>
      </c>
      <c r="K7" s="73">
        <f>'Risk Master'!$G7*-1+('Risk Master'!$G7*'Event Trigger'!$D7*(1-'Input Sheet year 2'!O8))</f>
        <v>200000</v>
      </c>
      <c r="L7" s="73">
        <f>'Risk Master'!$G7*-1+('Risk Master'!$G7*'Event Trigger'!$D7*(1-'Input Sheet year 2'!P8))</f>
        <v>200000</v>
      </c>
      <c r="M7" s="73">
        <f>'Risk Master'!$G7*-1+('Risk Master'!$G7*'Event Trigger'!$D7*(1-'Input Sheet year 2'!Q8))</f>
        <v>200000</v>
      </c>
      <c r="N7" s="88"/>
      <c r="O7" s="88">
        <f t="shared" si="0"/>
        <v>0</v>
      </c>
      <c r="P7" s="88">
        <f t="shared" si="1"/>
        <v>0</v>
      </c>
      <c r="Q7" s="88">
        <f t="shared" si="2"/>
        <v>0</v>
      </c>
      <c r="R7" s="88">
        <f t="shared" si="3"/>
        <v>0</v>
      </c>
      <c r="S7" s="88">
        <f t="shared" si="4"/>
        <v>0</v>
      </c>
      <c r="T7" s="88">
        <f t="shared" si="5"/>
        <v>-200000</v>
      </c>
      <c r="U7" s="88">
        <f t="shared" si="6"/>
        <v>0</v>
      </c>
      <c r="V7" s="88">
        <f t="shared" si="7"/>
        <v>0</v>
      </c>
      <c r="W7" s="88">
        <f t="shared" si="8"/>
        <v>0</v>
      </c>
      <c r="X7" s="88">
        <f t="shared" si="9"/>
        <v>-200000</v>
      </c>
      <c r="Z7" s="51" t="s">
        <v>31</v>
      </c>
      <c r="AA7" s="52">
        <f>IF(VLOOKUP($Z7,'Asset Master'!$A:$J,6,FALSE)*COUNTIF('Event Trigger'!$C:$C,'Year 1 Results'!$Z7)&gt;SUMIF('Event Trigger'!$C:$C,$Z7,D:D),0,VLOOKUP($Z7,'Asset Master'!$A:$J,6,FALSE))</f>
        <v>400000</v>
      </c>
      <c r="AB7" s="52">
        <f>IF(VLOOKUP($Z7,'Asset Master'!$A:$J,6,FALSE)*COUNTIF('Event Trigger'!$C:$C,'Year 1 Results'!$Z7)&gt;SUMIF('Event Trigger'!$C:$C,$Z7,E:E),0,VLOOKUP($Z7,'Asset Master'!$A:$J,6,FALSE))</f>
        <v>0</v>
      </c>
      <c r="AC7" s="52">
        <f>IF(VLOOKUP($Z7,'Asset Master'!$A:$J,6,FALSE)*COUNTIF('Event Trigger'!$C:$C,'Year 1 Results'!$Z7)&gt;SUMIF('Event Trigger'!$C:$C,$Z7,F:F),0,VLOOKUP($Z7,'Asset Master'!$A:$J,6,FALSE))</f>
        <v>0</v>
      </c>
      <c r="AD7" s="52">
        <f>IF(VLOOKUP($Z7,'Asset Master'!$A:$J,6,FALSE)*COUNTIF('Event Trigger'!$C:$C,'Year 1 Results'!$Z7)&gt;SUMIF('Event Trigger'!$C:$C,$Z7,G:G),0,VLOOKUP($Z7,'Asset Master'!$A:$J,6,FALSE))</f>
        <v>0</v>
      </c>
      <c r="AE7" s="52">
        <f>IF(VLOOKUP($Z7,'Asset Master'!$A:$J,6,FALSE)*COUNTIF('Event Trigger'!$C:$C,'Year 1 Results'!$Z7)&gt;SUMIF('Event Trigger'!$C:$C,$Z7,H:H),0,VLOOKUP($Z7,'Asset Master'!$A:$J,6,FALSE))</f>
        <v>0</v>
      </c>
      <c r="AF7" s="52">
        <f>IF(VLOOKUP($Z7,'Asset Master'!$A:$J,6,FALSE)*COUNTIF('Event Trigger'!$C:$C,'Year 1 Results'!$Z7)&gt;SUMIF('Event Trigger'!$C:$C,$Z7,I:I),0,VLOOKUP($Z7,'Asset Master'!$A:$J,6,FALSE))</f>
        <v>0</v>
      </c>
      <c r="AG7" s="52">
        <f>IF(VLOOKUP($Z7,'Asset Master'!$A:$J,6,FALSE)*COUNTIF('Event Trigger'!$C:$C,'Year 1 Results'!$Z7)&gt;SUMIF('Event Trigger'!$C:$C,$Z7,J:J),0,VLOOKUP($Z7,'Asset Master'!$A:$J,6,FALSE))</f>
        <v>0</v>
      </c>
      <c r="AH7" s="52">
        <f>IF(VLOOKUP($Z7,'Asset Master'!$A:$J,6,FALSE)*COUNTIF('Event Trigger'!$C:$C,'Year 1 Results'!$Z7)&gt;SUMIF('Event Trigger'!$C:$C,$Z7,K:K),0,VLOOKUP($Z7,'Asset Master'!$A:$J,6,FALSE))</f>
        <v>0</v>
      </c>
      <c r="AI7" s="52">
        <f>IF(VLOOKUP($Z7,'Asset Master'!$A:$J,6,FALSE)*COUNTIF('Event Trigger'!$C:$C,'Year 1 Results'!$Z7)&gt;SUMIF('Event Trigger'!$C:$C,$Z7,L:L),0,VLOOKUP($Z7,'Asset Master'!$A:$J,6,FALSE))</f>
        <v>0</v>
      </c>
      <c r="AJ7" s="52">
        <f>IF(VLOOKUP($Z7,'Asset Master'!$A:$J,6,FALSE)*COUNTIF('Event Trigger'!$C:$C,'Year 1 Results'!$Z7)&gt;SUMIF('Event Trigger'!$C:$C,$Z7,M:M),0,VLOOKUP($Z7,'Asset Master'!$A:$J,6,FALSE))</f>
        <v>0</v>
      </c>
    </row>
    <row r="8" spans="1:36" ht="25.5" x14ac:dyDescent="0.25">
      <c r="A8" s="37" t="str">
        <f>'Risk Master'!B8:B144&amp;"-"&amp;'Risk Master'!D8</f>
        <v>High tide and high rainfalls leading to large floods-Mumbai</v>
      </c>
      <c r="B8" s="37" t="str">
        <f>'Input Sheet year 2'!B9</f>
        <v>Flood-Mumbai</v>
      </c>
      <c r="C8" s="29" t="str">
        <f>'Risk Master'!F8</f>
        <v>A2</v>
      </c>
      <c r="D8" s="73">
        <f>'Risk Master'!$G8*-1+('Risk Master'!$G8*'Event Trigger'!$D8*(1-'Input Sheet year 1'!H9))</f>
        <v>200000</v>
      </c>
      <c r="E8" s="73">
        <f>'Risk Master'!$G8*-1+('Risk Master'!$G8*'Event Trigger'!$D8*(1-'Input Sheet year 2'!I9))</f>
        <v>200000</v>
      </c>
      <c r="F8" s="73">
        <f>'Risk Master'!$G8*-1+('Risk Master'!$G8*'Event Trigger'!$D8*(1-'Input Sheet year 2'!J9))</f>
        <v>200000</v>
      </c>
      <c r="G8" s="73">
        <f>'Risk Master'!$G8*-1+('Risk Master'!$G8*'Event Trigger'!$D8*(1-'Input Sheet year 2'!K9))</f>
        <v>200000</v>
      </c>
      <c r="H8" s="73">
        <f>'Risk Master'!$G8*-1+('Risk Master'!$G8*'Event Trigger'!$D8*(1-'Input Sheet year 2'!L9))</f>
        <v>200000</v>
      </c>
      <c r="I8" s="73">
        <f>'Risk Master'!$G8*-1+('Risk Master'!$G8*'Event Trigger'!$D8*(1-'Input Sheet year 2'!M9))</f>
        <v>200000</v>
      </c>
      <c r="J8" s="73">
        <f>'Risk Master'!$G8*-1+('Risk Master'!$G8*'Event Trigger'!$D8*(1-'Input Sheet year 2'!N9))</f>
        <v>200000</v>
      </c>
      <c r="K8" s="73">
        <f>'Risk Master'!$G8*-1+('Risk Master'!$G8*'Event Trigger'!$D8*(1-'Input Sheet year 2'!O9))</f>
        <v>200000</v>
      </c>
      <c r="L8" s="73">
        <f>'Risk Master'!$G8*-1+('Risk Master'!$G8*'Event Trigger'!$D8*(1-'Input Sheet year 2'!P9))</f>
        <v>200000</v>
      </c>
      <c r="M8" s="73">
        <f>'Risk Master'!$G8*-1+('Risk Master'!$G8*'Event Trigger'!$D8*(1-'Input Sheet year 2'!Q9))</f>
        <v>200000</v>
      </c>
      <c r="N8" s="88"/>
      <c r="O8" s="88">
        <f t="shared" si="0"/>
        <v>0</v>
      </c>
      <c r="P8" s="88">
        <f t="shared" si="1"/>
        <v>0</v>
      </c>
      <c r="Q8" s="88">
        <f t="shared" si="2"/>
        <v>0</v>
      </c>
      <c r="R8" s="88">
        <f t="shared" si="3"/>
        <v>0</v>
      </c>
      <c r="S8" s="88">
        <f t="shared" si="4"/>
        <v>0</v>
      </c>
      <c r="T8" s="88">
        <f t="shared" si="5"/>
        <v>-200000</v>
      </c>
      <c r="U8" s="88">
        <f t="shared" si="6"/>
        <v>0</v>
      </c>
      <c r="V8" s="88">
        <f t="shared" si="7"/>
        <v>0</v>
      </c>
      <c r="W8" s="88">
        <f t="shared" si="8"/>
        <v>0</v>
      </c>
      <c r="X8" s="88">
        <f t="shared" si="9"/>
        <v>0</v>
      </c>
      <c r="Z8" s="51" t="s">
        <v>32</v>
      </c>
      <c r="AA8" s="52">
        <f>IF(VLOOKUP($Z8,'Asset Master'!$A:$J,6,FALSE)*COUNTIF('Event Trigger'!$C:$C,'Year 1 Results'!$Z8)&gt;SUMIF('Event Trigger'!$C:$C,$Z8,D:D),0,VLOOKUP($Z8,'Asset Master'!$A:$J,6,FALSE))</f>
        <v>800000</v>
      </c>
      <c r="AB8" s="52">
        <f>IF(VLOOKUP($Z8,'Asset Master'!$A:$J,6,FALSE)*COUNTIF('Event Trigger'!$C:$C,'Year 1 Results'!$Z8)&gt;SUMIF('Event Trigger'!$C:$C,$Z8,E:E),0,VLOOKUP($Z8,'Asset Master'!$A:$J,6,FALSE))</f>
        <v>800000</v>
      </c>
      <c r="AC8" s="52">
        <f>IF(VLOOKUP($Z8,'Asset Master'!$A:$J,6,FALSE)*COUNTIF('Event Trigger'!$C:$C,'Year 1 Results'!$Z8)&gt;SUMIF('Event Trigger'!$C:$C,$Z8,F:F),0,VLOOKUP($Z8,'Asset Master'!$A:$J,6,FALSE))</f>
        <v>800000</v>
      </c>
      <c r="AD8" s="52">
        <f>IF(VLOOKUP($Z8,'Asset Master'!$A:$J,6,FALSE)*COUNTIF('Event Trigger'!$C:$C,'Year 1 Results'!$Z8)&gt;SUMIF('Event Trigger'!$C:$C,$Z8,G:G),0,VLOOKUP($Z8,'Asset Master'!$A:$J,6,FALSE))</f>
        <v>800000</v>
      </c>
      <c r="AE8" s="52">
        <f>IF(VLOOKUP($Z8,'Asset Master'!$A:$J,6,FALSE)*COUNTIF('Event Trigger'!$C:$C,'Year 1 Results'!$Z8)&gt;SUMIF('Event Trigger'!$C:$C,$Z8,H:H),0,VLOOKUP($Z8,'Asset Master'!$A:$J,6,FALSE))</f>
        <v>800000</v>
      </c>
      <c r="AF8" s="52">
        <f>IF(VLOOKUP($Z8,'Asset Master'!$A:$J,6,FALSE)*COUNTIF('Event Trigger'!$C:$C,'Year 1 Results'!$Z8)&gt;SUMIF('Event Trigger'!$C:$C,$Z8,I:I),0,VLOOKUP($Z8,'Asset Master'!$A:$J,6,FALSE))</f>
        <v>800000</v>
      </c>
      <c r="AG8" s="52">
        <f>IF(VLOOKUP($Z8,'Asset Master'!$A:$J,6,FALSE)*COUNTIF('Event Trigger'!$C:$C,'Year 1 Results'!$Z8)&gt;SUMIF('Event Trigger'!$C:$C,$Z8,J:J),0,VLOOKUP($Z8,'Asset Master'!$A:$J,6,FALSE))</f>
        <v>800000</v>
      </c>
      <c r="AH8" s="52">
        <f>IF(VLOOKUP($Z8,'Asset Master'!$A:$J,6,FALSE)*COUNTIF('Event Trigger'!$C:$C,'Year 1 Results'!$Z8)&gt;SUMIF('Event Trigger'!$C:$C,$Z8,K:K),0,VLOOKUP($Z8,'Asset Master'!$A:$J,6,FALSE))</f>
        <v>800000</v>
      </c>
      <c r="AI8" s="52">
        <f>IF(VLOOKUP($Z8,'Asset Master'!$A:$J,6,FALSE)*COUNTIF('Event Trigger'!$C:$C,'Year 1 Results'!$Z8)&gt;SUMIF('Event Trigger'!$C:$C,$Z8,L:L),0,VLOOKUP($Z8,'Asset Master'!$A:$J,6,FALSE))</f>
        <v>800000</v>
      </c>
      <c r="AJ8" s="52">
        <f>IF(VLOOKUP($Z8,'Asset Master'!$A:$J,6,FALSE)*COUNTIF('Event Trigger'!$C:$C,'Year 1 Results'!$Z8)&gt;SUMIF('Event Trigger'!$C:$C,$Z8,M:M),0,VLOOKUP($Z8,'Asset Master'!$A:$J,6,FALSE))</f>
        <v>800000</v>
      </c>
    </row>
    <row r="9" spans="1:36" x14ac:dyDescent="0.25">
      <c r="A9" s="37" t="str">
        <f>'Risk Master'!B9:B145&amp;"-"&amp;'Risk Master'!D9</f>
        <v>Earthquake-Mumbai</v>
      </c>
      <c r="B9" s="37" t="str">
        <f>'Input Sheet year 2'!B10</f>
        <v>Earthquake-Mumbai</v>
      </c>
      <c r="C9" s="29" t="str">
        <f>'Risk Master'!F9</f>
        <v>A2</v>
      </c>
      <c r="D9" s="73">
        <f>'Risk Master'!$G9*-1+('Risk Master'!$G9*'Event Trigger'!$D9*(1-'Input Sheet year 1'!H10))</f>
        <v>0</v>
      </c>
      <c r="E9" s="73">
        <f>'Risk Master'!$G9*-1+('Risk Master'!$G9*'Event Trigger'!$D9*(1-'Input Sheet year 2'!I10))</f>
        <v>200000</v>
      </c>
      <c r="F9" s="73">
        <f>'Risk Master'!$G9*-1+('Risk Master'!$G9*'Event Trigger'!$D9*(1-'Input Sheet year 2'!J10))</f>
        <v>0</v>
      </c>
      <c r="G9" s="73">
        <f>'Risk Master'!$G9*-1+('Risk Master'!$G9*'Event Trigger'!$D9*(1-'Input Sheet year 2'!K10))</f>
        <v>0</v>
      </c>
      <c r="H9" s="73">
        <f>'Risk Master'!$G9*-1+('Risk Master'!$G9*'Event Trigger'!$D9*(1-'Input Sheet year 2'!L10))</f>
        <v>0</v>
      </c>
      <c r="I9" s="73">
        <f>'Risk Master'!$G9*-1+('Risk Master'!$G9*'Event Trigger'!$D9*(1-'Input Sheet year 2'!M10))</f>
        <v>200000</v>
      </c>
      <c r="J9" s="73">
        <f>'Risk Master'!$G9*-1+('Risk Master'!$G9*'Event Trigger'!$D9*(1-'Input Sheet year 2'!N10))</f>
        <v>0</v>
      </c>
      <c r="K9" s="73">
        <f>'Risk Master'!$G9*-1+('Risk Master'!$G9*'Event Trigger'!$D9*(1-'Input Sheet year 2'!O10))</f>
        <v>0</v>
      </c>
      <c r="L9" s="73">
        <f>'Risk Master'!$G9*-1+('Risk Master'!$G9*'Event Trigger'!$D9*(1-'Input Sheet year 2'!P10))</f>
        <v>0</v>
      </c>
      <c r="M9" s="73">
        <f>'Risk Master'!$G9*-1+('Risk Master'!$G9*'Event Trigger'!$D9*(1-'Input Sheet year 2'!Q10))</f>
        <v>0</v>
      </c>
      <c r="N9" s="88"/>
      <c r="O9" s="88">
        <f t="shared" si="0"/>
        <v>0</v>
      </c>
      <c r="P9" s="88">
        <f t="shared" si="1"/>
        <v>0</v>
      </c>
      <c r="Q9" s="88">
        <f t="shared" si="2"/>
        <v>0</v>
      </c>
      <c r="R9" s="88">
        <f t="shared" si="3"/>
        <v>0</v>
      </c>
      <c r="S9" s="88">
        <f t="shared" si="4"/>
        <v>0</v>
      </c>
      <c r="T9" s="88">
        <f t="shared" si="5"/>
        <v>-200000</v>
      </c>
      <c r="U9" s="88">
        <f t="shared" si="6"/>
        <v>0</v>
      </c>
      <c r="V9" s="88">
        <f t="shared" si="7"/>
        <v>0</v>
      </c>
      <c r="W9" s="88">
        <f t="shared" si="8"/>
        <v>0</v>
      </c>
      <c r="X9" s="88">
        <f t="shared" si="9"/>
        <v>0</v>
      </c>
      <c r="Z9" s="51" t="s">
        <v>33</v>
      </c>
      <c r="AA9" s="52">
        <f>IF(VLOOKUP($Z9,'Asset Master'!$A:$J,6,FALSE)*COUNTIF('Event Trigger'!$C:$C,'Year 1 Results'!$Z9)&gt;SUMIF('Event Trigger'!$C:$C,$Z9,D:D),0,VLOOKUP($Z9,'Asset Master'!$A:$J,6,FALSE))</f>
        <v>0</v>
      </c>
      <c r="AB9" s="52">
        <f>IF(VLOOKUP($Z9,'Asset Master'!$A:$J,6,FALSE)*COUNTIF('Event Trigger'!$C:$C,'Year 1 Results'!$Z9)&gt;SUMIF('Event Trigger'!$C:$C,$Z9,E:E),0,VLOOKUP($Z9,'Asset Master'!$A:$J,6,FALSE))</f>
        <v>300000</v>
      </c>
      <c r="AC9" s="52">
        <f>IF(VLOOKUP($Z9,'Asset Master'!$A:$J,6,FALSE)*COUNTIF('Event Trigger'!$C:$C,'Year 1 Results'!$Z9)&gt;SUMIF('Event Trigger'!$C:$C,$Z9,F:F),0,VLOOKUP($Z9,'Asset Master'!$A:$J,6,FALSE))</f>
        <v>0</v>
      </c>
      <c r="AD9" s="52">
        <f>IF(VLOOKUP($Z9,'Asset Master'!$A:$J,6,FALSE)*COUNTIF('Event Trigger'!$C:$C,'Year 1 Results'!$Z9)&gt;SUMIF('Event Trigger'!$C:$C,$Z9,G:G),0,VLOOKUP($Z9,'Asset Master'!$A:$J,6,FALSE))</f>
        <v>0</v>
      </c>
      <c r="AE9" s="52">
        <f>IF(VLOOKUP($Z9,'Asset Master'!$A:$J,6,FALSE)*COUNTIF('Event Trigger'!$C:$C,'Year 1 Results'!$Z9)&gt;SUMIF('Event Trigger'!$C:$C,$Z9,H:H),0,VLOOKUP($Z9,'Asset Master'!$A:$J,6,FALSE))</f>
        <v>0</v>
      </c>
      <c r="AF9" s="52">
        <f>IF(VLOOKUP($Z9,'Asset Master'!$A:$J,6,FALSE)*COUNTIF('Event Trigger'!$C:$C,'Year 1 Results'!$Z9)&gt;SUMIF('Event Trigger'!$C:$C,$Z9,I:I),0,VLOOKUP($Z9,'Asset Master'!$A:$J,6,FALSE))</f>
        <v>0</v>
      </c>
      <c r="AG9" s="52">
        <f>IF(VLOOKUP($Z9,'Asset Master'!$A:$J,6,FALSE)*COUNTIF('Event Trigger'!$C:$C,'Year 1 Results'!$Z9)&gt;SUMIF('Event Trigger'!$C:$C,$Z9,J:J),0,VLOOKUP($Z9,'Asset Master'!$A:$J,6,FALSE))</f>
        <v>0</v>
      </c>
      <c r="AH9" s="52">
        <f>IF(VLOOKUP($Z9,'Asset Master'!$A:$J,6,FALSE)*COUNTIF('Event Trigger'!$C:$C,'Year 1 Results'!$Z9)&gt;SUMIF('Event Trigger'!$C:$C,$Z9,K:K),0,VLOOKUP($Z9,'Asset Master'!$A:$J,6,FALSE))</f>
        <v>0</v>
      </c>
      <c r="AI9" s="52">
        <f>IF(VLOOKUP($Z9,'Asset Master'!$A:$J,6,FALSE)*COUNTIF('Event Trigger'!$C:$C,'Year 1 Results'!$Z9)&gt;SUMIF('Event Trigger'!$C:$C,$Z9,L:L),0,VLOOKUP($Z9,'Asset Master'!$A:$J,6,FALSE))</f>
        <v>0</v>
      </c>
      <c r="AJ9" s="52">
        <f>IF(VLOOKUP($Z9,'Asset Master'!$A:$J,6,FALSE)*COUNTIF('Event Trigger'!$C:$C,'Year 1 Results'!$Z9)&gt;SUMIF('Event Trigger'!$C:$C,$Z9,M:M),0,VLOOKUP($Z9,'Asset Master'!$A:$J,6,FALSE))</f>
        <v>0</v>
      </c>
    </row>
    <row r="10" spans="1:36" x14ac:dyDescent="0.25">
      <c r="A10" s="37" t="str">
        <f>'Risk Master'!B10:B146&amp;"-"&amp;'Risk Master'!D10</f>
        <v>Fire-Mumbai</v>
      </c>
      <c r="B10" s="37" t="str">
        <f>'Input Sheet year 2'!B11</f>
        <v>Fire-Mumbai</v>
      </c>
      <c r="C10" s="29" t="str">
        <f>'Risk Master'!F10</f>
        <v>A2</v>
      </c>
      <c r="D10" s="73">
        <f>'Risk Master'!$G10*-1+('Risk Master'!$G10*'Event Trigger'!$D10*(1-'Input Sheet year 1'!H11))</f>
        <v>200000</v>
      </c>
      <c r="E10" s="73">
        <f>'Risk Master'!$G10*-1+('Risk Master'!$G10*'Event Trigger'!$D10*(1-'Input Sheet year 2'!I11))</f>
        <v>200000</v>
      </c>
      <c r="F10" s="73">
        <f>'Risk Master'!$G10*-1+('Risk Master'!$G10*'Event Trigger'!$D10*(1-'Input Sheet year 2'!J11))</f>
        <v>200000</v>
      </c>
      <c r="G10" s="73">
        <f>'Risk Master'!$G10*-1+('Risk Master'!$G10*'Event Trigger'!$D10*(1-'Input Sheet year 2'!K11))</f>
        <v>200000</v>
      </c>
      <c r="H10" s="73">
        <f>'Risk Master'!$G10*-1+('Risk Master'!$G10*'Event Trigger'!$D10*(1-'Input Sheet year 2'!L11))</f>
        <v>200000</v>
      </c>
      <c r="I10" s="73">
        <f>'Risk Master'!$G10*-1+('Risk Master'!$G10*'Event Trigger'!$D10*(1-'Input Sheet year 2'!M11))</f>
        <v>200000</v>
      </c>
      <c r="J10" s="73">
        <f>'Risk Master'!$G10*-1+('Risk Master'!$G10*'Event Trigger'!$D10*(1-'Input Sheet year 2'!N11))</f>
        <v>200000</v>
      </c>
      <c r="K10" s="73">
        <f>'Risk Master'!$G10*-1+('Risk Master'!$G10*'Event Trigger'!$D10*(1-'Input Sheet year 2'!O11))</f>
        <v>200000</v>
      </c>
      <c r="L10" s="73">
        <f>'Risk Master'!$G10*-1+('Risk Master'!$G10*'Event Trigger'!$D10*(1-'Input Sheet year 2'!P11))</f>
        <v>200000</v>
      </c>
      <c r="M10" s="73">
        <f>'Risk Master'!$G10*-1+('Risk Master'!$G10*'Event Trigger'!$D10*(1-'Input Sheet year 2'!Q11))</f>
        <v>200000</v>
      </c>
      <c r="N10" s="88"/>
      <c r="O10" s="88">
        <f t="shared" si="0"/>
        <v>0</v>
      </c>
      <c r="P10" s="88">
        <f t="shared" si="1"/>
        <v>0</v>
      </c>
      <c r="Q10" s="88">
        <f t="shared" si="2"/>
        <v>0</v>
      </c>
      <c r="R10" s="88">
        <f t="shared" si="3"/>
        <v>0</v>
      </c>
      <c r="S10" s="88">
        <f t="shared" si="4"/>
        <v>0</v>
      </c>
      <c r="T10" s="88">
        <f t="shared" si="5"/>
        <v>-200000</v>
      </c>
      <c r="U10" s="88">
        <f t="shared" si="6"/>
        <v>0</v>
      </c>
      <c r="V10" s="88">
        <f t="shared" si="7"/>
        <v>0</v>
      </c>
      <c r="W10" s="88">
        <f t="shared" si="8"/>
        <v>0</v>
      </c>
      <c r="X10" s="88">
        <f t="shared" si="9"/>
        <v>0</v>
      </c>
      <c r="Z10" s="51" t="s">
        <v>34</v>
      </c>
      <c r="AA10" s="52">
        <f>IF(VLOOKUP($Z10,'Asset Master'!$A:$J,6,FALSE)*COUNTIF('Event Trigger'!$C:$C,'Year 1 Results'!$Z10)&gt;SUMIF('Event Trigger'!$C:$C,$Z10,D:D),0,VLOOKUP($Z10,'Asset Master'!$A:$J,6,FALSE))</f>
        <v>0</v>
      </c>
      <c r="AB10" s="52">
        <f>IF(VLOOKUP($Z10,'Asset Master'!$A:$J,6,FALSE)*COUNTIF('Event Trigger'!$C:$C,'Year 1 Results'!$Z10)&gt;SUMIF('Event Trigger'!$C:$C,$Z10,E:E),0,VLOOKUP($Z10,'Asset Master'!$A:$J,6,FALSE))</f>
        <v>0</v>
      </c>
      <c r="AC10" s="52">
        <f>IF(VLOOKUP($Z10,'Asset Master'!$A:$J,6,FALSE)*COUNTIF('Event Trigger'!$C:$C,'Year 1 Results'!$Z10)&gt;SUMIF('Event Trigger'!$C:$C,$Z10,F:F),0,VLOOKUP($Z10,'Asset Master'!$A:$J,6,FALSE))</f>
        <v>0</v>
      </c>
      <c r="AD10" s="52">
        <f>IF(VLOOKUP($Z10,'Asset Master'!$A:$J,6,FALSE)*COUNTIF('Event Trigger'!$C:$C,'Year 1 Results'!$Z10)&gt;SUMIF('Event Trigger'!$C:$C,$Z10,G:G),0,VLOOKUP($Z10,'Asset Master'!$A:$J,6,FALSE))</f>
        <v>0</v>
      </c>
      <c r="AE10" s="52">
        <f>IF(VLOOKUP($Z10,'Asset Master'!$A:$J,6,FALSE)*COUNTIF('Event Trigger'!$C:$C,'Year 1 Results'!$Z10)&gt;SUMIF('Event Trigger'!$C:$C,$Z10,H:H),0,VLOOKUP($Z10,'Asset Master'!$A:$J,6,FALSE))</f>
        <v>0</v>
      </c>
      <c r="AF10" s="52">
        <f>IF(VLOOKUP($Z10,'Asset Master'!$A:$J,6,FALSE)*COUNTIF('Event Trigger'!$C:$C,'Year 1 Results'!$Z10)&gt;SUMIF('Event Trigger'!$C:$C,$Z10,I:I),0,VLOOKUP($Z10,'Asset Master'!$A:$J,6,FALSE))</f>
        <v>0</v>
      </c>
      <c r="AG10" s="52">
        <f>IF(VLOOKUP($Z10,'Asset Master'!$A:$J,6,FALSE)*COUNTIF('Event Trigger'!$C:$C,'Year 1 Results'!$Z10)&gt;SUMIF('Event Trigger'!$C:$C,$Z10,J:J),0,VLOOKUP($Z10,'Asset Master'!$A:$J,6,FALSE))</f>
        <v>0</v>
      </c>
      <c r="AH10" s="52">
        <f>IF(VLOOKUP($Z10,'Asset Master'!$A:$J,6,FALSE)*COUNTIF('Event Trigger'!$C:$C,'Year 1 Results'!$Z10)&gt;SUMIF('Event Trigger'!$C:$C,$Z10,K:K),0,VLOOKUP($Z10,'Asset Master'!$A:$J,6,FALSE))</f>
        <v>0</v>
      </c>
      <c r="AI10" s="52">
        <f>IF(VLOOKUP($Z10,'Asset Master'!$A:$J,6,FALSE)*COUNTIF('Event Trigger'!$C:$C,'Year 1 Results'!$Z10)&gt;SUMIF('Event Trigger'!$C:$C,$Z10,L:L),0,VLOOKUP($Z10,'Asset Master'!$A:$J,6,FALSE))</f>
        <v>0</v>
      </c>
      <c r="AJ10" s="52">
        <f>IF(VLOOKUP($Z10,'Asset Master'!$A:$J,6,FALSE)*COUNTIF('Event Trigger'!$C:$C,'Year 1 Results'!$Z10)&gt;SUMIF('Event Trigger'!$C:$C,$Z10,M:M),0,VLOOKUP($Z10,'Asset Master'!$A:$J,6,FALSE))</f>
        <v>0</v>
      </c>
    </row>
    <row r="11" spans="1:36" x14ac:dyDescent="0.25">
      <c r="A11" s="37" t="str">
        <f>'Risk Master'!B11:B147&amp;"-"&amp;'Risk Master'!D11</f>
        <v>Typhoon-Mumbai</v>
      </c>
      <c r="B11" s="37" t="str">
        <f>'Input Sheet year 2'!B12</f>
        <v>Typhoon-Mumbai</v>
      </c>
      <c r="C11" s="29" t="str">
        <f>'Risk Master'!F11</f>
        <v>A2</v>
      </c>
      <c r="D11" s="73">
        <f>'Risk Master'!$G11*-1+('Risk Master'!$G11*'Event Trigger'!$D11*(1-'Input Sheet year 1'!H12))</f>
        <v>200000</v>
      </c>
      <c r="E11" s="73">
        <f>'Risk Master'!$G11*-1+('Risk Master'!$G11*'Event Trigger'!$D11*(1-'Input Sheet year 2'!I12))</f>
        <v>0</v>
      </c>
      <c r="F11" s="73">
        <f>'Risk Master'!$G11*-1+('Risk Master'!$G11*'Event Trigger'!$D11*(1-'Input Sheet year 2'!J12))</f>
        <v>0</v>
      </c>
      <c r="G11" s="73">
        <f>'Risk Master'!$G11*-1+('Risk Master'!$G11*'Event Trigger'!$D11*(1-'Input Sheet year 2'!K12))</f>
        <v>0</v>
      </c>
      <c r="H11" s="73">
        <f>'Risk Master'!$G11*-1+('Risk Master'!$G11*'Event Trigger'!$D11*(1-'Input Sheet year 2'!L12))</f>
        <v>0</v>
      </c>
      <c r="I11" s="73">
        <f>'Risk Master'!$G11*-1+('Risk Master'!$G11*'Event Trigger'!$D11*(1-'Input Sheet year 2'!M12))</f>
        <v>200000</v>
      </c>
      <c r="J11" s="73">
        <f>'Risk Master'!$G11*-1+('Risk Master'!$G11*'Event Trigger'!$D11*(1-'Input Sheet year 2'!N12))</f>
        <v>0</v>
      </c>
      <c r="K11" s="73">
        <f>'Risk Master'!$G11*-1+('Risk Master'!$G11*'Event Trigger'!$D11*(1-'Input Sheet year 2'!O12))</f>
        <v>0</v>
      </c>
      <c r="L11" s="73">
        <f>'Risk Master'!$G11*-1+('Risk Master'!$G11*'Event Trigger'!$D11*(1-'Input Sheet year 2'!P12))</f>
        <v>200000</v>
      </c>
      <c r="M11" s="73">
        <f>'Risk Master'!$G11*-1+('Risk Master'!$G11*'Event Trigger'!$D11*(1-'Input Sheet year 2'!Q12))</f>
        <v>0</v>
      </c>
      <c r="N11" s="88"/>
      <c r="O11" s="88">
        <f t="shared" si="0"/>
        <v>0</v>
      </c>
      <c r="P11" s="88">
        <f t="shared" si="1"/>
        <v>0</v>
      </c>
      <c r="Q11" s="88">
        <f t="shared" si="2"/>
        <v>0</v>
      </c>
      <c r="R11" s="88">
        <f t="shared" si="3"/>
        <v>0</v>
      </c>
      <c r="S11" s="88">
        <f t="shared" si="4"/>
        <v>0</v>
      </c>
      <c r="T11" s="88">
        <f t="shared" si="5"/>
        <v>-200000</v>
      </c>
      <c r="U11" s="88">
        <f t="shared" si="6"/>
        <v>0</v>
      </c>
      <c r="V11" s="88">
        <f t="shared" si="7"/>
        <v>0</v>
      </c>
      <c r="W11" s="88">
        <f t="shared" si="8"/>
        <v>0</v>
      </c>
      <c r="X11" s="88">
        <f t="shared" si="9"/>
        <v>0</v>
      </c>
      <c r="Z11" s="51" t="s">
        <v>35</v>
      </c>
      <c r="AA11" s="52">
        <f>IF(VLOOKUP($Z11,'Asset Master'!$A:$J,6,FALSE)*COUNTIF('Event Trigger'!$C:$C,'Year 1 Results'!$Z11)&gt;SUMIF('Event Trigger'!$C:$C,$Z11,D:D),0,VLOOKUP($Z11,'Asset Master'!$A:$J,6,FALSE))</f>
        <v>0</v>
      </c>
      <c r="AB11" s="52">
        <f>IF(VLOOKUP($Z11,'Asset Master'!$A:$J,6,FALSE)*COUNTIF('Event Trigger'!$C:$C,'Year 1 Results'!$Z11)&gt;SUMIF('Event Trigger'!$C:$C,$Z11,E:E),0,VLOOKUP($Z11,'Asset Master'!$A:$J,6,FALSE))</f>
        <v>0</v>
      </c>
      <c r="AC11" s="52">
        <f>IF(VLOOKUP($Z11,'Asset Master'!$A:$J,6,FALSE)*COUNTIF('Event Trigger'!$C:$C,'Year 1 Results'!$Z11)&gt;SUMIF('Event Trigger'!$C:$C,$Z11,F:F),0,VLOOKUP($Z11,'Asset Master'!$A:$J,6,FALSE))</f>
        <v>0</v>
      </c>
      <c r="AD11" s="52">
        <f>IF(VLOOKUP($Z11,'Asset Master'!$A:$J,6,FALSE)*COUNTIF('Event Trigger'!$C:$C,'Year 1 Results'!$Z11)&gt;SUMIF('Event Trigger'!$C:$C,$Z11,G:G),0,VLOOKUP($Z11,'Asset Master'!$A:$J,6,FALSE))</f>
        <v>0</v>
      </c>
      <c r="AE11" s="52">
        <f>IF(VLOOKUP($Z11,'Asset Master'!$A:$J,6,FALSE)*COUNTIF('Event Trigger'!$C:$C,'Year 1 Results'!$Z11)&gt;SUMIF('Event Trigger'!$C:$C,$Z11,H:H),0,VLOOKUP($Z11,'Asset Master'!$A:$J,6,FALSE))</f>
        <v>0</v>
      </c>
      <c r="AF11" s="52">
        <f>IF(VLOOKUP($Z11,'Asset Master'!$A:$J,6,FALSE)*COUNTIF('Event Trigger'!$C:$C,'Year 1 Results'!$Z11)&gt;SUMIF('Event Trigger'!$C:$C,$Z11,I:I),0,VLOOKUP($Z11,'Asset Master'!$A:$J,6,FALSE))</f>
        <v>0</v>
      </c>
      <c r="AG11" s="52">
        <f>IF(VLOOKUP($Z11,'Asset Master'!$A:$J,6,FALSE)*COUNTIF('Event Trigger'!$C:$C,'Year 1 Results'!$Z11)&gt;SUMIF('Event Trigger'!$C:$C,$Z11,J:J),0,VLOOKUP($Z11,'Asset Master'!$A:$J,6,FALSE))</f>
        <v>0</v>
      </c>
      <c r="AH11" s="52">
        <f>IF(VLOOKUP($Z11,'Asset Master'!$A:$J,6,FALSE)*COUNTIF('Event Trigger'!$C:$C,'Year 1 Results'!$Z11)&gt;SUMIF('Event Trigger'!$C:$C,$Z11,K:K),0,VLOOKUP($Z11,'Asset Master'!$A:$J,6,FALSE))</f>
        <v>0</v>
      </c>
      <c r="AI11" s="52">
        <f>IF(VLOOKUP($Z11,'Asset Master'!$A:$J,6,FALSE)*COUNTIF('Event Trigger'!$C:$C,'Year 1 Results'!$Z11)&gt;SUMIF('Event Trigger'!$C:$C,$Z11,L:L),0,VLOOKUP($Z11,'Asset Master'!$A:$J,6,FALSE))</f>
        <v>0</v>
      </c>
      <c r="AJ11" s="52">
        <f>IF(VLOOKUP($Z11,'Asset Master'!$A:$J,6,FALSE)*COUNTIF('Event Trigger'!$C:$C,'Year 1 Results'!$Z11)&gt;SUMIF('Event Trigger'!$C:$C,$Z11,M:M),0,VLOOKUP($Z11,'Asset Master'!$A:$J,6,FALSE))</f>
        <v>0</v>
      </c>
    </row>
    <row r="12" spans="1:36" ht="25.5" x14ac:dyDescent="0.25">
      <c r="A12" s="37" t="str">
        <f>'Risk Master'!B12:B148&amp;"-"&amp;'Risk Master'!D12</f>
        <v>Thunderstorms, Tornados &amp; Hail-Mumbai</v>
      </c>
      <c r="B12" s="37" t="str">
        <f>'Input Sheet year 2'!B13</f>
        <v>Thunderstorms, Tornados &amp; Hail-Mumbai</v>
      </c>
      <c r="C12" s="29" t="str">
        <f>'Risk Master'!F12</f>
        <v>A4</v>
      </c>
      <c r="D12" s="73">
        <f>'Risk Master'!$G12*-1+('Risk Master'!$G12*'Event Trigger'!$D12*(1-'Input Sheet year 1'!H13))</f>
        <v>700000</v>
      </c>
      <c r="E12" s="73">
        <f>'Risk Master'!$G12*-1+('Risk Master'!$G12*'Event Trigger'!$D12*(1-'Input Sheet year 2'!I13))</f>
        <v>700000</v>
      </c>
      <c r="F12" s="73">
        <f>'Risk Master'!$G12*-1+('Risk Master'!$G12*'Event Trigger'!$D12*(1-'Input Sheet year 2'!J13))</f>
        <v>700000</v>
      </c>
      <c r="G12" s="73">
        <f>'Risk Master'!$G12*-1+('Risk Master'!$G12*'Event Trigger'!$D12*(1-'Input Sheet year 2'!K13))</f>
        <v>700000</v>
      </c>
      <c r="H12" s="73">
        <f>'Risk Master'!$G12*-1+('Risk Master'!$G12*'Event Trigger'!$D12*(1-'Input Sheet year 2'!L13))</f>
        <v>700000</v>
      </c>
      <c r="I12" s="73">
        <f>'Risk Master'!$G12*-1+('Risk Master'!$G12*'Event Trigger'!$D12*(1-'Input Sheet year 2'!M13))</f>
        <v>700000</v>
      </c>
      <c r="J12" s="73">
        <f>'Risk Master'!$G12*-1+('Risk Master'!$G12*'Event Trigger'!$D12*(1-'Input Sheet year 2'!N13))</f>
        <v>700000</v>
      </c>
      <c r="K12" s="73">
        <f>'Risk Master'!$G12*-1+('Risk Master'!$G12*'Event Trigger'!$D12*(1-'Input Sheet year 2'!O13))</f>
        <v>700000</v>
      </c>
      <c r="L12" s="73">
        <f>'Risk Master'!$G12*-1+('Risk Master'!$G12*'Event Trigger'!$D12*(1-'Input Sheet year 2'!P13))</f>
        <v>700000</v>
      </c>
      <c r="M12" s="73">
        <f>'Risk Master'!$G12*-1+('Risk Master'!$G12*'Event Trigger'!$D12*(1-'Input Sheet year 2'!Q13))</f>
        <v>700000</v>
      </c>
      <c r="N12" s="88"/>
      <c r="O12" s="88">
        <f t="shared" si="0"/>
        <v>-700000</v>
      </c>
      <c r="P12" s="88">
        <f t="shared" si="1"/>
        <v>-700000</v>
      </c>
      <c r="Q12" s="88">
        <f t="shared" si="2"/>
        <v>-700000</v>
      </c>
      <c r="R12" s="88">
        <f t="shared" si="3"/>
        <v>-700000</v>
      </c>
      <c r="S12" s="88">
        <f t="shared" si="4"/>
        <v>-700000</v>
      </c>
      <c r="T12" s="88">
        <f t="shared" si="5"/>
        <v>-700000</v>
      </c>
      <c r="U12" s="88">
        <f t="shared" si="6"/>
        <v>-700000</v>
      </c>
      <c r="V12" s="88">
        <f t="shared" si="7"/>
        <v>-700000</v>
      </c>
      <c r="W12" s="88">
        <f t="shared" si="8"/>
        <v>-700000</v>
      </c>
      <c r="X12" s="88">
        <f t="shared" si="9"/>
        <v>-700000</v>
      </c>
      <c r="Z12" s="51" t="s">
        <v>36</v>
      </c>
      <c r="AA12" s="52">
        <f>IF(VLOOKUP($Z12,'Asset Master'!$A:$J,6,FALSE)*COUNTIF('Event Trigger'!$C:$C,'Year 1 Results'!$Z12)&gt;SUMIF('Event Trigger'!$C:$C,$Z12,D:D),0,VLOOKUP($Z12,'Asset Master'!$A:$J,6,FALSE))</f>
        <v>0</v>
      </c>
      <c r="AB12" s="52">
        <f>IF(VLOOKUP($Z12,'Asset Master'!$A:$J,6,FALSE)*COUNTIF('Event Trigger'!$C:$C,'Year 1 Results'!$Z12)&gt;SUMIF('Event Trigger'!$C:$C,$Z12,E:E),0,VLOOKUP($Z12,'Asset Master'!$A:$J,6,FALSE))</f>
        <v>0</v>
      </c>
      <c r="AC12" s="52">
        <f>IF(VLOOKUP($Z12,'Asset Master'!$A:$J,6,FALSE)*COUNTIF('Event Trigger'!$C:$C,'Year 1 Results'!$Z12)&gt;SUMIF('Event Trigger'!$C:$C,$Z12,F:F),0,VLOOKUP($Z12,'Asset Master'!$A:$J,6,FALSE))</f>
        <v>0</v>
      </c>
      <c r="AD12" s="52">
        <f>IF(VLOOKUP($Z12,'Asset Master'!$A:$J,6,FALSE)*COUNTIF('Event Trigger'!$C:$C,'Year 1 Results'!$Z12)&gt;SUMIF('Event Trigger'!$C:$C,$Z12,G:G),0,VLOOKUP($Z12,'Asset Master'!$A:$J,6,FALSE))</f>
        <v>0</v>
      </c>
      <c r="AE12" s="52">
        <f>IF(VLOOKUP($Z12,'Asset Master'!$A:$J,6,FALSE)*COUNTIF('Event Trigger'!$C:$C,'Year 1 Results'!$Z12)&gt;SUMIF('Event Trigger'!$C:$C,$Z12,H:H),0,VLOOKUP($Z12,'Asset Master'!$A:$J,6,FALSE))</f>
        <v>0</v>
      </c>
      <c r="AF12" s="52">
        <f>IF(VLOOKUP($Z12,'Asset Master'!$A:$J,6,FALSE)*COUNTIF('Event Trigger'!$C:$C,'Year 1 Results'!$Z12)&gt;SUMIF('Event Trigger'!$C:$C,$Z12,I:I),0,VLOOKUP($Z12,'Asset Master'!$A:$J,6,FALSE))</f>
        <v>0</v>
      </c>
      <c r="AG12" s="52">
        <f>IF(VLOOKUP($Z12,'Asset Master'!$A:$J,6,FALSE)*COUNTIF('Event Trigger'!$C:$C,'Year 1 Results'!$Z12)&gt;SUMIF('Event Trigger'!$C:$C,$Z12,J:J),0,VLOOKUP($Z12,'Asset Master'!$A:$J,6,FALSE))</f>
        <v>0</v>
      </c>
      <c r="AH12" s="52">
        <f>IF(VLOOKUP($Z12,'Asset Master'!$A:$J,6,FALSE)*COUNTIF('Event Trigger'!$C:$C,'Year 1 Results'!$Z12)&gt;SUMIF('Event Trigger'!$C:$C,$Z12,K:K),0,VLOOKUP($Z12,'Asset Master'!$A:$J,6,FALSE))</f>
        <v>0</v>
      </c>
      <c r="AI12" s="52">
        <f>IF(VLOOKUP($Z12,'Asset Master'!$A:$J,6,FALSE)*COUNTIF('Event Trigger'!$C:$C,'Year 1 Results'!$Z12)&gt;SUMIF('Event Trigger'!$C:$C,$Z12,L:L),0,VLOOKUP($Z12,'Asset Master'!$A:$J,6,FALSE))</f>
        <v>0</v>
      </c>
      <c r="AJ12" s="52">
        <f>IF(VLOOKUP($Z12,'Asset Master'!$A:$J,6,FALSE)*COUNTIF('Event Trigger'!$C:$C,'Year 1 Results'!$Z12)&gt;SUMIF('Event Trigger'!$C:$C,$Z12,M:M),0,VLOOKUP($Z12,'Asset Master'!$A:$J,6,FALSE))</f>
        <v>0</v>
      </c>
    </row>
    <row r="13" spans="1:36" x14ac:dyDescent="0.25">
      <c r="A13" s="37" t="str">
        <f>'Risk Master'!B13:B149&amp;"-"&amp;'Risk Master'!D13</f>
        <v>Tsunami-Mumbai</v>
      </c>
      <c r="B13" s="37" t="str">
        <f>'Input Sheet year 2'!B14</f>
        <v>Tsunami-Mumbai</v>
      </c>
      <c r="C13" s="29" t="str">
        <f>'Risk Master'!F13</f>
        <v>A4</v>
      </c>
      <c r="D13" s="73">
        <f>'Risk Master'!$G13*-1+('Risk Master'!$G13*'Event Trigger'!$D13*(1-'Input Sheet year 1'!H14))</f>
        <v>700000</v>
      </c>
      <c r="E13" s="73">
        <f>'Risk Master'!$G13*-1+('Risk Master'!$G13*'Event Trigger'!$D13*(1-'Input Sheet year 2'!I14))</f>
        <v>700000</v>
      </c>
      <c r="F13" s="73">
        <f>'Risk Master'!$G13*-1+('Risk Master'!$G13*'Event Trigger'!$D13*(1-'Input Sheet year 2'!J14))</f>
        <v>700000</v>
      </c>
      <c r="G13" s="73">
        <f>'Risk Master'!$G13*-1+('Risk Master'!$G13*'Event Trigger'!$D13*(1-'Input Sheet year 2'!K14))</f>
        <v>700000</v>
      </c>
      <c r="H13" s="73">
        <f>'Risk Master'!$G13*-1+('Risk Master'!$G13*'Event Trigger'!$D13*(1-'Input Sheet year 2'!L14))</f>
        <v>700000</v>
      </c>
      <c r="I13" s="73">
        <f>'Risk Master'!$G13*-1+('Risk Master'!$G13*'Event Trigger'!$D13*(1-'Input Sheet year 2'!M14))</f>
        <v>700000</v>
      </c>
      <c r="J13" s="73">
        <f>'Risk Master'!$G13*-1+('Risk Master'!$G13*'Event Trigger'!$D13*(1-'Input Sheet year 2'!N14))</f>
        <v>700000</v>
      </c>
      <c r="K13" s="73">
        <f>'Risk Master'!$G13*-1+('Risk Master'!$G13*'Event Trigger'!$D13*(1-'Input Sheet year 2'!O14))</f>
        <v>700000</v>
      </c>
      <c r="L13" s="73">
        <f>'Risk Master'!$G13*-1+('Risk Master'!$G13*'Event Trigger'!$D13*(1-'Input Sheet year 2'!P14))</f>
        <v>700000</v>
      </c>
      <c r="M13" s="73">
        <f>'Risk Master'!$G13*-1+('Risk Master'!$G13*'Event Trigger'!$D13*(1-'Input Sheet year 2'!Q14))</f>
        <v>700000</v>
      </c>
      <c r="N13" s="88"/>
      <c r="O13" s="88">
        <f t="shared" si="0"/>
        <v>-700000</v>
      </c>
      <c r="P13" s="88">
        <f t="shared" si="1"/>
        <v>-700000</v>
      </c>
      <c r="Q13" s="88">
        <f t="shared" si="2"/>
        <v>-700000</v>
      </c>
      <c r="R13" s="88">
        <f t="shared" si="3"/>
        <v>-700000</v>
      </c>
      <c r="S13" s="88">
        <f t="shared" si="4"/>
        <v>-700000</v>
      </c>
      <c r="T13" s="88">
        <f t="shared" si="5"/>
        <v>-700000</v>
      </c>
      <c r="U13" s="88">
        <f t="shared" si="6"/>
        <v>-700000</v>
      </c>
      <c r="V13" s="88">
        <f t="shared" si="7"/>
        <v>-700000</v>
      </c>
      <c r="W13" s="88">
        <f t="shared" si="8"/>
        <v>-700000</v>
      </c>
      <c r="X13" s="88">
        <f t="shared" si="9"/>
        <v>-700000</v>
      </c>
      <c r="Z13" s="51" t="s">
        <v>37</v>
      </c>
      <c r="AA13" s="52">
        <f>IF(VLOOKUP($Z13,'Asset Master'!$A:$J,6,FALSE)*COUNTIF('Event Trigger'!$C:$C,'Year 1 Results'!$Z13)&gt;SUMIF('Event Trigger'!$C:$C,$Z13,D:D),0,VLOOKUP($Z13,'Asset Master'!$A:$J,6,FALSE))</f>
        <v>0</v>
      </c>
      <c r="AB13" s="52">
        <f>IF(VLOOKUP($Z13,'Asset Master'!$A:$J,6,FALSE)*COUNTIF('Event Trigger'!$C:$C,'Year 1 Results'!$Z13)&gt;SUMIF('Event Trigger'!$C:$C,$Z13,E:E),0,VLOOKUP($Z13,'Asset Master'!$A:$J,6,FALSE))</f>
        <v>0</v>
      </c>
      <c r="AC13" s="52">
        <f>IF(VLOOKUP($Z13,'Asset Master'!$A:$J,6,FALSE)*COUNTIF('Event Trigger'!$C:$C,'Year 1 Results'!$Z13)&gt;SUMIF('Event Trigger'!$C:$C,$Z13,F:F),0,VLOOKUP($Z13,'Asset Master'!$A:$J,6,FALSE))</f>
        <v>0</v>
      </c>
      <c r="AD13" s="52">
        <f>IF(VLOOKUP($Z13,'Asset Master'!$A:$J,6,FALSE)*COUNTIF('Event Trigger'!$C:$C,'Year 1 Results'!$Z13)&gt;SUMIF('Event Trigger'!$C:$C,$Z13,G:G),0,VLOOKUP($Z13,'Asset Master'!$A:$J,6,FALSE))</f>
        <v>0</v>
      </c>
      <c r="AE13" s="52">
        <f>IF(VLOOKUP($Z13,'Asset Master'!$A:$J,6,FALSE)*COUNTIF('Event Trigger'!$C:$C,'Year 1 Results'!$Z13)&gt;SUMIF('Event Trigger'!$C:$C,$Z13,H:H),0,VLOOKUP($Z13,'Asset Master'!$A:$J,6,FALSE))</f>
        <v>0</v>
      </c>
      <c r="AF13" s="52">
        <f>IF(VLOOKUP($Z13,'Asset Master'!$A:$J,6,FALSE)*COUNTIF('Event Trigger'!$C:$C,'Year 1 Results'!$Z13)&gt;SUMIF('Event Trigger'!$C:$C,$Z13,I:I),0,VLOOKUP($Z13,'Asset Master'!$A:$J,6,FALSE))</f>
        <v>0</v>
      </c>
      <c r="AG13" s="52">
        <f>IF(VLOOKUP($Z13,'Asset Master'!$A:$J,6,FALSE)*COUNTIF('Event Trigger'!$C:$C,'Year 1 Results'!$Z13)&gt;SUMIF('Event Trigger'!$C:$C,$Z13,J:J),0,VLOOKUP($Z13,'Asset Master'!$A:$J,6,FALSE))</f>
        <v>0</v>
      </c>
      <c r="AH13" s="52">
        <f>IF(VLOOKUP($Z13,'Asset Master'!$A:$J,6,FALSE)*COUNTIF('Event Trigger'!$C:$C,'Year 1 Results'!$Z13)&gt;SUMIF('Event Trigger'!$C:$C,$Z13,K:K),0,VLOOKUP($Z13,'Asset Master'!$A:$J,6,FALSE))</f>
        <v>0</v>
      </c>
      <c r="AI13" s="52">
        <f>IF(VLOOKUP($Z13,'Asset Master'!$A:$J,6,FALSE)*COUNTIF('Event Trigger'!$C:$C,'Year 1 Results'!$Z13)&gt;SUMIF('Event Trigger'!$C:$C,$Z13,L:L),0,VLOOKUP($Z13,'Asset Master'!$A:$J,6,FALSE))</f>
        <v>0</v>
      </c>
      <c r="AJ13" s="52">
        <f>IF(VLOOKUP($Z13,'Asset Master'!$A:$J,6,FALSE)*COUNTIF('Event Trigger'!$C:$C,'Year 1 Results'!$Z13)&gt;SUMIF('Event Trigger'!$C:$C,$Z13,M:M),0,VLOOKUP($Z13,'Asset Master'!$A:$J,6,FALSE))</f>
        <v>0</v>
      </c>
    </row>
    <row r="14" spans="1:36" ht="25.5" x14ac:dyDescent="0.25">
      <c r="A14" s="37" t="str">
        <f>'Risk Master'!B14:B150&amp;"-"&amp;'Risk Master'!D14</f>
        <v>High tide and high rainfalls leading to large floods-Mumbai</v>
      </c>
      <c r="B14" s="37" t="str">
        <f>'Input Sheet year 2'!B15</f>
        <v>Flood-Mumbai</v>
      </c>
      <c r="C14" s="29" t="str">
        <f>'Risk Master'!F14</f>
        <v>A6</v>
      </c>
      <c r="D14" s="73">
        <f>'Risk Master'!$G14*-1+('Risk Master'!$G14*'Event Trigger'!$D14*(1-'Input Sheet year 1'!H15))</f>
        <v>400000</v>
      </c>
      <c r="E14" s="73">
        <f>'Risk Master'!$G14*-1+('Risk Master'!$G14*'Event Trigger'!$D14*(1-'Input Sheet year 2'!I15))</f>
        <v>400000</v>
      </c>
      <c r="F14" s="73">
        <f>'Risk Master'!$G14*-1+('Risk Master'!$G14*'Event Trigger'!$D14*(1-'Input Sheet year 2'!J15))</f>
        <v>400000</v>
      </c>
      <c r="G14" s="73">
        <f>'Risk Master'!$G14*-1+('Risk Master'!$G14*'Event Trigger'!$D14*(1-'Input Sheet year 2'!K15))</f>
        <v>400000</v>
      </c>
      <c r="H14" s="73">
        <f>'Risk Master'!$G14*-1+('Risk Master'!$G14*'Event Trigger'!$D14*(1-'Input Sheet year 2'!L15))</f>
        <v>400000</v>
      </c>
      <c r="I14" s="73">
        <f>'Risk Master'!$G14*-1+('Risk Master'!$G14*'Event Trigger'!$D14*(1-'Input Sheet year 2'!M15))</f>
        <v>400000</v>
      </c>
      <c r="J14" s="73">
        <f>'Risk Master'!$G14*-1+('Risk Master'!$G14*'Event Trigger'!$D14*(1-'Input Sheet year 2'!N15))</f>
        <v>400000</v>
      </c>
      <c r="K14" s="73">
        <f>'Risk Master'!$G14*-1+('Risk Master'!$G14*'Event Trigger'!$D14*(1-'Input Sheet year 2'!O15))</f>
        <v>400000</v>
      </c>
      <c r="L14" s="73">
        <f>'Risk Master'!$G14*-1+('Risk Master'!$G14*'Event Trigger'!$D14*(1-'Input Sheet year 2'!P15))</f>
        <v>400000</v>
      </c>
      <c r="M14" s="73">
        <f>'Risk Master'!$G14*-1+('Risk Master'!$G14*'Event Trigger'!$D14*(1-'Input Sheet year 2'!Q15))</f>
        <v>400000</v>
      </c>
      <c r="N14" s="88"/>
      <c r="O14" s="88">
        <f t="shared" si="0"/>
        <v>-400000</v>
      </c>
      <c r="P14" s="88">
        <f t="shared" si="1"/>
        <v>0</v>
      </c>
      <c r="Q14" s="88">
        <f t="shared" si="2"/>
        <v>0</v>
      </c>
      <c r="R14" s="88">
        <f t="shared" si="3"/>
        <v>0</v>
      </c>
      <c r="S14" s="88">
        <f t="shared" si="4"/>
        <v>0</v>
      </c>
      <c r="T14" s="88">
        <f t="shared" si="5"/>
        <v>0</v>
      </c>
      <c r="U14" s="88">
        <f t="shared" si="6"/>
        <v>0</v>
      </c>
      <c r="V14" s="88">
        <f t="shared" si="7"/>
        <v>0</v>
      </c>
      <c r="W14" s="88">
        <f t="shared" si="8"/>
        <v>0</v>
      </c>
      <c r="X14" s="88">
        <f t="shared" si="9"/>
        <v>0</v>
      </c>
      <c r="Z14" s="51" t="s">
        <v>38</v>
      </c>
      <c r="AA14" s="52">
        <f>IF(VLOOKUP($Z14,'Asset Master'!$A:$J,6,FALSE)*COUNTIF('Event Trigger'!$C:$C,'Year 1 Results'!$Z14)&gt;SUMIF('Event Trigger'!$C:$C,$Z14,D:D),0,VLOOKUP($Z14,'Asset Master'!$A:$J,6,FALSE))</f>
        <v>0</v>
      </c>
      <c r="AB14" s="52">
        <f>IF(VLOOKUP($Z14,'Asset Master'!$A:$J,6,FALSE)*COUNTIF('Event Trigger'!$C:$C,'Year 1 Results'!$Z14)&gt;SUMIF('Event Trigger'!$C:$C,$Z14,E:E),0,VLOOKUP($Z14,'Asset Master'!$A:$J,6,FALSE))</f>
        <v>200000</v>
      </c>
      <c r="AC14" s="52">
        <f>IF(VLOOKUP($Z14,'Asset Master'!$A:$J,6,FALSE)*COUNTIF('Event Trigger'!$C:$C,'Year 1 Results'!$Z14)&gt;SUMIF('Event Trigger'!$C:$C,$Z14,F:F),0,VLOOKUP($Z14,'Asset Master'!$A:$J,6,FALSE))</f>
        <v>200000</v>
      </c>
      <c r="AD14" s="52">
        <f>IF(VLOOKUP($Z14,'Asset Master'!$A:$J,6,FALSE)*COUNTIF('Event Trigger'!$C:$C,'Year 1 Results'!$Z14)&gt;SUMIF('Event Trigger'!$C:$C,$Z14,G:G),0,VLOOKUP($Z14,'Asset Master'!$A:$J,6,FALSE))</f>
        <v>0</v>
      </c>
      <c r="AE14" s="52">
        <f>IF(VLOOKUP($Z14,'Asset Master'!$A:$J,6,FALSE)*COUNTIF('Event Trigger'!$C:$C,'Year 1 Results'!$Z14)&gt;SUMIF('Event Trigger'!$C:$C,$Z14,H:H),0,VLOOKUP($Z14,'Asset Master'!$A:$J,6,FALSE))</f>
        <v>0</v>
      </c>
      <c r="AF14" s="52">
        <f>IF(VLOOKUP($Z14,'Asset Master'!$A:$J,6,FALSE)*COUNTIF('Event Trigger'!$C:$C,'Year 1 Results'!$Z14)&gt;SUMIF('Event Trigger'!$C:$C,$Z14,I:I),0,VLOOKUP($Z14,'Asset Master'!$A:$J,6,FALSE))</f>
        <v>0</v>
      </c>
      <c r="AG14" s="52">
        <f>IF(VLOOKUP($Z14,'Asset Master'!$A:$J,6,FALSE)*COUNTIF('Event Trigger'!$C:$C,'Year 1 Results'!$Z14)&gt;SUMIF('Event Trigger'!$C:$C,$Z14,J:J),0,VLOOKUP($Z14,'Asset Master'!$A:$J,6,FALSE))</f>
        <v>0</v>
      </c>
      <c r="AH14" s="52">
        <f>IF(VLOOKUP($Z14,'Asset Master'!$A:$J,6,FALSE)*COUNTIF('Event Trigger'!$C:$C,'Year 1 Results'!$Z14)&gt;SUMIF('Event Trigger'!$C:$C,$Z14,K:K),0,VLOOKUP($Z14,'Asset Master'!$A:$J,6,FALSE))</f>
        <v>200000</v>
      </c>
      <c r="AI14" s="52">
        <f>IF(VLOOKUP($Z14,'Asset Master'!$A:$J,6,FALSE)*COUNTIF('Event Trigger'!$C:$C,'Year 1 Results'!$Z14)&gt;SUMIF('Event Trigger'!$C:$C,$Z14,L:L),0,VLOOKUP($Z14,'Asset Master'!$A:$J,6,FALSE))</f>
        <v>0</v>
      </c>
      <c r="AJ14" s="52">
        <f>IF(VLOOKUP($Z14,'Asset Master'!$A:$J,6,FALSE)*COUNTIF('Event Trigger'!$C:$C,'Year 1 Results'!$Z14)&gt;SUMIF('Event Trigger'!$C:$C,$Z14,M:M),0,VLOOKUP($Z14,'Asset Master'!$A:$J,6,FALSE))</f>
        <v>0</v>
      </c>
    </row>
    <row r="15" spans="1:36" x14ac:dyDescent="0.25">
      <c r="A15" s="37" t="str">
        <f>'Risk Master'!B15:B151&amp;"-"&amp;'Risk Master'!D15</f>
        <v>Earthquake-Mumbai</v>
      </c>
      <c r="B15" s="37" t="str">
        <f>'Input Sheet year 2'!B16</f>
        <v>Earthquake-Mumbai</v>
      </c>
      <c r="C15" s="29" t="str">
        <f>'Risk Master'!F15</f>
        <v>A6</v>
      </c>
      <c r="D15" s="73">
        <f>'Risk Master'!$G15*-1+('Risk Master'!$G15*'Event Trigger'!$D15*(1-'Input Sheet year 1'!H16))</f>
        <v>400000</v>
      </c>
      <c r="E15" s="73">
        <f>'Risk Master'!$G15*-1+('Risk Master'!$G15*'Event Trigger'!$D15*(1-'Input Sheet year 2'!I16))</f>
        <v>0</v>
      </c>
      <c r="F15" s="73">
        <f>'Risk Master'!$G15*-1+('Risk Master'!$G15*'Event Trigger'!$D15*(1-'Input Sheet year 2'!J16))</f>
        <v>0</v>
      </c>
      <c r="G15" s="73">
        <f>'Risk Master'!$G15*-1+('Risk Master'!$G15*'Event Trigger'!$D15*(1-'Input Sheet year 2'!K16))</f>
        <v>0</v>
      </c>
      <c r="H15" s="73">
        <f>'Risk Master'!$G15*-1+('Risk Master'!$G15*'Event Trigger'!$D15*(1-'Input Sheet year 2'!L16))</f>
        <v>0</v>
      </c>
      <c r="I15" s="73">
        <f>'Risk Master'!$G15*-1+('Risk Master'!$G15*'Event Trigger'!$D15*(1-'Input Sheet year 2'!M16))</f>
        <v>0</v>
      </c>
      <c r="J15" s="73">
        <f>'Risk Master'!$G15*-1+('Risk Master'!$G15*'Event Trigger'!$D15*(1-'Input Sheet year 2'!N16))</f>
        <v>0</v>
      </c>
      <c r="K15" s="73">
        <f>'Risk Master'!$G15*-1+('Risk Master'!$G15*'Event Trigger'!$D15*(1-'Input Sheet year 2'!O16))</f>
        <v>0</v>
      </c>
      <c r="L15" s="73">
        <f>'Risk Master'!$G15*-1+('Risk Master'!$G15*'Event Trigger'!$D15*(1-'Input Sheet year 2'!P16))</f>
        <v>0</v>
      </c>
      <c r="M15" s="73">
        <f>'Risk Master'!$G15*-1+('Risk Master'!$G15*'Event Trigger'!$D15*(1-'Input Sheet year 2'!Q16))</f>
        <v>0</v>
      </c>
      <c r="N15" s="88"/>
      <c r="O15" s="88">
        <f t="shared" si="0"/>
        <v>-400000</v>
      </c>
      <c r="P15" s="88">
        <f t="shared" si="1"/>
        <v>0</v>
      </c>
      <c r="Q15" s="88">
        <f t="shared" si="2"/>
        <v>0</v>
      </c>
      <c r="R15" s="88">
        <f t="shared" si="3"/>
        <v>0</v>
      </c>
      <c r="S15" s="88">
        <f t="shared" si="4"/>
        <v>0</v>
      </c>
      <c r="T15" s="88">
        <f t="shared" si="5"/>
        <v>0</v>
      </c>
      <c r="U15" s="88">
        <f t="shared" si="6"/>
        <v>0</v>
      </c>
      <c r="V15" s="88">
        <f t="shared" si="7"/>
        <v>0</v>
      </c>
      <c r="W15" s="88">
        <f t="shared" si="8"/>
        <v>0</v>
      </c>
      <c r="X15" s="88">
        <f t="shared" si="9"/>
        <v>0</v>
      </c>
      <c r="Z15" s="51" t="s">
        <v>39</v>
      </c>
      <c r="AA15" s="52">
        <f>IF(VLOOKUP($Z15,'Asset Master'!$A:$J,6,FALSE)*COUNTIF('Event Trigger'!$C:$C,'Year 1 Results'!$Z15)&gt;SUMIF('Event Trigger'!$C:$C,$Z15,D:D),0,VLOOKUP($Z15,'Asset Master'!$A:$J,6,FALSE))</f>
        <v>0</v>
      </c>
      <c r="AB15" s="52">
        <f>IF(VLOOKUP($Z15,'Asset Master'!$A:$J,6,FALSE)*COUNTIF('Event Trigger'!$C:$C,'Year 1 Results'!$Z15)&gt;SUMIF('Event Trigger'!$C:$C,$Z15,E:E),0,VLOOKUP($Z15,'Asset Master'!$A:$J,6,FALSE))</f>
        <v>0</v>
      </c>
      <c r="AC15" s="52">
        <f>IF(VLOOKUP($Z15,'Asset Master'!$A:$J,6,FALSE)*COUNTIF('Event Trigger'!$C:$C,'Year 1 Results'!$Z15)&gt;SUMIF('Event Trigger'!$C:$C,$Z15,F:F),0,VLOOKUP($Z15,'Asset Master'!$A:$J,6,FALSE))</f>
        <v>300000</v>
      </c>
      <c r="AD15" s="52">
        <f>IF(VLOOKUP($Z15,'Asset Master'!$A:$J,6,FALSE)*COUNTIF('Event Trigger'!$C:$C,'Year 1 Results'!$Z15)&gt;SUMIF('Event Trigger'!$C:$C,$Z15,G:G),0,VLOOKUP($Z15,'Asset Master'!$A:$J,6,FALSE))</f>
        <v>0</v>
      </c>
      <c r="AE15" s="52">
        <f>IF(VLOOKUP($Z15,'Asset Master'!$A:$J,6,FALSE)*COUNTIF('Event Trigger'!$C:$C,'Year 1 Results'!$Z15)&gt;SUMIF('Event Trigger'!$C:$C,$Z15,H:H),0,VLOOKUP($Z15,'Asset Master'!$A:$J,6,FALSE))</f>
        <v>0</v>
      </c>
      <c r="AF15" s="52">
        <f>IF(VLOOKUP($Z15,'Asset Master'!$A:$J,6,FALSE)*COUNTIF('Event Trigger'!$C:$C,'Year 1 Results'!$Z15)&gt;SUMIF('Event Trigger'!$C:$C,$Z15,I:I),0,VLOOKUP($Z15,'Asset Master'!$A:$J,6,FALSE))</f>
        <v>0</v>
      </c>
      <c r="AG15" s="52">
        <f>IF(VLOOKUP($Z15,'Asset Master'!$A:$J,6,FALSE)*COUNTIF('Event Trigger'!$C:$C,'Year 1 Results'!$Z15)&gt;SUMIF('Event Trigger'!$C:$C,$Z15,J:J),0,VLOOKUP($Z15,'Asset Master'!$A:$J,6,FALSE))</f>
        <v>0</v>
      </c>
      <c r="AH15" s="52">
        <f>IF(VLOOKUP($Z15,'Asset Master'!$A:$J,6,FALSE)*COUNTIF('Event Trigger'!$C:$C,'Year 1 Results'!$Z15)&gt;SUMIF('Event Trigger'!$C:$C,$Z15,K:K),0,VLOOKUP($Z15,'Asset Master'!$A:$J,6,FALSE))</f>
        <v>0</v>
      </c>
      <c r="AI15" s="52">
        <f>IF(VLOOKUP($Z15,'Asset Master'!$A:$J,6,FALSE)*COUNTIF('Event Trigger'!$C:$C,'Year 1 Results'!$Z15)&gt;SUMIF('Event Trigger'!$C:$C,$Z15,L:L),0,VLOOKUP($Z15,'Asset Master'!$A:$J,6,FALSE))</f>
        <v>0</v>
      </c>
      <c r="AJ15" s="52">
        <f>IF(VLOOKUP($Z15,'Asset Master'!$A:$J,6,FALSE)*COUNTIF('Event Trigger'!$C:$C,'Year 1 Results'!$Z15)&gt;SUMIF('Event Trigger'!$C:$C,$Z15,M:M),0,VLOOKUP($Z15,'Asset Master'!$A:$J,6,FALSE))</f>
        <v>0</v>
      </c>
    </row>
    <row r="16" spans="1:36" x14ac:dyDescent="0.25">
      <c r="A16" s="37" t="str">
        <f>'Risk Master'!B16:B152&amp;"-"&amp;'Risk Master'!D16</f>
        <v>Terror Attack-Mumbai</v>
      </c>
      <c r="B16" s="37" t="str">
        <f>'Input Sheet year 2'!B17</f>
        <v>Terror Attack-Mumbai</v>
      </c>
      <c r="C16" s="29" t="str">
        <f>'Risk Master'!F16</f>
        <v>A4</v>
      </c>
      <c r="D16" s="73">
        <f>'Risk Master'!$G16*-1+('Risk Master'!$G16*'Event Trigger'!$D16*(1-'Input Sheet year 1'!H17))</f>
        <v>700000</v>
      </c>
      <c r="E16" s="73">
        <f>'Risk Master'!$G16*-1+('Risk Master'!$G16*'Event Trigger'!$D16*(1-'Input Sheet year 2'!I17))</f>
        <v>700000</v>
      </c>
      <c r="F16" s="73">
        <f>'Risk Master'!$G16*-1+('Risk Master'!$G16*'Event Trigger'!$D16*(1-'Input Sheet year 2'!J17))</f>
        <v>700000</v>
      </c>
      <c r="G16" s="73">
        <f>'Risk Master'!$G16*-1+('Risk Master'!$G16*'Event Trigger'!$D16*(1-'Input Sheet year 2'!K17))</f>
        <v>700000</v>
      </c>
      <c r="H16" s="73">
        <f>'Risk Master'!$G16*-1+('Risk Master'!$G16*'Event Trigger'!$D16*(1-'Input Sheet year 2'!L17))</f>
        <v>700000</v>
      </c>
      <c r="I16" s="73">
        <f>'Risk Master'!$G16*-1+('Risk Master'!$G16*'Event Trigger'!$D16*(1-'Input Sheet year 2'!M17))</f>
        <v>700000</v>
      </c>
      <c r="J16" s="73">
        <f>'Risk Master'!$G16*-1+('Risk Master'!$G16*'Event Trigger'!$D16*(1-'Input Sheet year 2'!N17))</f>
        <v>700000</v>
      </c>
      <c r="K16" s="73">
        <f>'Risk Master'!$G16*-1+('Risk Master'!$G16*'Event Trigger'!$D16*(1-'Input Sheet year 2'!O17))</f>
        <v>700000</v>
      </c>
      <c r="L16" s="73">
        <f>'Risk Master'!$G16*-1+('Risk Master'!$G16*'Event Trigger'!$D16*(1-'Input Sheet year 2'!P17))</f>
        <v>700000</v>
      </c>
      <c r="M16" s="73">
        <f>'Risk Master'!$G16*-1+('Risk Master'!$G16*'Event Trigger'!$D16*(1-'Input Sheet year 2'!Q17))</f>
        <v>700000</v>
      </c>
      <c r="N16" s="88"/>
      <c r="O16" s="88">
        <f t="shared" si="0"/>
        <v>-700000</v>
      </c>
      <c r="P16" s="88">
        <f t="shared" si="1"/>
        <v>-700000</v>
      </c>
      <c r="Q16" s="88">
        <f t="shared" si="2"/>
        <v>-700000</v>
      </c>
      <c r="R16" s="88">
        <f t="shared" si="3"/>
        <v>-700000</v>
      </c>
      <c r="S16" s="88">
        <f t="shared" si="4"/>
        <v>-700000</v>
      </c>
      <c r="T16" s="88">
        <f t="shared" si="5"/>
        <v>-700000</v>
      </c>
      <c r="U16" s="88">
        <f t="shared" si="6"/>
        <v>-700000</v>
      </c>
      <c r="V16" s="88">
        <f t="shared" si="7"/>
        <v>-700000</v>
      </c>
      <c r="W16" s="88">
        <f t="shared" si="8"/>
        <v>-700000</v>
      </c>
      <c r="X16" s="88">
        <f t="shared" si="9"/>
        <v>-700000</v>
      </c>
      <c r="Z16" s="51" t="s">
        <v>40</v>
      </c>
      <c r="AA16" s="52">
        <f>IF(VLOOKUP($Z16,'Asset Master'!$A:$J,6,FALSE)*COUNTIF('Event Trigger'!$C:$C,'Year 1 Results'!$Z16)&gt;SUMIF('Event Trigger'!$C:$C,$Z16,D:D),0,VLOOKUP($Z16,'Asset Master'!$A:$J,6,FALSE))</f>
        <v>0</v>
      </c>
      <c r="AB16" s="52">
        <f>IF(VLOOKUP($Z16,'Asset Master'!$A:$J,6,FALSE)*COUNTIF('Event Trigger'!$C:$C,'Year 1 Results'!$Z16)&gt;SUMIF('Event Trigger'!$C:$C,$Z16,E:E),0,VLOOKUP($Z16,'Asset Master'!$A:$J,6,FALSE))</f>
        <v>0</v>
      </c>
      <c r="AC16" s="52">
        <f>IF(VLOOKUP($Z16,'Asset Master'!$A:$J,6,FALSE)*COUNTIF('Event Trigger'!$C:$C,'Year 1 Results'!$Z16)&gt;SUMIF('Event Trigger'!$C:$C,$Z16,F:F),0,VLOOKUP($Z16,'Asset Master'!$A:$J,6,FALSE))</f>
        <v>0</v>
      </c>
      <c r="AD16" s="52">
        <f>IF(VLOOKUP($Z16,'Asset Master'!$A:$J,6,FALSE)*COUNTIF('Event Trigger'!$C:$C,'Year 1 Results'!$Z16)&gt;SUMIF('Event Trigger'!$C:$C,$Z16,G:G),0,VLOOKUP($Z16,'Asset Master'!$A:$J,6,FALSE))</f>
        <v>0</v>
      </c>
      <c r="AE16" s="52">
        <f>IF(VLOOKUP($Z16,'Asset Master'!$A:$J,6,FALSE)*COUNTIF('Event Trigger'!$C:$C,'Year 1 Results'!$Z16)&gt;SUMIF('Event Trigger'!$C:$C,$Z16,H:H),0,VLOOKUP($Z16,'Asset Master'!$A:$J,6,FALSE))</f>
        <v>0</v>
      </c>
      <c r="AF16" s="52">
        <f>IF(VLOOKUP($Z16,'Asset Master'!$A:$J,6,FALSE)*COUNTIF('Event Trigger'!$C:$C,'Year 1 Results'!$Z16)&gt;SUMIF('Event Trigger'!$C:$C,$Z16,I:I),0,VLOOKUP($Z16,'Asset Master'!$A:$J,6,FALSE))</f>
        <v>0</v>
      </c>
      <c r="AG16" s="52">
        <f>IF(VLOOKUP($Z16,'Asset Master'!$A:$J,6,FALSE)*COUNTIF('Event Trigger'!$C:$C,'Year 1 Results'!$Z16)&gt;SUMIF('Event Trigger'!$C:$C,$Z16,J:J),0,VLOOKUP($Z16,'Asset Master'!$A:$J,6,FALSE))</f>
        <v>0</v>
      </c>
      <c r="AH16" s="52">
        <f>IF(VLOOKUP($Z16,'Asset Master'!$A:$J,6,FALSE)*COUNTIF('Event Trigger'!$C:$C,'Year 1 Results'!$Z16)&gt;SUMIF('Event Trigger'!$C:$C,$Z16,K:K),0,VLOOKUP($Z16,'Asset Master'!$A:$J,6,FALSE))</f>
        <v>0</v>
      </c>
      <c r="AI16" s="52">
        <f>IF(VLOOKUP($Z16,'Asset Master'!$A:$J,6,FALSE)*COUNTIF('Event Trigger'!$C:$C,'Year 1 Results'!$Z16)&gt;SUMIF('Event Trigger'!$C:$C,$Z16,L:L),0,VLOOKUP($Z16,'Asset Master'!$A:$J,6,FALSE))</f>
        <v>0</v>
      </c>
      <c r="AJ16" s="52">
        <f>IF(VLOOKUP($Z16,'Asset Master'!$A:$J,6,FALSE)*COUNTIF('Event Trigger'!$C:$C,'Year 1 Results'!$Z16)&gt;SUMIF('Event Trigger'!$C:$C,$Z16,M:M),0,VLOOKUP($Z16,'Asset Master'!$A:$J,6,FALSE))</f>
        <v>0</v>
      </c>
    </row>
    <row r="17" spans="1:36" x14ac:dyDescent="0.25">
      <c r="A17" s="37" t="str">
        <f>'Risk Master'!B17:B153&amp;"-"&amp;'Risk Master'!D17</f>
        <v>Typhoon-Mumbai</v>
      </c>
      <c r="B17" s="37" t="str">
        <f>'Input Sheet year 2'!B18</f>
        <v>Typhoon-Mumbai</v>
      </c>
      <c r="C17" s="29" t="str">
        <f>'Risk Master'!F17</f>
        <v>A6</v>
      </c>
      <c r="D17" s="73">
        <f>'Risk Master'!$G17*-1+('Risk Master'!$G17*'Event Trigger'!$D17*(1-'Input Sheet year 1'!H18))</f>
        <v>400000</v>
      </c>
      <c r="E17" s="73">
        <f>'Risk Master'!$G17*-1+('Risk Master'!$G17*'Event Trigger'!$D17*(1-'Input Sheet year 2'!I18))</f>
        <v>400000</v>
      </c>
      <c r="F17" s="73">
        <f>'Risk Master'!$G17*-1+('Risk Master'!$G17*'Event Trigger'!$D17*(1-'Input Sheet year 2'!J18))</f>
        <v>0</v>
      </c>
      <c r="G17" s="73">
        <f>'Risk Master'!$G17*-1+('Risk Master'!$G17*'Event Trigger'!$D17*(1-'Input Sheet year 2'!K18))</f>
        <v>0</v>
      </c>
      <c r="H17" s="73">
        <f>'Risk Master'!$G17*-1+('Risk Master'!$G17*'Event Trigger'!$D17*(1-'Input Sheet year 2'!L18))</f>
        <v>0</v>
      </c>
      <c r="I17" s="73">
        <f>'Risk Master'!$G17*-1+('Risk Master'!$G17*'Event Trigger'!$D17*(1-'Input Sheet year 2'!M18))</f>
        <v>400000</v>
      </c>
      <c r="J17" s="73">
        <f>'Risk Master'!$G17*-1+('Risk Master'!$G17*'Event Trigger'!$D17*(1-'Input Sheet year 2'!N18))</f>
        <v>0</v>
      </c>
      <c r="K17" s="73">
        <f>'Risk Master'!$G17*-1+('Risk Master'!$G17*'Event Trigger'!$D17*(1-'Input Sheet year 2'!O18))</f>
        <v>0</v>
      </c>
      <c r="L17" s="73">
        <f>'Risk Master'!$G17*-1+('Risk Master'!$G17*'Event Trigger'!$D17*(1-'Input Sheet year 2'!P18))</f>
        <v>0</v>
      </c>
      <c r="M17" s="73">
        <f>'Risk Master'!$G17*-1+('Risk Master'!$G17*'Event Trigger'!$D17*(1-'Input Sheet year 2'!Q18))</f>
        <v>0</v>
      </c>
      <c r="N17" s="88"/>
      <c r="O17" s="88">
        <f t="shared" si="0"/>
        <v>-400000</v>
      </c>
      <c r="P17" s="88">
        <f t="shared" si="1"/>
        <v>0</v>
      </c>
      <c r="Q17" s="88">
        <f t="shared" si="2"/>
        <v>0</v>
      </c>
      <c r="R17" s="88">
        <f t="shared" si="3"/>
        <v>0</v>
      </c>
      <c r="S17" s="88">
        <f t="shared" si="4"/>
        <v>0</v>
      </c>
      <c r="T17" s="88">
        <f t="shared" si="5"/>
        <v>0</v>
      </c>
      <c r="U17" s="88">
        <f t="shared" si="6"/>
        <v>0</v>
      </c>
      <c r="V17" s="88">
        <f t="shared" si="7"/>
        <v>0</v>
      </c>
      <c r="W17" s="88">
        <f t="shared" si="8"/>
        <v>0</v>
      </c>
      <c r="X17" s="88">
        <f t="shared" si="9"/>
        <v>0</v>
      </c>
      <c r="Z17" s="51" t="s">
        <v>89</v>
      </c>
      <c r="AA17" s="52">
        <f>IF(VLOOKUP($Z17,'Asset Master'!$A:$J,6,FALSE)*COUNTIF('Event Trigger'!$C:$C,'Year 1 Results'!$Z17)&gt;SUMIF('Event Trigger'!$C:$C,$Z17,D:D),0,VLOOKUP($Z17,'Asset Master'!$A:$J,6,FALSE))</f>
        <v>300000</v>
      </c>
      <c r="AB17" s="52">
        <f>IF(VLOOKUP($Z17,'Asset Master'!$A:$J,6,FALSE)*COUNTIF('Event Trigger'!$C:$C,'Year 1 Results'!$Z17)&gt;SUMIF('Event Trigger'!$C:$C,$Z17,E:E),0,VLOOKUP($Z17,'Asset Master'!$A:$J,6,FALSE))</f>
        <v>300000</v>
      </c>
      <c r="AC17" s="52">
        <f>IF(VLOOKUP($Z17,'Asset Master'!$A:$J,6,FALSE)*COUNTIF('Event Trigger'!$C:$C,'Year 1 Results'!$Z17)&gt;SUMIF('Event Trigger'!$C:$C,$Z17,F:F),0,VLOOKUP($Z17,'Asset Master'!$A:$J,6,FALSE))</f>
        <v>300000</v>
      </c>
      <c r="AD17" s="52">
        <f>IF(VLOOKUP($Z17,'Asset Master'!$A:$J,6,FALSE)*COUNTIF('Event Trigger'!$C:$C,'Year 1 Results'!$Z17)&gt;SUMIF('Event Trigger'!$C:$C,$Z17,G:G),0,VLOOKUP($Z17,'Asset Master'!$A:$J,6,FALSE))</f>
        <v>300000</v>
      </c>
      <c r="AE17" s="52">
        <f>IF(VLOOKUP($Z17,'Asset Master'!$A:$J,6,FALSE)*COUNTIF('Event Trigger'!$C:$C,'Year 1 Results'!$Z17)&gt;SUMIF('Event Trigger'!$C:$C,$Z17,H:H),0,VLOOKUP($Z17,'Asset Master'!$A:$J,6,FALSE))</f>
        <v>300000</v>
      </c>
      <c r="AF17" s="52">
        <f>IF(VLOOKUP($Z17,'Asset Master'!$A:$J,6,FALSE)*COUNTIF('Event Trigger'!$C:$C,'Year 1 Results'!$Z17)&gt;SUMIF('Event Trigger'!$C:$C,$Z17,I:I),0,VLOOKUP($Z17,'Asset Master'!$A:$J,6,FALSE))</f>
        <v>300000</v>
      </c>
      <c r="AG17" s="52">
        <f>IF(VLOOKUP($Z17,'Asset Master'!$A:$J,6,FALSE)*COUNTIF('Event Trigger'!$C:$C,'Year 1 Results'!$Z17)&gt;SUMIF('Event Trigger'!$C:$C,$Z17,J:J),0,VLOOKUP($Z17,'Asset Master'!$A:$J,6,FALSE))</f>
        <v>300000</v>
      </c>
      <c r="AH17" s="52">
        <f>IF(VLOOKUP($Z17,'Asset Master'!$A:$J,6,FALSE)*COUNTIF('Event Trigger'!$C:$C,'Year 1 Results'!$Z17)&gt;SUMIF('Event Trigger'!$C:$C,$Z17,K:K),0,VLOOKUP($Z17,'Asset Master'!$A:$J,6,FALSE))</f>
        <v>300000</v>
      </c>
      <c r="AI17" s="52">
        <f>IF(VLOOKUP($Z17,'Asset Master'!$A:$J,6,FALSE)*COUNTIF('Event Trigger'!$C:$C,'Year 1 Results'!$Z17)&gt;SUMIF('Event Trigger'!$C:$C,$Z17,L:L),0,VLOOKUP($Z17,'Asset Master'!$A:$J,6,FALSE))</f>
        <v>300000</v>
      </c>
      <c r="AJ17" s="52">
        <f>IF(VLOOKUP($Z17,'Asset Master'!$A:$J,6,FALSE)*COUNTIF('Event Trigger'!$C:$C,'Year 1 Results'!$Z17)&gt;SUMIF('Event Trigger'!$C:$C,$Z17,M:M),0,VLOOKUP($Z17,'Asset Master'!$A:$J,6,FALSE))</f>
        <v>300000</v>
      </c>
    </row>
    <row r="18" spans="1:36" ht="25.5" x14ac:dyDescent="0.25">
      <c r="A18" s="37" t="str">
        <f>'Risk Master'!B18:B154&amp;"-"&amp;'Risk Master'!D18</f>
        <v>Thunderstorms, Tornados &amp; Hail-Mumbai</v>
      </c>
      <c r="B18" s="37" t="str">
        <f>'Input Sheet year 2'!B19</f>
        <v>Thunderstorms, Tornados &amp; Hail-Mumbai</v>
      </c>
      <c r="C18" s="29" t="str">
        <f>'Risk Master'!F18</f>
        <v>A6</v>
      </c>
      <c r="D18" s="73">
        <f>'Risk Master'!$G18*-1+('Risk Master'!$G18*'Event Trigger'!$D18*(1-'Input Sheet year 1'!H19))</f>
        <v>400000</v>
      </c>
      <c r="E18" s="73">
        <f>'Risk Master'!$G18*-1+('Risk Master'!$G18*'Event Trigger'!$D18*(1-'Input Sheet year 2'!I19))</f>
        <v>400000</v>
      </c>
      <c r="F18" s="73">
        <f>'Risk Master'!$G18*-1+('Risk Master'!$G18*'Event Trigger'!$D18*(1-'Input Sheet year 2'!J19))</f>
        <v>400000</v>
      </c>
      <c r="G18" s="73">
        <f>'Risk Master'!$G18*-1+('Risk Master'!$G18*'Event Trigger'!$D18*(1-'Input Sheet year 2'!K19))</f>
        <v>400000</v>
      </c>
      <c r="H18" s="73">
        <f>'Risk Master'!$G18*-1+('Risk Master'!$G18*'Event Trigger'!$D18*(1-'Input Sheet year 2'!L19))</f>
        <v>400000</v>
      </c>
      <c r="I18" s="73">
        <f>'Risk Master'!$G18*-1+('Risk Master'!$G18*'Event Trigger'!$D18*(1-'Input Sheet year 2'!M19))</f>
        <v>400000</v>
      </c>
      <c r="J18" s="73">
        <f>'Risk Master'!$G18*-1+('Risk Master'!$G18*'Event Trigger'!$D18*(1-'Input Sheet year 2'!N19))</f>
        <v>400000</v>
      </c>
      <c r="K18" s="73">
        <f>'Risk Master'!$G18*-1+('Risk Master'!$G18*'Event Trigger'!$D18*(1-'Input Sheet year 2'!O19))</f>
        <v>400000</v>
      </c>
      <c r="L18" s="73">
        <f>'Risk Master'!$G18*-1+('Risk Master'!$G18*'Event Trigger'!$D18*(1-'Input Sheet year 2'!P19))</f>
        <v>400000</v>
      </c>
      <c r="M18" s="73">
        <f>'Risk Master'!$G18*-1+('Risk Master'!$G18*'Event Trigger'!$D18*(1-'Input Sheet year 2'!Q19))</f>
        <v>400000</v>
      </c>
      <c r="N18" s="88"/>
      <c r="O18" s="88">
        <f t="shared" si="0"/>
        <v>-400000</v>
      </c>
      <c r="P18" s="88">
        <f t="shared" si="1"/>
        <v>0</v>
      </c>
      <c r="Q18" s="88">
        <f t="shared" si="2"/>
        <v>0</v>
      </c>
      <c r="R18" s="88">
        <f t="shared" si="3"/>
        <v>0</v>
      </c>
      <c r="S18" s="88">
        <f t="shared" si="4"/>
        <v>0</v>
      </c>
      <c r="T18" s="88">
        <f t="shared" si="5"/>
        <v>0</v>
      </c>
      <c r="U18" s="88">
        <f t="shared" si="6"/>
        <v>0</v>
      </c>
      <c r="V18" s="88">
        <f t="shared" si="7"/>
        <v>0</v>
      </c>
      <c r="W18" s="88">
        <f t="shared" si="8"/>
        <v>0</v>
      </c>
      <c r="X18" s="88">
        <f t="shared" si="9"/>
        <v>0</v>
      </c>
      <c r="Z18" s="51" t="s">
        <v>90</v>
      </c>
      <c r="AA18" s="52">
        <f>IF(VLOOKUP($Z18,'Asset Master'!$A:$J,6,FALSE)*COUNTIF('Event Trigger'!$C:$C,'Year 1 Results'!$Z18)&gt;SUMIF('Event Trigger'!$C:$C,$Z18,D:D),0,VLOOKUP($Z18,'Asset Master'!$A:$J,6,FALSE))</f>
        <v>0</v>
      </c>
      <c r="AB18" s="52">
        <f>IF(VLOOKUP($Z18,'Asset Master'!$A:$J,6,FALSE)*COUNTIF('Event Trigger'!$C:$C,'Year 1 Results'!$Z18)&gt;SUMIF('Event Trigger'!$C:$C,$Z18,E:E),0,VLOOKUP($Z18,'Asset Master'!$A:$J,6,FALSE))</f>
        <v>0</v>
      </c>
      <c r="AC18" s="52">
        <f>IF(VLOOKUP($Z18,'Asset Master'!$A:$J,6,FALSE)*COUNTIF('Event Trigger'!$C:$C,'Year 1 Results'!$Z18)&gt;SUMIF('Event Trigger'!$C:$C,$Z18,F:F),0,VLOOKUP($Z18,'Asset Master'!$A:$J,6,FALSE))</f>
        <v>0</v>
      </c>
      <c r="AD18" s="52">
        <f>IF(VLOOKUP($Z18,'Asset Master'!$A:$J,6,FALSE)*COUNTIF('Event Trigger'!$C:$C,'Year 1 Results'!$Z18)&gt;SUMIF('Event Trigger'!$C:$C,$Z18,G:G),0,VLOOKUP($Z18,'Asset Master'!$A:$J,6,FALSE))</f>
        <v>0</v>
      </c>
      <c r="AE18" s="52">
        <f>IF(VLOOKUP($Z18,'Asset Master'!$A:$J,6,FALSE)*COUNTIF('Event Trigger'!$C:$C,'Year 1 Results'!$Z18)&gt;SUMIF('Event Trigger'!$C:$C,$Z18,H:H),0,VLOOKUP($Z18,'Asset Master'!$A:$J,6,FALSE))</f>
        <v>0</v>
      </c>
      <c r="AF18" s="52">
        <f>IF(VLOOKUP($Z18,'Asset Master'!$A:$J,6,FALSE)*COUNTIF('Event Trigger'!$C:$C,'Year 1 Results'!$Z18)&gt;SUMIF('Event Trigger'!$C:$C,$Z18,I:I),0,VLOOKUP($Z18,'Asset Master'!$A:$J,6,FALSE))</f>
        <v>0</v>
      </c>
      <c r="AG18" s="52">
        <f>IF(VLOOKUP($Z18,'Asset Master'!$A:$J,6,FALSE)*COUNTIF('Event Trigger'!$C:$C,'Year 1 Results'!$Z18)&gt;SUMIF('Event Trigger'!$C:$C,$Z18,J:J),0,VLOOKUP($Z18,'Asset Master'!$A:$J,6,FALSE))</f>
        <v>0</v>
      </c>
      <c r="AH18" s="52">
        <f>IF(VLOOKUP($Z18,'Asset Master'!$A:$J,6,FALSE)*COUNTIF('Event Trigger'!$C:$C,'Year 1 Results'!$Z18)&gt;SUMIF('Event Trigger'!$C:$C,$Z18,K:K),0,VLOOKUP($Z18,'Asset Master'!$A:$J,6,FALSE))</f>
        <v>0</v>
      </c>
      <c r="AI18" s="52">
        <f>IF(VLOOKUP($Z18,'Asset Master'!$A:$J,6,FALSE)*COUNTIF('Event Trigger'!$C:$C,'Year 1 Results'!$Z18)&gt;SUMIF('Event Trigger'!$C:$C,$Z18,L:L),0,VLOOKUP($Z18,'Asset Master'!$A:$J,6,FALSE))</f>
        <v>0</v>
      </c>
      <c r="AJ18" s="52">
        <f>IF(VLOOKUP($Z18,'Asset Master'!$A:$J,6,FALSE)*COUNTIF('Event Trigger'!$C:$C,'Year 1 Results'!$Z18)&gt;SUMIF('Event Trigger'!$C:$C,$Z18,M:M),0,VLOOKUP($Z18,'Asset Master'!$A:$J,6,FALSE))</f>
        <v>0</v>
      </c>
    </row>
    <row r="19" spans="1:36" x14ac:dyDescent="0.25">
      <c r="A19" s="37" t="str">
        <f>'Risk Master'!B19:B155&amp;"-"&amp;'Risk Master'!D19</f>
        <v>Tsunami-Mumbai</v>
      </c>
      <c r="B19" s="37" t="str">
        <f>'Input Sheet year 2'!B20</f>
        <v>Tsunami-Mumbai</v>
      </c>
      <c r="C19" s="29" t="str">
        <f>'Risk Master'!F19</f>
        <v>A6</v>
      </c>
      <c r="D19" s="73">
        <f>'Risk Master'!$G19*-1+('Risk Master'!$G19*'Event Trigger'!$D19*(1-'Input Sheet year 1'!H20))</f>
        <v>400000</v>
      </c>
      <c r="E19" s="73">
        <f>'Risk Master'!$G19*-1+('Risk Master'!$G19*'Event Trigger'!$D19*(1-'Input Sheet year 2'!I20))</f>
        <v>400000</v>
      </c>
      <c r="F19" s="73">
        <f>'Risk Master'!$G19*-1+('Risk Master'!$G19*'Event Trigger'!$D19*(1-'Input Sheet year 2'!J20))</f>
        <v>400000</v>
      </c>
      <c r="G19" s="73">
        <f>'Risk Master'!$G19*-1+('Risk Master'!$G19*'Event Trigger'!$D19*(1-'Input Sheet year 2'!K20))</f>
        <v>400000</v>
      </c>
      <c r="H19" s="73">
        <f>'Risk Master'!$G19*-1+('Risk Master'!$G19*'Event Trigger'!$D19*(1-'Input Sheet year 2'!L20))</f>
        <v>400000</v>
      </c>
      <c r="I19" s="73">
        <f>'Risk Master'!$G19*-1+('Risk Master'!$G19*'Event Trigger'!$D19*(1-'Input Sheet year 2'!M20))</f>
        <v>400000</v>
      </c>
      <c r="J19" s="73">
        <f>'Risk Master'!$G19*-1+('Risk Master'!$G19*'Event Trigger'!$D19*(1-'Input Sheet year 2'!N20))</f>
        <v>400000</v>
      </c>
      <c r="K19" s="73">
        <f>'Risk Master'!$G19*-1+('Risk Master'!$G19*'Event Trigger'!$D19*(1-'Input Sheet year 2'!O20))</f>
        <v>400000</v>
      </c>
      <c r="L19" s="73">
        <f>'Risk Master'!$G19*-1+('Risk Master'!$G19*'Event Trigger'!$D19*(1-'Input Sheet year 2'!P20))</f>
        <v>400000</v>
      </c>
      <c r="M19" s="73">
        <f>'Risk Master'!$G19*-1+('Risk Master'!$G19*'Event Trigger'!$D19*(1-'Input Sheet year 2'!Q20))</f>
        <v>400000</v>
      </c>
      <c r="N19" s="88"/>
      <c r="O19" s="88">
        <f t="shared" si="0"/>
        <v>-400000</v>
      </c>
      <c r="P19" s="88">
        <f t="shared" si="1"/>
        <v>0</v>
      </c>
      <c r="Q19" s="88">
        <f t="shared" si="2"/>
        <v>0</v>
      </c>
      <c r="R19" s="88">
        <f t="shared" si="3"/>
        <v>0</v>
      </c>
      <c r="S19" s="88">
        <f t="shared" si="4"/>
        <v>0</v>
      </c>
      <c r="T19" s="88">
        <f t="shared" si="5"/>
        <v>0</v>
      </c>
      <c r="U19" s="88">
        <f t="shared" si="6"/>
        <v>0</v>
      </c>
      <c r="V19" s="88">
        <f t="shared" si="7"/>
        <v>0</v>
      </c>
      <c r="W19" s="88">
        <f t="shared" si="8"/>
        <v>0</v>
      </c>
      <c r="X19" s="88">
        <f t="shared" si="9"/>
        <v>0</v>
      </c>
      <c r="Z19" s="51" t="s">
        <v>91</v>
      </c>
      <c r="AA19" s="52">
        <f>IF(VLOOKUP($Z19,'Asset Master'!$A:$J,6,FALSE)*COUNTIF('Event Trigger'!$C:$C,'Year 1 Results'!$Z19)&gt;SUMIF('Event Trigger'!$C:$C,$Z19,D:D),0,VLOOKUP($Z19,'Asset Master'!$A:$J,6,FALSE))</f>
        <v>0</v>
      </c>
      <c r="AB19" s="52">
        <f>IF(VLOOKUP($Z19,'Asset Master'!$A:$J,6,FALSE)*COUNTIF('Event Trigger'!$C:$C,'Year 1 Results'!$Z19)&gt;SUMIF('Event Trigger'!$C:$C,$Z19,E:E),0,VLOOKUP($Z19,'Asset Master'!$A:$J,6,FALSE))</f>
        <v>0</v>
      </c>
      <c r="AC19" s="52">
        <f>IF(VLOOKUP($Z19,'Asset Master'!$A:$J,6,FALSE)*COUNTIF('Event Trigger'!$C:$C,'Year 1 Results'!$Z19)&gt;SUMIF('Event Trigger'!$C:$C,$Z19,F:F),0,VLOOKUP($Z19,'Asset Master'!$A:$J,6,FALSE))</f>
        <v>0</v>
      </c>
      <c r="AD19" s="52">
        <f>IF(VLOOKUP($Z19,'Asset Master'!$A:$J,6,FALSE)*COUNTIF('Event Trigger'!$C:$C,'Year 1 Results'!$Z19)&gt;SUMIF('Event Trigger'!$C:$C,$Z19,G:G),0,VLOOKUP($Z19,'Asset Master'!$A:$J,6,FALSE))</f>
        <v>0</v>
      </c>
      <c r="AE19" s="52">
        <f>IF(VLOOKUP($Z19,'Asset Master'!$A:$J,6,FALSE)*COUNTIF('Event Trigger'!$C:$C,'Year 1 Results'!$Z19)&gt;SUMIF('Event Trigger'!$C:$C,$Z19,H:H),0,VLOOKUP($Z19,'Asset Master'!$A:$J,6,FALSE))</f>
        <v>0</v>
      </c>
      <c r="AF19" s="52">
        <f>IF(VLOOKUP($Z19,'Asset Master'!$A:$J,6,FALSE)*COUNTIF('Event Trigger'!$C:$C,'Year 1 Results'!$Z19)&gt;SUMIF('Event Trigger'!$C:$C,$Z19,I:I),0,VLOOKUP($Z19,'Asset Master'!$A:$J,6,FALSE))</f>
        <v>0</v>
      </c>
      <c r="AG19" s="52">
        <f>IF(VLOOKUP($Z19,'Asset Master'!$A:$J,6,FALSE)*COUNTIF('Event Trigger'!$C:$C,'Year 1 Results'!$Z19)&gt;SUMIF('Event Trigger'!$C:$C,$Z19,J:J),0,VLOOKUP($Z19,'Asset Master'!$A:$J,6,FALSE))</f>
        <v>0</v>
      </c>
      <c r="AH19" s="52">
        <f>IF(VLOOKUP($Z19,'Asset Master'!$A:$J,6,FALSE)*COUNTIF('Event Trigger'!$C:$C,'Year 1 Results'!$Z19)&gt;SUMIF('Event Trigger'!$C:$C,$Z19,K:K),0,VLOOKUP($Z19,'Asset Master'!$A:$J,6,FALSE))</f>
        <v>0</v>
      </c>
      <c r="AI19" s="52">
        <f>IF(VLOOKUP($Z19,'Asset Master'!$A:$J,6,FALSE)*COUNTIF('Event Trigger'!$C:$C,'Year 1 Results'!$Z19)&gt;SUMIF('Event Trigger'!$C:$C,$Z19,L:L),0,VLOOKUP($Z19,'Asset Master'!$A:$J,6,FALSE))</f>
        <v>0</v>
      </c>
      <c r="AJ19" s="52">
        <f>IF(VLOOKUP($Z19,'Asset Master'!$A:$J,6,FALSE)*COUNTIF('Event Trigger'!$C:$C,'Year 1 Results'!$Z19)&gt;SUMIF('Event Trigger'!$C:$C,$Z19,M:M),0,VLOOKUP($Z19,'Asset Master'!$A:$J,6,FALSE))</f>
        <v>0</v>
      </c>
    </row>
    <row r="20" spans="1:36" ht="25.5" x14ac:dyDescent="0.25">
      <c r="A20" s="37" t="str">
        <f>'Risk Master'!B20:B156&amp;"-"&amp;'Risk Master'!D20</f>
        <v>High tide and high rainfalls leading to large floods-Mumbai</v>
      </c>
      <c r="B20" s="37" t="str">
        <f>'Input Sheet year 2'!B21</f>
        <v>Flood-Mumbai</v>
      </c>
      <c r="C20" s="29" t="str">
        <f>'Risk Master'!F20</f>
        <v>A7</v>
      </c>
      <c r="D20" s="73">
        <f>'Risk Master'!$G20*-1+('Risk Master'!$G20*'Event Trigger'!$D20*(1-'Input Sheet year 1'!H21))</f>
        <v>800000</v>
      </c>
      <c r="E20" s="73">
        <f>'Risk Master'!$G20*-1+('Risk Master'!$G20*'Event Trigger'!$D20*(1-'Input Sheet year 2'!I21))</f>
        <v>800000</v>
      </c>
      <c r="F20" s="73">
        <f>'Risk Master'!$G20*-1+('Risk Master'!$G20*'Event Trigger'!$D20*(1-'Input Sheet year 2'!J21))</f>
        <v>800000</v>
      </c>
      <c r="G20" s="73">
        <f>'Risk Master'!$G20*-1+('Risk Master'!$G20*'Event Trigger'!$D20*(1-'Input Sheet year 2'!K21))</f>
        <v>800000</v>
      </c>
      <c r="H20" s="73">
        <f>'Risk Master'!$G20*-1+('Risk Master'!$G20*'Event Trigger'!$D20*(1-'Input Sheet year 2'!L21))</f>
        <v>800000</v>
      </c>
      <c r="I20" s="73">
        <f>'Risk Master'!$G20*-1+('Risk Master'!$G20*'Event Trigger'!$D20*(1-'Input Sheet year 2'!M21))</f>
        <v>800000</v>
      </c>
      <c r="J20" s="73">
        <f>'Risk Master'!$G20*-1+('Risk Master'!$G20*'Event Trigger'!$D20*(1-'Input Sheet year 2'!N21))</f>
        <v>800000</v>
      </c>
      <c r="K20" s="73">
        <f>'Risk Master'!$G20*-1+('Risk Master'!$G20*'Event Trigger'!$D20*(1-'Input Sheet year 2'!O21))</f>
        <v>800000</v>
      </c>
      <c r="L20" s="73">
        <f>'Risk Master'!$G20*-1+('Risk Master'!$G20*'Event Trigger'!$D20*(1-'Input Sheet year 2'!P21))</f>
        <v>800000</v>
      </c>
      <c r="M20" s="73">
        <f>'Risk Master'!$G20*-1+('Risk Master'!$G20*'Event Trigger'!$D20*(1-'Input Sheet year 2'!Q21))</f>
        <v>800000</v>
      </c>
      <c r="N20" s="88"/>
      <c r="O20" s="88">
        <f t="shared" si="0"/>
        <v>-800000</v>
      </c>
      <c r="P20" s="88">
        <f t="shared" si="1"/>
        <v>-800000</v>
      </c>
      <c r="Q20" s="88">
        <f t="shared" si="2"/>
        <v>-800000</v>
      </c>
      <c r="R20" s="88">
        <f t="shared" si="3"/>
        <v>-800000</v>
      </c>
      <c r="S20" s="88">
        <f t="shared" si="4"/>
        <v>-800000</v>
      </c>
      <c r="T20" s="88">
        <f t="shared" si="5"/>
        <v>-800000</v>
      </c>
      <c r="U20" s="88">
        <f t="shared" si="6"/>
        <v>-800000</v>
      </c>
      <c r="V20" s="88">
        <f t="shared" si="7"/>
        <v>-800000</v>
      </c>
      <c r="W20" s="88">
        <f t="shared" si="8"/>
        <v>-800000</v>
      </c>
      <c r="X20" s="88">
        <f t="shared" si="9"/>
        <v>-800000</v>
      </c>
      <c r="Z20" s="51" t="s">
        <v>92</v>
      </c>
      <c r="AA20" s="52">
        <f>IF(VLOOKUP($Z20,'Asset Master'!$A:$J,6,FALSE)*COUNTIF('Event Trigger'!$C:$C,'Year 1 Results'!$Z20)&gt;SUMIF('Event Trigger'!$C:$C,$Z20,D:D),0,VLOOKUP($Z20,'Asset Master'!$A:$J,6,FALSE))</f>
        <v>500000</v>
      </c>
      <c r="AB20" s="52">
        <f>IF(VLOOKUP($Z20,'Asset Master'!$A:$J,6,FALSE)*COUNTIF('Event Trigger'!$C:$C,'Year 1 Results'!$Z20)&gt;SUMIF('Event Trigger'!$C:$C,$Z20,E:E),0,VLOOKUP($Z20,'Asset Master'!$A:$J,6,FALSE))</f>
        <v>500000</v>
      </c>
      <c r="AC20" s="52">
        <f>IF(VLOOKUP($Z20,'Asset Master'!$A:$J,6,FALSE)*COUNTIF('Event Trigger'!$C:$C,'Year 1 Results'!$Z20)&gt;SUMIF('Event Trigger'!$C:$C,$Z20,F:F),0,VLOOKUP($Z20,'Asset Master'!$A:$J,6,FALSE))</f>
        <v>500000</v>
      </c>
      <c r="AD20" s="52">
        <f>IF(VLOOKUP($Z20,'Asset Master'!$A:$J,6,FALSE)*COUNTIF('Event Trigger'!$C:$C,'Year 1 Results'!$Z20)&gt;SUMIF('Event Trigger'!$C:$C,$Z20,G:G),0,VLOOKUP($Z20,'Asset Master'!$A:$J,6,FALSE))</f>
        <v>500000</v>
      </c>
      <c r="AE20" s="52">
        <f>IF(VLOOKUP($Z20,'Asset Master'!$A:$J,6,FALSE)*COUNTIF('Event Trigger'!$C:$C,'Year 1 Results'!$Z20)&gt;SUMIF('Event Trigger'!$C:$C,$Z20,H:H),0,VLOOKUP($Z20,'Asset Master'!$A:$J,6,FALSE))</f>
        <v>500000</v>
      </c>
      <c r="AF20" s="52">
        <f>IF(VLOOKUP($Z20,'Asset Master'!$A:$J,6,FALSE)*COUNTIF('Event Trigger'!$C:$C,'Year 1 Results'!$Z20)&gt;SUMIF('Event Trigger'!$C:$C,$Z20,I:I),0,VLOOKUP($Z20,'Asset Master'!$A:$J,6,FALSE))</f>
        <v>500000</v>
      </c>
      <c r="AG20" s="52">
        <f>IF(VLOOKUP($Z20,'Asset Master'!$A:$J,6,FALSE)*COUNTIF('Event Trigger'!$C:$C,'Year 1 Results'!$Z20)&gt;SUMIF('Event Trigger'!$C:$C,$Z20,J:J),0,VLOOKUP($Z20,'Asset Master'!$A:$J,6,FALSE))</f>
        <v>500000</v>
      </c>
      <c r="AH20" s="52">
        <f>IF(VLOOKUP($Z20,'Asset Master'!$A:$J,6,FALSE)*COUNTIF('Event Trigger'!$C:$C,'Year 1 Results'!$Z20)&gt;SUMIF('Event Trigger'!$C:$C,$Z20,K:K),0,VLOOKUP($Z20,'Asset Master'!$A:$J,6,FALSE))</f>
        <v>500000</v>
      </c>
      <c r="AI20" s="52">
        <f>IF(VLOOKUP($Z20,'Asset Master'!$A:$J,6,FALSE)*COUNTIF('Event Trigger'!$C:$C,'Year 1 Results'!$Z20)&gt;SUMIF('Event Trigger'!$C:$C,$Z20,L:L),0,VLOOKUP($Z20,'Asset Master'!$A:$J,6,FALSE))</f>
        <v>500000</v>
      </c>
      <c r="AJ20" s="52">
        <f>IF(VLOOKUP($Z20,'Asset Master'!$A:$J,6,FALSE)*COUNTIF('Event Trigger'!$C:$C,'Year 1 Results'!$Z20)&gt;SUMIF('Event Trigger'!$C:$C,$Z20,M:M),0,VLOOKUP($Z20,'Asset Master'!$A:$J,6,FALSE))</f>
        <v>500000</v>
      </c>
    </row>
    <row r="21" spans="1:36" x14ac:dyDescent="0.25">
      <c r="A21" s="37" t="str">
        <f>'Risk Master'!B21:B157&amp;"-"&amp;'Risk Master'!D21</f>
        <v>Earthquake-Mumbai</v>
      </c>
      <c r="B21" s="37" t="str">
        <f>'Input Sheet year 2'!B22</f>
        <v>Earthquake-Mumbai</v>
      </c>
      <c r="C21" s="29" t="str">
        <f>'Risk Master'!F21</f>
        <v>A8</v>
      </c>
      <c r="D21" s="73">
        <f>'Risk Master'!$G21*-1+('Risk Master'!$G21*'Event Trigger'!$D21*(1-'Input Sheet year 1'!H22))</f>
        <v>0</v>
      </c>
      <c r="E21" s="73">
        <f>'Risk Master'!$G21*-1+('Risk Master'!$G21*'Event Trigger'!$D21*(1-'Input Sheet year 2'!I22))</f>
        <v>300000</v>
      </c>
      <c r="F21" s="73">
        <f>'Risk Master'!$G21*-1+('Risk Master'!$G21*'Event Trigger'!$D21*(1-'Input Sheet year 2'!J22))</f>
        <v>0</v>
      </c>
      <c r="G21" s="73">
        <f>'Risk Master'!$G21*-1+('Risk Master'!$G21*'Event Trigger'!$D21*(1-'Input Sheet year 2'!K22))</f>
        <v>300000</v>
      </c>
      <c r="H21" s="73">
        <f>'Risk Master'!$G21*-1+('Risk Master'!$G21*'Event Trigger'!$D21*(1-'Input Sheet year 2'!L22))</f>
        <v>0</v>
      </c>
      <c r="I21" s="73">
        <f>'Risk Master'!$G21*-1+('Risk Master'!$G21*'Event Trigger'!$D21*(1-'Input Sheet year 2'!M22))</f>
        <v>0</v>
      </c>
      <c r="J21" s="73">
        <f>'Risk Master'!$G21*-1+('Risk Master'!$G21*'Event Trigger'!$D21*(1-'Input Sheet year 2'!N22))</f>
        <v>0</v>
      </c>
      <c r="K21" s="73">
        <f>'Risk Master'!$G21*-1+('Risk Master'!$G21*'Event Trigger'!$D21*(1-'Input Sheet year 2'!O22))</f>
        <v>0</v>
      </c>
      <c r="L21" s="73">
        <f>'Risk Master'!$G21*-1+('Risk Master'!$G21*'Event Trigger'!$D21*(1-'Input Sheet year 2'!P22))</f>
        <v>0</v>
      </c>
      <c r="M21" s="73">
        <f>'Risk Master'!$G21*-1+('Risk Master'!$G21*'Event Trigger'!$D21*(1-'Input Sheet year 2'!Q22))</f>
        <v>0</v>
      </c>
      <c r="N21" s="88"/>
      <c r="O21" s="88">
        <f t="shared" si="0"/>
        <v>0</v>
      </c>
      <c r="P21" s="88">
        <f t="shared" si="1"/>
        <v>-300000</v>
      </c>
      <c r="Q21" s="88">
        <f t="shared" si="2"/>
        <v>0</v>
      </c>
      <c r="R21" s="88">
        <f t="shared" si="3"/>
        <v>0</v>
      </c>
      <c r="S21" s="88">
        <f t="shared" si="4"/>
        <v>0</v>
      </c>
      <c r="T21" s="88">
        <f t="shared" si="5"/>
        <v>0</v>
      </c>
      <c r="U21" s="88">
        <f t="shared" si="6"/>
        <v>0</v>
      </c>
      <c r="V21" s="88">
        <f t="shared" si="7"/>
        <v>0</v>
      </c>
      <c r="W21" s="88">
        <f t="shared" si="8"/>
        <v>0</v>
      </c>
      <c r="X21" s="88">
        <f t="shared" si="9"/>
        <v>0</v>
      </c>
      <c r="Z21" s="51" t="s">
        <v>93</v>
      </c>
      <c r="AA21" s="52">
        <f>IF(VLOOKUP($Z21,'Asset Master'!$A:$J,6,FALSE)*COUNTIF('Event Trigger'!$C:$C,'Year 1 Results'!$Z21)&gt;SUMIF('Event Trigger'!$C:$C,$Z21,D:D),0,VLOOKUP($Z21,'Asset Master'!$A:$J,6,FALSE))</f>
        <v>500000</v>
      </c>
      <c r="AB21" s="52">
        <f>IF(VLOOKUP($Z21,'Asset Master'!$A:$J,6,FALSE)*COUNTIF('Event Trigger'!$C:$C,'Year 1 Results'!$Z21)&gt;SUMIF('Event Trigger'!$C:$C,$Z21,E:E),0,VLOOKUP($Z21,'Asset Master'!$A:$J,6,FALSE))</f>
        <v>500000</v>
      </c>
      <c r="AC21" s="52">
        <f>IF(VLOOKUP($Z21,'Asset Master'!$A:$J,6,FALSE)*COUNTIF('Event Trigger'!$C:$C,'Year 1 Results'!$Z21)&gt;SUMIF('Event Trigger'!$C:$C,$Z21,F:F),0,VLOOKUP($Z21,'Asset Master'!$A:$J,6,FALSE))</f>
        <v>500000</v>
      </c>
      <c r="AD21" s="52">
        <f>IF(VLOOKUP($Z21,'Asset Master'!$A:$J,6,FALSE)*COUNTIF('Event Trigger'!$C:$C,'Year 1 Results'!$Z21)&gt;SUMIF('Event Trigger'!$C:$C,$Z21,G:G),0,VLOOKUP($Z21,'Asset Master'!$A:$J,6,FALSE))</f>
        <v>500000</v>
      </c>
      <c r="AE21" s="52">
        <f>IF(VLOOKUP($Z21,'Asset Master'!$A:$J,6,FALSE)*COUNTIF('Event Trigger'!$C:$C,'Year 1 Results'!$Z21)&gt;SUMIF('Event Trigger'!$C:$C,$Z21,H:H),0,VLOOKUP($Z21,'Asset Master'!$A:$J,6,FALSE))</f>
        <v>500000</v>
      </c>
      <c r="AF21" s="52">
        <f>IF(VLOOKUP($Z21,'Asset Master'!$A:$J,6,FALSE)*COUNTIF('Event Trigger'!$C:$C,'Year 1 Results'!$Z21)&gt;SUMIF('Event Trigger'!$C:$C,$Z21,I:I),0,VLOOKUP($Z21,'Asset Master'!$A:$J,6,FALSE))</f>
        <v>500000</v>
      </c>
      <c r="AG21" s="52">
        <f>IF(VLOOKUP($Z21,'Asset Master'!$A:$J,6,FALSE)*COUNTIF('Event Trigger'!$C:$C,'Year 1 Results'!$Z21)&gt;SUMIF('Event Trigger'!$C:$C,$Z21,J:J),0,VLOOKUP($Z21,'Asset Master'!$A:$J,6,FALSE))</f>
        <v>500000</v>
      </c>
      <c r="AH21" s="52">
        <f>IF(VLOOKUP($Z21,'Asset Master'!$A:$J,6,FALSE)*COUNTIF('Event Trigger'!$C:$C,'Year 1 Results'!$Z21)&gt;SUMIF('Event Trigger'!$C:$C,$Z21,K:K),0,VLOOKUP($Z21,'Asset Master'!$A:$J,6,FALSE))</f>
        <v>500000</v>
      </c>
      <c r="AI21" s="52">
        <f>IF(VLOOKUP($Z21,'Asset Master'!$A:$J,6,FALSE)*COUNTIF('Event Trigger'!$C:$C,'Year 1 Results'!$Z21)&gt;SUMIF('Event Trigger'!$C:$C,$Z21,L:L),0,VLOOKUP($Z21,'Asset Master'!$A:$J,6,FALSE))</f>
        <v>500000</v>
      </c>
      <c r="AJ21" s="52">
        <f>IF(VLOOKUP($Z21,'Asset Master'!$A:$J,6,FALSE)*COUNTIF('Event Trigger'!$C:$C,'Year 1 Results'!$Z21)&gt;SUMIF('Event Trigger'!$C:$C,$Z21,M:M),0,VLOOKUP($Z21,'Asset Master'!$A:$J,6,FALSE))</f>
        <v>500000</v>
      </c>
    </row>
    <row r="22" spans="1:36" x14ac:dyDescent="0.25">
      <c r="A22" s="37" t="str">
        <f>'Risk Master'!B22:B158&amp;"-"&amp;'Risk Master'!D22</f>
        <v>Fire-Mumbai</v>
      </c>
      <c r="B22" s="37" t="str">
        <f>'Input Sheet year 2'!B23</f>
        <v>Fire-Mumbai</v>
      </c>
      <c r="C22" s="29" t="str">
        <f>'Risk Master'!F22</f>
        <v>A7</v>
      </c>
      <c r="D22" s="73">
        <f>'Risk Master'!$G22*-1+('Risk Master'!$G22*'Event Trigger'!$D22*(1-'Input Sheet year 1'!H23))</f>
        <v>800000</v>
      </c>
      <c r="E22" s="73">
        <f>'Risk Master'!$G22*-1+('Risk Master'!$G22*'Event Trigger'!$D22*(1-'Input Sheet year 2'!I23))</f>
        <v>800000</v>
      </c>
      <c r="F22" s="73">
        <f>'Risk Master'!$G22*-1+('Risk Master'!$G22*'Event Trigger'!$D22*(1-'Input Sheet year 2'!J23))</f>
        <v>800000</v>
      </c>
      <c r="G22" s="73">
        <f>'Risk Master'!$G22*-1+('Risk Master'!$G22*'Event Trigger'!$D22*(1-'Input Sheet year 2'!K23))</f>
        <v>800000</v>
      </c>
      <c r="H22" s="73">
        <f>'Risk Master'!$G22*-1+('Risk Master'!$G22*'Event Trigger'!$D22*(1-'Input Sheet year 2'!L23))</f>
        <v>800000</v>
      </c>
      <c r="I22" s="73">
        <f>'Risk Master'!$G22*-1+('Risk Master'!$G22*'Event Trigger'!$D22*(1-'Input Sheet year 2'!M23))</f>
        <v>800000</v>
      </c>
      <c r="J22" s="73">
        <f>'Risk Master'!$G22*-1+('Risk Master'!$G22*'Event Trigger'!$D22*(1-'Input Sheet year 2'!N23))</f>
        <v>800000</v>
      </c>
      <c r="K22" s="73">
        <f>'Risk Master'!$G22*-1+('Risk Master'!$G22*'Event Trigger'!$D22*(1-'Input Sheet year 2'!O23))</f>
        <v>800000</v>
      </c>
      <c r="L22" s="73">
        <f>'Risk Master'!$G22*-1+('Risk Master'!$G22*'Event Trigger'!$D22*(1-'Input Sheet year 2'!P23))</f>
        <v>800000</v>
      </c>
      <c r="M22" s="73">
        <f>'Risk Master'!$G22*-1+('Risk Master'!$G22*'Event Trigger'!$D22*(1-'Input Sheet year 2'!Q23))</f>
        <v>800000</v>
      </c>
      <c r="N22" s="88"/>
      <c r="O22" s="88">
        <f t="shared" si="0"/>
        <v>-800000</v>
      </c>
      <c r="P22" s="88">
        <f t="shared" si="1"/>
        <v>-800000</v>
      </c>
      <c r="Q22" s="88">
        <f t="shared" si="2"/>
        <v>-800000</v>
      </c>
      <c r="R22" s="88">
        <f t="shared" si="3"/>
        <v>-800000</v>
      </c>
      <c r="S22" s="88">
        <f t="shared" si="4"/>
        <v>-800000</v>
      </c>
      <c r="T22" s="88">
        <f t="shared" si="5"/>
        <v>-800000</v>
      </c>
      <c r="U22" s="88">
        <f t="shared" si="6"/>
        <v>-800000</v>
      </c>
      <c r="V22" s="88">
        <f t="shared" si="7"/>
        <v>-800000</v>
      </c>
      <c r="W22" s="88">
        <f t="shared" si="8"/>
        <v>-800000</v>
      </c>
      <c r="X22" s="88">
        <f t="shared" si="9"/>
        <v>-800000</v>
      </c>
      <c r="Z22" s="51" t="s">
        <v>94</v>
      </c>
      <c r="AA22" s="52">
        <f>IF(VLOOKUP($Z22,'Asset Master'!$A:$J,6,FALSE)*COUNTIF('Event Trigger'!$C:$C,'Year 1 Results'!$Z22)&gt;SUMIF('Event Trigger'!$C:$C,$Z22,D:D),0,VLOOKUP($Z22,'Asset Master'!$A:$J,6,FALSE))</f>
        <v>0</v>
      </c>
      <c r="AB22" s="52">
        <f>IF(VLOOKUP($Z22,'Asset Master'!$A:$J,6,FALSE)*COUNTIF('Event Trigger'!$C:$C,'Year 1 Results'!$Z22)&gt;SUMIF('Event Trigger'!$C:$C,$Z22,E:E),0,VLOOKUP($Z22,'Asset Master'!$A:$J,6,FALSE))</f>
        <v>0</v>
      </c>
      <c r="AC22" s="52">
        <f>IF(VLOOKUP($Z22,'Asset Master'!$A:$J,6,FALSE)*COUNTIF('Event Trigger'!$C:$C,'Year 1 Results'!$Z22)&gt;SUMIF('Event Trigger'!$C:$C,$Z22,F:F),0,VLOOKUP($Z22,'Asset Master'!$A:$J,6,FALSE))</f>
        <v>0</v>
      </c>
      <c r="AD22" s="52">
        <f>IF(VLOOKUP($Z22,'Asset Master'!$A:$J,6,FALSE)*COUNTIF('Event Trigger'!$C:$C,'Year 1 Results'!$Z22)&gt;SUMIF('Event Trigger'!$C:$C,$Z22,G:G),0,VLOOKUP($Z22,'Asset Master'!$A:$J,6,FALSE))</f>
        <v>0</v>
      </c>
      <c r="AE22" s="52">
        <f>IF(VLOOKUP($Z22,'Asset Master'!$A:$J,6,FALSE)*COUNTIF('Event Trigger'!$C:$C,'Year 1 Results'!$Z22)&gt;SUMIF('Event Trigger'!$C:$C,$Z22,H:H),0,VLOOKUP($Z22,'Asset Master'!$A:$J,6,FALSE))</f>
        <v>0</v>
      </c>
      <c r="AF22" s="52">
        <f>IF(VLOOKUP($Z22,'Asset Master'!$A:$J,6,FALSE)*COUNTIF('Event Trigger'!$C:$C,'Year 1 Results'!$Z22)&gt;SUMIF('Event Trigger'!$C:$C,$Z22,I:I),0,VLOOKUP($Z22,'Asset Master'!$A:$J,6,FALSE))</f>
        <v>0</v>
      </c>
      <c r="AG22" s="52">
        <f>IF(VLOOKUP($Z22,'Asset Master'!$A:$J,6,FALSE)*COUNTIF('Event Trigger'!$C:$C,'Year 1 Results'!$Z22)&gt;SUMIF('Event Trigger'!$C:$C,$Z22,J:J),0,VLOOKUP($Z22,'Asset Master'!$A:$J,6,FALSE))</f>
        <v>0</v>
      </c>
      <c r="AH22" s="52">
        <f>IF(VLOOKUP($Z22,'Asset Master'!$A:$J,6,FALSE)*COUNTIF('Event Trigger'!$C:$C,'Year 1 Results'!$Z22)&gt;SUMIF('Event Trigger'!$C:$C,$Z22,K:K),0,VLOOKUP($Z22,'Asset Master'!$A:$J,6,FALSE))</f>
        <v>0</v>
      </c>
      <c r="AI22" s="52">
        <f>IF(VLOOKUP($Z22,'Asset Master'!$A:$J,6,FALSE)*COUNTIF('Event Trigger'!$C:$C,'Year 1 Results'!$Z22)&gt;SUMIF('Event Trigger'!$C:$C,$Z22,L:L),0,VLOOKUP($Z22,'Asset Master'!$A:$J,6,FALSE))</f>
        <v>0</v>
      </c>
      <c r="AJ22" s="52">
        <f>IF(VLOOKUP($Z22,'Asset Master'!$A:$J,6,FALSE)*COUNTIF('Event Trigger'!$C:$C,'Year 1 Results'!$Z22)&gt;SUMIF('Event Trigger'!$C:$C,$Z22,M:M),0,VLOOKUP($Z22,'Asset Master'!$A:$J,6,FALSE))</f>
        <v>0</v>
      </c>
    </row>
    <row r="23" spans="1:36" x14ac:dyDescent="0.25">
      <c r="A23" s="37" t="str">
        <f>'Risk Master'!B23:B159&amp;"-"&amp;'Risk Master'!D23</f>
        <v>Typhoon-Mumbai</v>
      </c>
      <c r="B23" s="37" t="str">
        <f>'Input Sheet year 2'!B24</f>
        <v>Typhoon-Mumbai</v>
      </c>
      <c r="C23" s="29" t="str">
        <f>'Risk Master'!F23</f>
        <v>A8</v>
      </c>
      <c r="D23" s="73">
        <f>'Risk Master'!$G23*-1+('Risk Master'!$G23*'Event Trigger'!$D23*(1-'Input Sheet year 1'!H24))</f>
        <v>0</v>
      </c>
      <c r="E23" s="73">
        <f>'Risk Master'!$G23*-1+('Risk Master'!$G23*'Event Trigger'!$D23*(1-'Input Sheet year 2'!I24))</f>
        <v>300000</v>
      </c>
      <c r="F23" s="73">
        <f>'Risk Master'!$G23*-1+('Risk Master'!$G23*'Event Trigger'!$D23*(1-'Input Sheet year 2'!J24))</f>
        <v>0</v>
      </c>
      <c r="G23" s="73">
        <f>'Risk Master'!$G23*-1+('Risk Master'!$G23*'Event Trigger'!$D23*(1-'Input Sheet year 2'!K24))</f>
        <v>0</v>
      </c>
      <c r="H23" s="73">
        <f>'Risk Master'!$G23*-1+('Risk Master'!$G23*'Event Trigger'!$D23*(1-'Input Sheet year 2'!L24))</f>
        <v>0</v>
      </c>
      <c r="I23" s="73">
        <f>'Risk Master'!$G23*-1+('Risk Master'!$G23*'Event Trigger'!$D23*(1-'Input Sheet year 2'!M24))</f>
        <v>0</v>
      </c>
      <c r="J23" s="73">
        <f>'Risk Master'!$G23*-1+('Risk Master'!$G23*'Event Trigger'!$D23*(1-'Input Sheet year 2'!N24))</f>
        <v>0</v>
      </c>
      <c r="K23" s="73">
        <f>'Risk Master'!$G23*-1+('Risk Master'!$G23*'Event Trigger'!$D23*(1-'Input Sheet year 2'!O24))</f>
        <v>0</v>
      </c>
      <c r="L23" s="73">
        <f>'Risk Master'!$G23*-1+('Risk Master'!$G23*'Event Trigger'!$D23*(1-'Input Sheet year 2'!P24))</f>
        <v>300000</v>
      </c>
      <c r="M23" s="73">
        <f>'Risk Master'!$G23*-1+('Risk Master'!$G23*'Event Trigger'!$D23*(1-'Input Sheet year 2'!Q24))</f>
        <v>0</v>
      </c>
      <c r="N23" s="88"/>
      <c r="O23" s="88">
        <f t="shared" si="0"/>
        <v>0</v>
      </c>
      <c r="P23" s="88">
        <f t="shared" si="1"/>
        <v>-300000</v>
      </c>
      <c r="Q23" s="88">
        <f t="shared" si="2"/>
        <v>0</v>
      </c>
      <c r="R23" s="88">
        <f t="shared" si="3"/>
        <v>0</v>
      </c>
      <c r="S23" s="88">
        <f t="shared" si="4"/>
        <v>0</v>
      </c>
      <c r="T23" s="88">
        <f t="shared" si="5"/>
        <v>0</v>
      </c>
      <c r="U23" s="88">
        <f t="shared" si="6"/>
        <v>0</v>
      </c>
      <c r="V23" s="88">
        <f t="shared" si="7"/>
        <v>0</v>
      </c>
      <c r="W23" s="88">
        <f t="shared" si="8"/>
        <v>0</v>
      </c>
      <c r="X23" s="88">
        <f t="shared" si="9"/>
        <v>0</v>
      </c>
      <c r="Z23" s="51" t="s">
        <v>95</v>
      </c>
      <c r="AA23" s="52">
        <f>IF(VLOOKUP($Z23,'Asset Master'!$A:$J,6,FALSE)*COUNTIF('Event Trigger'!$C:$C,'Year 1 Results'!$Z23)&gt;SUMIF('Event Trigger'!$C:$C,$Z23,D:D),0,VLOOKUP($Z23,'Asset Master'!$A:$J,6,FALSE))</f>
        <v>1000000</v>
      </c>
      <c r="AB23" s="52">
        <f>IF(VLOOKUP($Z23,'Asset Master'!$A:$J,6,FALSE)*COUNTIF('Event Trigger'!$C:$C,'Year 1 Results'!$Z23)&gt;SUMIF('Event Trigger'!$C:$C,$Z23,E:E),0,VLOOKUP($Z23,'Asset Master'!$A:$J,6,FALSE))</f>
        <v>1000000</v>
      </c>
      <c r="AC23" s="52">
        <f>IF(VLOOKUP($Z23,'Asset Master'!$A:$J,6,FALSE)*COUNTIF('Event Trigger'!$C:$C,'Year 1 Results'!$Z23)&gt;SUMIF('Event Trigger'!$C:$C,$Z23,F:F),0,VLOOKUP($Z23,'Asset Master'!$A:$J,6,FALSE))</f>
        <v>1000000</v>
      </c>
      <c r="AD23" s="52">
        <f>IF(VLOOKUP($Z23,'Asset Master'!$A:$J,6,FALSE)*COUNTIF('Event Trigger'!$C:$C,'Year 1 Results'!$Z23)&gt;SUMIF('Event Trigger'!$C:$C,$Z23,G:G),0,VLOOKUP($Z23,'Asset Master'!$A:$J,6,FALSE))</f>
        <v>1000000</v>
      </c>
      <c r="AE23" s="52">
        <f>IF(VLOOKUP($Z23,'Asset Master'!$A:$J,6,FALSE)*COUNTIF('Event Trigger'!$C:$C,'Year 1 Results'!$Z23)&gt;SUMIF('Event Trigger'!$C:$C,$Z23,H:H),0,VLOOKUP($Z23,'Asset Master'!$A:$J,6,FALSE))</f>
        <v>1000000</v>
      </c>
      <c r="AF23" s="52">
        <f>IF(VLOOKUP($Z23,'Asset Master'!$A:$J,6,FALSE)*COUNTIF('Event Trigger'!$C:$C,'Year 1 Results'!$Z23)&gt;SUMIF('Event Trigger'!$C:$C,$Z23,I:I),0,VLOOKUP($Z23,'Asset Master'!$A:$J,6,FALSE))</f>
        <v>1000000</v>
      </c>
      <c r="AG23" s="52">
        <f>IF(VLOOKUP($Z23,'Asset Master'!$A:$J,6,FALSE)*COUNTIF('Event Trigger'!$C:$C,'Year 1 Results'!$Z23)&gt;SUMIF('Event Trigger'!$C:$C,$Z23,J:J),0,VLOOKUP($Z23,'Asset Master'!$A:$J,6,FALSE))</f>
        <v>1000000</v>
      </c>
      <c r="AH23" s="52">
        <f>IF(VLOOKUP($Z23,'Asset Master'!$A:$J,6,FALSE)*COUNTIF('Event Trigger'!$C:$C,'Year 1 Results'!$Z23)&gt;SUMIF('Event Trigger'!$C:$C,$Z23,K:K),0,VLOOKUP($Z23,'Asset Master'!$A:$J,6,FALSE))</f>
        <v>1000000</v>
      </c>
      <c r="AI23" s="52">
        <f>IF(VLOOKUP($Z23,'Asset Master'!$A:$J,6,FALSE)*COUNTIF('Event Trigger'!$C:$C,'Year 1 Results'!$Z23)&gt;SUMIF('Event Trigger'!$C:$C,$Z23,L:L),0,VLOOKUP($Z23,'Asset Master'!$A:$J,6,FALSE))</f>
        <v>1000000</v>
      </c>
      <c r="AJ23" s="52">
        <f>IF(VLOOKUP($Z23,'Asset Master'!$A:$J,6,FALSE)*COUNTIF('Event Trigger'!$C:$C,'Year 1 Results'!$Z23)&gt;SUMIF('Event Trigger'!$C:$C,$Z23,M:M),0,VLOOKUP($Z23,'Asset Master'!$A:$J,6,FALSE))</f>
        <v>1000000</v>
      </c>
    </row>
    <row r="24" spans="1:36" ht="25.5" x14ac:dyDescent="0.25">
      <c r="A24" s="37" t="str">
        <f>'Risk Master'!B24:B160&amp;"-"&amp;'Risk Master'!D24</f>
        <v>Thunderstorms, Tornados &amp; Hail-Mumbai</v>
      </c>
      <c r="B24" s="37" t="str">
        <f>'Input Sheet year 2'!B25</f>
        <v>Thunderstorms, Tornados &amp; Hail-Mumbai</v>
      </c>
      <c r="C24" s="29" t="str">
        <f>'Risk Master'!F24</f>
        <v>A8</v>
      </c>
      <c r="D24" s="73">
        <f>'Risk Master'!$G24*-1+('Risk Master'!$G24*'Event Trigger'!$D24*(1-'Input Sheet year 1'!H25))</f>
        <v>300000</v>
      </c>
      <c r="E24" s="73">
        <f>'Risk Master'!$G24*-1+('Risk Master'!$G24*'Event Trigger'!$D24*(1-'Input Sheet year 2'!I25))</f>
        <v>300000</v>
      </c>
      <c r="F24" s="73">
        <f>'Risk Master'!$G24*-1+('Risk Master'!$G24*'Event Trigger'!$D24*(1-'Input Sheet year 2'!J25))</f>
        <v>300000</v>
      </c>
      <c r="G24" s="73">
        <f>'Risk Master'!$G24*-1+('Risk Master'!$G24*'Event Trigger'!$D24*(1-'Input Sheet year 2'!K25))</f>
        <v>300000</v>
      </c>
      <c r="H24" s="73">
        <f>'Risk Master'!$G24*-1+('Risk Master'!$G24*'Event Trigger'!$D24*(1-'Input Sheet year 2'!L25))</f>
        <v>300000</v>
      </c>
      <c r="I24" s="73">
        <f>'Risk Master'!$G24*-1+('Risk Master'!$G24*'Event Trigger'!$D24*(1-'Input Sheet year 2'!M25))</f>
        <v>300000</v>
      </c>
      <c r="J24" s="73">
        <f>'Risk Master'!$G24*-1+('Risk Master'!$G24*'Event Trigger'!$D24*(1-'Input Sheet year 2'!N25))</f>
        <v>300000</v>
      </c>
      <c r="K24" s="73">
        <f>'Risk Master'!$G24*-1+('Risk Master'!$G24*'Event Trigger'!$D24*(1-'Input Sheet year 2'!O25))</f>
        <v>300000</v>
      </c>
      <c r="L24" s="73">
        <f>'Risk Master'!$G24*-1+('Risk Master'!$G24*'Event Trigger'!$D24*(1-'Input Sheet year 2'!P25))</f>
        <v>300000</v>
      </c>
      <c r="M24" s="73">
        <f>'Risk Master'!$G24*-1+('Risk Master'!$G24*'Event Trigger'!$D24*(1-'Input Sheet year 2'!Q25))</f>
        <v>300000</v>
      </c>
      <c r="N24" s="88"/>
      <c r="O24" s="88">
        <f t="shared" si="0"/>
        <v>0</v>
      </c>
      <c r="P24" s="88">
        <f t="shared" si="1"/>
        <v>-300000</v>
      </c>
      <c r="Q24" s="88">
        <f t="shared" si="2"/>
        <v>0</v>
      </c>
      <c r="R24" s="88">
        <f t="shared" si="3"/>
        <v>0</v>
      </c>
      <c r="S24" s="88">
        <f t="shared" si="4"/>
        <v>0</v>
      </c>
      <c r="T24" s="88">
        <f t="shared" si="5"/>
        <v>0</v>
      </c>
      <c r="U24" s="88">
        <f t="shared" si="6"/>
        <v>0</v>
      </c>
      <c r="V24" s="88">
        <f t="shared" si="7"/>
        <v>0</v>
      </c>
      <c r="W24" s="88">
        <f t="shared" si="8"/>
        <v>0</v>
      </c>
      <c r="X24" s="88">
        <f t="shared" si="9"/>
        <v>0</v>
      </c>
      <c r="Z24" s="51" t="s">
        <v>96</v>
      </c>
      <c r="AA24" s="52">
        <f>IF(VLOOKUP($Z24,'Asset Master'!$A:$J,6,FALSE)*COUNTIF('Event Trigger'!$C:$C,'Year 1 Results'!$Z24)&gt;SUMIF('Event Trigger'!$C:$C,$Z24,D:D),0,VLOOKUP($Z24,'Asset Master'!$A:$J,6,FALSE))</f>
        <v>300000</v>
      </c>
      <c r="AB24" s="52">
        <f>IF(VLOOKUP($Z24,'Asset Master'!$A:$J,6,FALSE)*COUNTIF('Event Trigger'!$C:$C,'Year 1 Results'!$Z24)&gt;SUMIF('Event Trigger'!$C:$C,$Z24,E:E),0,VLOOKUP($Z24,'Asset Master'!$A:$J,6,FALSE))</f>
        <v>300000</v>
      </c>
      <c r="AC24" s="52">
        <f>IF(VLOOKUP($Z24,'Asset Master'!$A:$J,6,FALSE)*COUNTIF('Event Trigger'!$C:$C,'Year 1 Results'!$Z24)&gt;SUMIF('Event Trigger'!$C:$C,$Z24,F:F),0,VLOOKUP($Z24,'Asset Master'!$A:$J,6,FALSE))</f>
        <v>300000</v>
      </c>
      <c r="AD24" s="52">
        <f>IF(VLOOKUP($Z24,'Asset Master'!$A:$J,6,FALSE)*COUNTIF('Event Trigger'!$C:$C,'Year 1 Results'!$Z24)&gt;SUMIF('Event Trigger'!$C:$C,$Z24,G:G),0,VLOOKUP($Z24,'Asset Master'!$A:$J,6,FALSE))</f>
        <v>300000</v>
      </c>
      <c r="AE24" s="52">
        <f>IF(VLOOKUP($Z24,'Asset Master'!$A:$J,6,FALSE)*COUNTIF('Event Trigger'!$C:$C,'Year 1 Results'!$Z24)&gt;SUMIF('Event Trigger'!$C:$C,$Z24,H:H),0,VLOOKUP($Z24,'Asset Master'!$A:$J,6,FALSE))</f>
        <v>300000</v>
      </c>
      <c r="AF24" s="52">
        <f>IF(VLOOKUP($Z24,'Asset Master'!$A:$J,6,FALSE)*COUNTIF('Event Trigger'!$C:$C,'Year 1 Results'!$Z24)&gt;SUMIF('Event Trigger'!$C:$C,$Z24,I:I),0,VLOOKUP($Z24,'Asset Master'!$A:$J,6,FALSE))</f>
        <v>300000</v>
      </c>
      <c r="AG24" s="52">
        <f>IF(VLOOKUP($Z24,'Asset Master'!$A:$J,6,FALSE)*COUNTIF('Event Trigger'!$C:$C,'Year 1 Results'!$Z24)&gt;SUMIF('Event Trigger'!$C:$C,$Z24,J:J),0,VLOOKUP($Z24,'Asset Master'!$A:$J,6,FALSE))</f>
        <v>300000</v>
      </c>
      <c r="AH24" s="52">
        <f>IF(VLOOKUP($Z24,'Asset Master'!$A:$J,6,FALSE)*COUNTIF('Event Trigger'!$C:$C,'Year 1 Results'!$Z24)&gt;SUMIF('Event Trigger'!$C:$C,$Z24,K:K),0,VLOOKUP($Z24,'Asset Master'!$A:$J,6,FALSE))</f>
        <v>300000</v>
      </c>
      <c r="AI24" s="52">
        <f>IF(VLOOKUP($Z24,'Asset Master'!$A:$J,6,FALSE)*COUNTIF('Event Trigger'!$C:$C,'Year 1 Results'!$Z24)&gt;SUMIF('Event Trigger'!$C:$C,$Z24,L:L),0,VLOOKUP($Z24,'Asset Master'!$A:$J,6,FALSE))</f>
        <v>300000</v>
      </c>
      <c r="AJ24" s="52">
        <f>IF(VLOOKUP($Z24,'Asset Master'!$A:$J,6,FALSE)*COUNTIF('Event Trigger'!$C:$C,'Year 1 Results'!$Z24)&gt;SUMIF('Event Trigger'!$C:$C,$Z24,M:M),0,VLOOKUP($Z24,'Asset Master'!$A:$J,6,FALSE))</f>
        <v>300000</v>
      </c>
    </row>
    <row r="25" spans="1:36" x14ac:dyDescent="0.25">
      <c r="A25" s="37" t="str">
        <f>'Risk Master'!B25:B161&amp;"-"&amp;'Risk Master'!D25</f>
        <v>Tsunami-Mumbai</v>
      </c>
      <c r="B25" s="37" t="str">
        <f>'Input Sheet year 2'!B26</f>
        <v>Tsunami-Mumbai</v>
      </c>
      <c r="C25" s="29" t="str">
        <f>'Risk Master'!F25</f>
        <v>A8</v>
      </c>
      <c r="D25" s="73">
        <f>'Risk Master'!$G25*-1+('Risk Master'!$G25*'Event Trigger'!$D25*(1-'Input Sheet year 1'!H26))</f>
        <v>300000</v>
      </c>
      <c r="E25" s="73">
        <f>'Risk Master'!$G25*-1+('Risk Master'!$G25*'Event Trigger'!$D25*(1-'Input Sheet year 2'!I26))</f>
        <v>300000</v>
      </c>
      <c r="F25" s="73">
        <f>'Risk Master'!$G25*-1+('Risk Master'!$G25*'Event Trigger'!$D25*(1-'Input Sheet year 2'!J26))</f>
        <v>300000</v>
      </c>
      <c r="G25" s="73">
        <f>'Risk Master'!$G25*-1+('Risk Master'!$G25*'Event Trigger'!$D25*(1-'Input Sheet year 2'!K26))</f>
        <v>300000</v>
      </c>
      <c r="H25" s="73">
        <f>'Risk Master'!$G25*-1+('Risk Master'!$G25*'Event Trigger'!$D25*(1-'Input Sheet year 2'!L26))</f>
        <v>300000</v>
      </c>
      <c r="I25" s="73">
        <f>'Risk Master'!$G25*-1+('Risk Master'!$G25*'Event Trigger'!$D25*(1-'Input Sheet year 2'!M26))</f>
        <v>300000</v>
      </c>
      <c r="J25" s="73">
        <f>'Risk Master'!$G25*-1+('Risk Master'!$G25*'Event Trigger'!$D25*(1-'Input Sheet year 2'!N26))</f>
        <v>300000</v>
      </c>
      <c r="K25" s="73">
        <f>'Risk Master'!$G25*-1+('Risk Master'!$G25*'Event Trigger'!$D25*(1-'Input Sheet year 2'!O26))</f>
        <v>300000</v>
      </c>
      <c r="L25" s="73">
        <f>'Risk Master'!$G25*-1+('Risk Master'!$G25*'Event Trigger'!$D25*(1-'Input Sheet year 2'!P26))</f>
        <v>300000</v>
      </c>
      <c r="M25" s="73">
        <f>'Risk Master'!$G25*-1+('Risk Master'!$G25*'Event Trigger'!$D25*(1-'Input Sheet year 2'!Q26))</f>
        <v>300000</v>
      </c>
      <c r="N25" s="88"/>
      <c r="O25" s="88">
        <f t="shared" si="0"/>
        <v>0</v>
      </c>
      <c r="P25" s="88">
        <f t="shared" si="1"/>
        <v>-300000</v>
      </c>
      <c r="Q25" s="88">
        <f t="shared" si="2"/>
        <v>0</v>
      </c>
      <c r="R25" s="88">
        <f t="shared" si="3"/>
        <v>0</v>
      </c>
      <c r="S25" s="88">
        <f t="shared" si="4"/>
        <v>0</v>
      </c>
      <c r="T25" s="88">
        <f t="shared" si="5"/>
        <v>0</v>
      </c>
      <c r="U25" s="88">
        <f t="shared" si="6"/>
        <v>0</v>
      </c>
      <c r="V25" s="88">
        <f t="shared" si="7"/>
        <v>0</v>
      </c>
      <c r="W25" s="88">
        <f t="shared" si="8"/>
        <v>0</v>
      </c>
      <c r="X25" s="88">
        <f t="shared" si="9"/>
        <v>0</v>
      </c>
      <c r="Z25" s="51" t="s">
        <v>97</v>
      </c>
      <c r="AA25" s="52">
        <f>IF(VLOOKUP($Z25,'Asset Master'!$A:$J,6,FALSE)*COUNTIF('Event Trigger'!$C:$C,'Year 1 Results'!$Z25)&gt;SUMIF('Event Trigger'!$C:$C,$Z25,D:D),0,VLOOKUP($Z25,'Asset Master'!$A:$J,6,FALSE))</f>
        <v>0</v>
      </c>
      <c r="AB25" s="52">
        <f>IF(VLOOKUP($Z25,'Asset Master'!$A:$J,6,FALSE)*COUNTIF('Event Trigger'!$C:$C,'Year 1 Results'!$Z25)&gt;SUMIF('Event Trigger'!$C:$C,$Z25,E:E),0,VLOOKUP($Z25,'Asset Master'!$A:$J,6,FALSE))</f>
        <v>0</v>
      </c>
      <c r="AC25" s="52">
        <f>IF(VLOOKUP($Z25,'Asset Master'!$A:$J,6,FALSE)*COUNTIF('Event Trigger'!$C:$C,'Year 1 Results'!$Z25)&gt;SUMIF('Event Trigger'!$C:$C,$Z25,F:F),0,VLOOKUP($Z25,'Asset Master'!$A:$J,6,FALSE))</f>
        <v>0</v>
      </c>
      <c r="AD25" s="52">
        <f>IF(VLOOKUP($Z25,'Asset Master'!$A:$J,6,FALSE)*COUNTIF('Event Trigger'!$C:$C,'Year 1 Results'!$Z25)&gt;SUMIF('Event Trigger'!$C:$C,$Z25,G:G),0,VLOOKUP($Z25,'Asset Master'!$A:$J,6,FALSE))</f>
        <v>0</v>
      </c>
      <c r="AE25" s="52">
        <f>IF(VLOOKUP($Z25,'Asset Master'!$A:$J,6,FALSE)*COUNTIF('Event Trigger'!$C:$C,'Year 1 Results'!$Z25)&gt;SUMIF('Event Trigger'!$C:$C,$Z25,H:H),0,VLOOKUP($Z25,'Asset Master'!$A:$J,6,FALSE))</f>
        <v>0</v>
      </c>
      <c r="AF25" s="52">
        <f>IF(VLOOKUP($Z25,'Asset Master'!$A:$J,6,FALSE)*COUNTIF('Event Trigger'!$C:$C,'Year 1 Results'!$Z25)&gt;SUMIF('Event Trigger'!$C:$C,$Z25,I:I),0,VLOOKUP($Z25,'Asset Master'!$A:$J,6,FALSE))</f>
        <v>0</v>
      </c>
      <c r="AG25" s="52">
        <f>IF(VLOOKUP($Z25,'Asset Master'!$A:$J,6,FALSE)*COUNTIF('Event Trigger'!$C:$C,'Year 1 Results'!$Z25)&gt;SUMIF('Event Trigger'!$C:$C,$Z25,J:J),0,VLOOKUP($Z25,'Asset Master'!$A:$J,6,FALSE))</f>
        <v>0</v>
      </c>
      <c r="AH25" s="52">
        <f>IF(VLOOKUP($Z25,'Asset Master'!$A:$J,6,FALSE)*COUNTIF('Event Trigger'!$C:$C,'Year 1 Results'!$Z25)&gt;SUMIF('Event Trigger'!$C:$C,$Z25,K:K),0,VLOOKUP($Z25,'Asset Master'!$A:$J,6,FALSE))</f>
        <v>0</v>
      </c>
      <c r="AI25" s="52">
        <f>IF(VLOOKUP($Z25,'Asset Master'!$A:$J,6,FALSE)*COUNTIF('Event Trigger'!$C:$C,'Year 1 Results'!$Z25)&gt;SUMIF('Event Trigger'!$C:$C,$Z25,L:L),0,VLOOKUP($Z25,'Asset Master'!$A:$J,6,FALSE))</f>
        <v>0</v>
      </c>
      <c r="AJ25" s="52">
        <f>IF(VLOOKUP($Z25,'Asset Master'!$A:$J,6,FALSE)*COUNTIF('Event Trigger'!$C:$C,'Year 1 Results'!$Z25)&gt;SUMIF('Event Trigger'!$C:$C,$Z25,M:M),0,VLOOKUP($Z25,'Asset Master'!$A:$J,6,FALSE))</f>
        <v>0</v>
      </c>
    </row>
    <row r="26" spans="1:36" ht="25.5" x14ac:dyDescent="0.25">
      <c r="A26" s="37" t="str">
        <f>'Risk Master'!B26:B162&amp;"-"&amp;'Risk Master'!D26</f>
        <v>High tide and high rainfalls leading to large floods-Mumbai</v>
      </c>
      <c r="B26" s="37" t="str">
        <f>'Input Sheet year 2'!B27</f>
        <v>Flood-Mumbai</v>
      </c>
      <c r="C26" s="29" t="str">
        <f>'Risk Master'!F26</f>
        <v>A9</v>
      </c>
      <c r="D26" s="73">
        <f>'Risk Master'!$G26*-1+('Risk Master'!$G26*'Event Trigger'!$D26*(1-'Input Sheet year 1'!H27))</f>
        <v>300000</v>
      </c>
      <c r="E26" s="73">
        <f>'Risk Master'!$G26*-1+('Risk Master'!$G26*'Event Trigger'!$D26*(1-'Input Sheet year 2'!I27))</f>
        <v>300000</v>
      </c>
      <c r="F26" s="73">
        <f>'Risk Master'!$G26*-1+('Risk Master'!$G26*'Event Trigger'!$D26*(1-'Input Sheet year 2'!J27))</f>
        <v>300000</v>
      </c>
      <c r="G26" s="73">
        <f>'Risk Master'!$G26*-1+('Risk Master'!$G26*'Event Trigger'!$D26*(1-'Input Sheet year 2'!K27))</f>
        <v>300000</v>
      </c>
      <c r="H26" s="73">
        <f>'Risk Master'!$G26*-1+('Risk Master'!$G26*'Event Trigger'!$D26*(1-'Input Sheet year 2'!L27))</f>
        <v>300000</v>
      </c>
      <c r="I26" s="73">
        <f>'Risk Master'!$G26*-1+('Risk Master'!$G26*'Event Trigger'!$D26*(1-'Input Sheet year 2'!M27))</f>
        <v>300000</v>
      </c>
      <c r="J26" s="73">
        <f>'Risk Master'!$G26*-1+('Risk Master'!$G26*'Event Trigger'!$D26*(1-'Input Sheet year 2'!N27))</f>
        <v>300000</v>
      </c>
      <c r="K26" s="73">
        <f>'Risk Master'!$G26*-1+('Risk Master'!$G26*'Event Trigger'!$D26*(1-'Input Sheet year 2'!O27))</f>
        <v>300000</v>
      </c>
      <c r="L26" s="73">
        <f>'Risk Master'!$G26*-1+('Risk Master'!$G26*'Event Trigger'!$D26*(1-'Input Sheet year 2'!P27))</f>
        <v>300000</v>
      </c>
      <c r="M26" s="73">
        <f>'Risk Master'!$G26*-1+('Risk Master'!$G26*'Event Trigger'!$D26*(1-'Input Sheet year 2'!Q27))</f>
        <v>300000</v>
      </c>
      <c r="N26" s="88"/>
      <c r="O26" s="88">
        <f t="shared" si="0"/>
        <v>0</v>
      </c>
      <c r="P26" s="88">
        <f t="shared" si="1"/>
        <v>0</v>
      </c>
      <c r="Q26" s="88">
        <f t="shared" si="2"/>
        <v>0</v>
      </c>
      <c r="R26" s="88">
        <f t="shared" si="3"/>
        <v>0</v>
      </c>
      <c r="S26" s="88">
        <f t="shared" si="4"/>
        <v>0</v>
      </c>
      <c r="T26" s="88">
        <f t="shared" si="5"/>
        <v>0</v>
      </c>
      <c r="U26" s="88">
        <f t="shared" si="6"/>
        <v>0</v>
      </c>
      <c r="V26" s="88">
        <f t="shared" si="7"/>
        <v>0</v>
      </c>
      <c r="W26" s="88">
        <f t="shared" si="8"/>
        <v>0</v>
      </c>
      <c r="X26" s="88">
        <f t="shared" si="9"/>
        <v>0</v>
      </c>
      <c r="Z26" s="51" t="s">
        <v>98</v>
      </c>
      <c r="AA26" s="52">
        <f>IF(VLOOKUP($Z26,'Asset Master'!$A:$J,6,FALSE)*COUNTIF('Event Trigger'!$C:$C,'Year 1 Results'!$Z26)&gt;SUMIF('Event Trigger'!$C:$C,$Z26,D:D),0,VLOOKUP($Z26,'Asset Master'!$A:$J,6,FALSE))</f>
        <v>300000</v>
      </c>
      <c r="AB26" s="52">
        <f>IF(VLOOKUP($Z26,'Asset Master'!$A:$J,6,FALSE)*COUNTIF('Event Trigger'!$C:$C,'Year 1 Results'!$Z26)&gt;SUMIF('Event Trigger'!$C:$C,$Z26,E:E),0,VLOOKUP($Z26,'Asset Master'!$A:$J,6,FALSE))</f>
        <v>300000</v>
      </c>
      <c r="AC26" s="52">
        <f>IF(VLOOKUP($Z26,'Asset Master'!$A:$J,6,FALSE)*COUNTIF('Event Trigger'!$C:$C,'Year 1 Results'!$Z26)&gt;SUMIF('Event Trigger'!$C:$C,$Z26,F:F),0,VLOOKUP($Z26,'Asset Master'!$A:$J,6,FALSE))</f>
        <v>300000</v>
      </c>
      <c r="AD26" s="52">
        <f>IF(VLOOKUP($Z26,'Asset Master'!$A:$J,6,FALSE)*COUNTIF('Event Trigger'!$C:$C,'Year 1 Results'!$Z26)&gt;SUMIF('Event Trigger'!$C:$C,$Z26,G:G),0,VLOOKUP($Z26,'Asset Master'!$A:$J,6,FALSE))</f>
        <v>300000</v>
      </c>
      <c r="AE26" s="52">
        <f>IF(VLOOKUP($Z26,'Asset Master'!$A:$J,6,FALSE)*COUNTIF('Event Trigger'!$C:$C,'Year 1 Results'!$Z26)&gt;SUMIF('Event Trigger'!$C:$C,$Z26,H:H),0,VLOOKUP($Z26,'Asset Master'!$A:$J,6,FALSE))</f>
        <v>300000</v>
      </c>
      <c r="AF26" s="52">
        <f>IF(VLOOKUP($Z26,'Asset Master'!$A:$J,6,FALSE)*COUNTIF('Event Trigger'!$C:$C,'Year 1 Results'!$Z26)&gt;SUMIF('Event Trigger'!$C:$C,$Z26,I:I),0,VLOOKUP($Z26,'Asset Master'!$A:$J,6,FALSE))</f>
        <v>300000</v>
      </c>
      <c r="AG26" s="52">
        <f>IF(VLOOKUP($Z26,'Asset Master'!$A:$J,6,FALSE)*COUNTIF('Event Trigger'!$C:$C,'Year 1 Results'!$Z26)&gt;SUMIF('Event Trigger'!$C:$C,$Z26,J:J),0,VLOOKUP($Z26,'Asset Master'!$A:$J,6,FALSE))</f>
        <v>300000</v>
      </c>
      <c r="AH26" s="52">
        <f>IF(VLOOKUP($Z26,'Asset Master'!$A:$J,6,FALSE)*COUNTIF('Event Trigger'!$C:$C,'Year 1 Results'!$Z26)&gt;SUMIF('Event Trigger'!$C:$C,$Z26,K:K),0,VLOOKUP($Z26,'Asset Master'!$A:$J,6,FALSE))</f>
        <v>300000</v>
      </c>
      <c r="AI26" s="52">
        <f>IF(VLOOKUP($Z26,'Asset Master'!$A:$J,6,FALSE)*COUNTIF('Event Trigger'!$C:$C,'Year 1 Results'!$Z26)&gt;SUMIF('Event Trigger'!$C:$C,$Z26,L:L),0,VLOOKUP($Z26,'Asset Master'!$A:$J,6,FALSE))</f>
        <v>300000</v>
      </c>
      <c r="AJ26" s="52">
        <f>IF(VLOOKUP($Z26,'Asset Master'!$A:$J,6,FALSE)*COUNTIF('Event Trigger'!$C:$C,'Year 1 Results'!$Z26)&gt;SUMIF('Event Trigger'!$C:$C,$Z26,M:M),0,VLOOKUP($Z26,'Asset Master'!$A:$J,6,FALSE))</f>
        <v>300000</v>
      </c>
    </row>
    <row r="27" spans="1:36" x14ac:dyDescent="0.25">
      <c r="A27" s="37" t="str">
        <f>'Risk Master'!B27:B163&amp;"-"&amp;'Risk Master'!D27</f>
        <v>Earthquake-Mumbai</v>
      </c>
      <c r="B27" s="37" t="str">
        <f>'Input Sheet year 2'!B28</f>
        <v>Earthquake-Mumbai</v>
      </c>
      <c r="C27" s="29" t="str">
        <f>'Risk Master'!F27</f>
        <v>A9</v>
      </c>
      <c r="D27" s="73">
        <f>'Risk Master'!$G27*-1+('Risk Master'!$G27*'Event Trigger'!$D27*(1-'Input Sheet year 1'!H28))</f>
        <v>0</v>
      </c>
      <c r="E27" s="73">
        <f>'Risk Master'!$G27*-1+('Risk Master'!$G27*'Event Trigger'!$D27*(1-'Input Sheet year 2'!I28))</f>
        <v>0</v>
      </c>
      <c r="F27" s="73">
        <f>'Risk Master'!$G27*-1+('Risk Master'!$G27*'Event Trigger'!$D27*(1-'Input Sheet year 2'!J28))</f>
        <v>0</v>
      </c>
      <c r="G27" s="73">
        <f>'Risk Master'!$G27*-1+('Risk Master'!$G27*'Event Trigger'!$D27*(1-'Input Sheet year 2'!K28))</f>
        <v>0</v>
      </c>
      <c r="H27" s="73">
        <f>'Risk Master'!$G27*-1+('Risk Master'!$G27*'Event Trigger'!$D27*(1-'Input Sheet year 2'!L28))</f>
        <v>300000</v>
      </c>
      <c r="I27" s="73">
        <f>'Risk Master'!$G27*-1+('Risk Master'!$G27*'Event Trigger'!$D27*(1-'Input Sheet year 2'!M28))</f>
        <v>0</v>
      </c>
      <c r="J27" s="73">
        <f>'Risk Master'!$G27*-1+('Risk Master'!$G27*'Event Trigger'!$D27*(1-'Input Sheet year 2'!N28))</f>
        <v>300000</v>
      </c>
      <c r="K27" s="73">
        <f>'Risk Master'!$G27*-1+('Risk Master'!$G27*'Event Trigger'!$D27*(1-'Input Sheet year 2'!O28))</f>
        <v>0</v>
      </c>
      <c r="L27" s="73">
        <f>'Risk Master'!$G27*-1+('Risk Master'!$G27*'Event Trigger'!$D27*(1-'Input Sheet year 2'!P28))</f>
        <v>300000</v>
      </c>
      <c r="M27" s="73">
        <f>'Risk Master'!$G27*-1+('Risk Master'!$G27*'Event Trigger'!$D27*(1-'Input Sheet year 2'!Q28))</f>
        <v>0</v>
      </c>
      <c r="N27" s="88"/>
      <c r="O27" s="88">
        <f t="shared" si="0"/>
        <v>0</v>
      </c>
      <c r="P27" s="88">
        <f t="shared" si="1"/>
        <v>0</v>
      </c>
      <c r="Q27" s="88">
        <f t="shared" si="2"/>
        <v>0</v>
      </c>
      <c r="R27" s="88">
        <f t="shared" si="3"/>
        <v>0</v>
      </c>
      <c r="S27" s="88">
        <f t="shared" si="4"/>
        <v>0</v>
      </c>
      <c r="T27" s="88">
        <f t="shared" si="5"/>
        <v>0</v>
      </c>
      <c r="U27" s="88">
        <f t="shared" si="6"/>
        <v>0</v>
      </c>
      <c r="V27" s="88">
        <f t="shared" si="7"/>
        <v>0</v>
      </c>
      <c r="W27" s="88">
        <f t="shared" si="8"/>
        <v>0</v>
      </c>
      <c r="X27" s="88">
        <f t="shared" si="9"/>
        <v>0</v>
      </c>
      <c r="Z27" s="51" t="s">
        <v>99</v>
      </c>
      <c r="AA27" s="52">
        <f>IF(VLOOKUP($Z27,'Asset Master'!$A:$J,6,FALSE)*COUNTIF('Event Trigger'!$C:$C,'Year 1 Results'!$Z27)&gt;SUMIF('Event Trigger'!$C:$C,$Z27,D:D),0,VLOOKUP($Z27,'Asset Master'!$A:$J,6,FALSE))</f>
        <v>0</v>
      </c>
      <c r="AB27" s="52">
        <f>IF(VLOOKUP($Z27,'Asset Master'!$A:$J,6,FALSE)*COUNTIF('Event Trigger'!$C:$C,'Year 1 Results'!$Z27)&gt;SUMIF('Event Trigger'!$C:$C,$Z27,E:E),0,VLOOKUP($Z27,'Asset Master'!$A:$J,6,FALSE))</f>
        <v>0</v>
      </c>
      <c r="AC27" s="52">
        <f>IF(VLOOKUP($Z27,'Asset Master'!$A:$J,6,FALSE)*COUNTIF('Event Trigger'!$C:$C,'Year 1 Results'!$Z27)&gt;SUMIF('Event Trigger'!$C:$C,$Z27,F:F),0,VLOOKUP($Z27,'Asset Master'!$A:$J,6,FALSE))</f>
        <v>0</v>
      </c>
      <c r="AD27" s="52">
        <f>IF(VLOOKUP($Z27,'Asset Master'!$A:$J,6,FALSE)*COUNTIF('Event Trigger'!$C:$C,'Year 1 Results'!$Z27)&gt;SUMIF('Event Trigger'!$C:$C,$Z27,G:G),0,VLOOKUP($Z27,'Asset Master'!$A:$J,6,FALSE))</f>
        <v>0</v>
      </c>
      <c r="AE27" s="52">
        <f>IF(VLOOKUP($Z27,'Asset Master'!$A:$J,6,FALSE)*COUNTIF('Event Trigger'!$C:$C,'Year 1 Results'!$Z27)&gt;SUMIF('Event Trigger'!$C:$C,$Z27,H:H),0,VLOOKUP($Z27,'Asset Master'!$A:$J,6,FALSE))</f>
        <v>0</v>
      </c>
      <c r="AF27" s="52">
        <f>IF(VLOOKUP($Z27,'Asset Master'!$A:$J,6,FALSE)*COUNTIF('Event Trigger'!$C:$C,'Year 1 Results'!$Z27)&gt;SUMIF('Event Trigger'!$C:$C,$Z27,I:I),0,VLOOKUP($Z27,'Asset Master'!$A:$J,6,FALSE))</f>
        <v>0</v>
      </c>
      <c r="AG27" s="52">
        <f>IF(VLOOKUP($Z27,'Asset Master'!$A:$J,6,FALSE)*COUNTIF('Event Trigger'!$C:$C,'Year 1 Results'!$Z27)&gt;SUMIF('Event Trigger'!$C:$C,$Z27,J:J),0,VLOOKUP($Z27,'Asset Master'!$A:$J,6,FALSE))</f>
        <v>0</v>
      </c>
      <c r="AH27" s="52">
        <f>IF(VLOOKUP($Z27,'Asset Master'!$A:$J,6,FALSE)*COUNTIF('Event Trigger'!$C:$C,'Year 1 Results'!$Z27)&gt;SUMIF('Event Trigger'!$C:$C,$Z27,K:K),0,VLOOKUP($Z27,'Asset Master'!$A:$J,6,FALSE))</f>
        <v>0</v>
      </c>
      <c r="AI27" s="52">
        <f>IF(VLOOKUP($Z27,'Asset Master'!$A:$J,6,FALSE)*COUNTIF('Event Trigger'!$C:$C,'Year 1 Results'!$Z27)&gt;SUMIF('Event Trigger'!$C:$C,$Z27,L:L),0,VLOOKUP($Z27,'Asset Master'!$A:$J,6,FALSE))</f>
        <v>0</v>
      </c>
      <c r="AJ27" s="52">
        <f>IF(VLOOKUP($Z27,'Asset Master'!$A:$J,6,FALSE)*COUNTIF('Event Trigger'!$C:$C,'Year 1 Results'!$Z27)&gt;SUMIF('Event Trigger'!$C:$C,$Z27,M:M),0,VLOOKUP($Z27,'Asset Master'!$A:$J,6,FALSE))</f>
        <v>0</v>
      </c>
    </row>
    <row r="28" spans="1:36" x14ac:dyDescent="0.25">
      <c r="A28" s="37" t="str">
        <f>'Risk Master'!B28:B164&amp;"-"&amp;'Risk Master'!D28</f>
        <v>Fire-Mumbai</v>
      </c>
      <c r="B28" s="37" t="str">
        <f>'Input Sheet year 2'!B29</f>
        <v>Fire-Mumbai</v>
      </c>
      <c r="C28" s="29" t="str">
        <f>'Risk Master'!F28</f>
        <v>A9</v>
      </c>
      <c r="D28" s="73">
        <f>'Risk Master'!$G28*-1+('Risk Master'!$G28*'Event Trigger'!$D28*(1-'Input Sheet year 1'!H29))</f>
        <v>300000</v>
      </c>
      <c r="E28" s="73">
        <f>'Risk Master'!$G28*-1+('Risk Master'!$G28*'Event Trigger'!$D28*(1-'Input Sheet year 2'!I29))</f>
        <v>300000</v>
      </c>
      <c r="F28" s="73">
        <f>'Risk Master'!$G28*-1+('Risk Master'!$G28*'Event Trigger'!$D28*(1-'Input Sheet year 2'!J29))</f>
        <v>300000</v>
      </c>
      <c r="G28" s="73">
        <f>'Risk Master'!$G28*-1+('Risk Master'!$G28*'Event Trigger'!$D28*(1-'Input Sheet year 2'!K29))</f>
        <v>300000</v>
      </c>
      <c r="H28" s="73">
        <f>'Risk Master'!$G28*-1+('Risk Master'!$G28*'Event Trigger'!$D28*(1-'Input Sheet year 2'!L29))</f>
        <v>300000</v>
      </c>
      <c r="I28" s="73">
        <f>'Risk Master'!$G28*-1+('Risk Master'!$G28*'Event Trigger'!$D28*(1-'Input Sheet year 2'!M29))</f>
        <v>300000</v>
      </c>
      <c r="J28" s="73">
        <f>'Risk Master'!$G28*-1+('Risk Master'!$G28*'Event Trigger'!$D28*(1-'Input Sheet year 2'!N29))</f>
        <v>300000</v>
      </c>
      <c r="K28" s="73">
        <f>'Risk Master'!$G28*-1+('Risk Master'!$G28*'Event Trigger'!$D28*(1-'Input Sheet year 2'!O29))</f>
        <v>300000</v>
      </c>
      <c r="L28" s="73">
        <f>'Risk Master'!$G28*-1+('Risk Master'!$G28*'Event Trigger'!$D28*(1-'Input Sheet year 2'!P29))</f>
        <v>300000</v>
      </c>
      <c r="M28" s="73">
        <f>'Risk Master'!$G28*-1+('Risk Master'!$G28*'Event Trigger'!$D28*(1-'Input Sheet year 2'!Q29))</f>
        <v>300000</v>
      </c>
      <c r="N28" s="88"/>
      <c r="O28" s="88">
        <f t="shared" si="0"/>
        <v>0</v>
      </c>
      <c r="P28" s="88">
        <f t="shared" si="1"/>
        <v>0</v>
      </c>
      <c r="Q28" s="88">
        <f t="shared" si="2"/>
        <v>0</v>
      </c>
      <c r="R28" s="88">
        <f t="shared" si="3"/>
        <v>0</v>
      </c>
      <c r="S28" s="88">
        <f t="shared" si="4"/>
        <v>0</v>
      </c>
      <c r="T28" s="88">
        <f t="shared" si="5"/>
        <v>0</v>
      </c>
      <c r="U28" s="88">
        <f t="shared" si="6"/>
        <v>0</v>
      </c>
      <c r="V28" s="88">
        <f t="shared" si="7"/>
        <v>0</v>
      </c>
      <c r="W28" s="88">
        <f t="shared" si="8"/>
        <v>0</v>
      </c>
      <c r="X28" s="88">
        <f t="shared" si="9"/>
        <v>0</v>
      </c>
      <c r="Z28" s="51" t="s">
        <v>100</v>
      </c>
      <c r="AA28" s="52">
        <f>IF(VLOOKUP($Z28,'Asset Master'!$A:$J,6,FALSE)*COUNTIF('Event Trigger'!$C:$C,'Year 1 Results'!$Z28)&gt;SUMIF('Event Trigger'!$C:$C,$Z28,D:D),0,VLOOKUP($Z28,'Asset Master'!$A:$J,6,FALSE))</f>
        <v>0</v>
      </c>
      <c r="AB28" s="52">
        <f>IF(VLOOKUP($Z28,'Asset Master'!$A:$J,6,FALSE)*COUNTIF('Event Trigger'!$C:$C,'Year 1 Results'!$Z28)&gt;SUMIF('Event Trigger'!$C:$C,$Z28,E:E),0,VLOOKUP($Z28,'Asset Master'!$A:$J,6,FALSE))</f>
        <v>0</v>
      </c>
      <c r="AC28" s="52">
        <f>IF(VLOOKUP($Z28,'Asset Master'!$A:$J,6,FALSE)*COUNTIF('Event Trigger'!$C:$C,'Year 1 Results'!$Z28)&gt;SUMIF('Event Trigger'!$C:$C,$Z28,F:F),0,VLOOKUP($Z28,'Asset Master'!$A:$J,6,FALSE))</f>
        <v>0</v>
      </c>
      <c r="AD28" s="52">
        <f>IF(VLOOKUP($Z28,'Asset Master'!$A:$J,6,FALSE)*COUNTIF('Event Trigger'!$C:$C,'Year 1 Results'!$Z28)&gt;SUMIF('Event Trigger'!$C:$C,$Z28,G:G),0,VLOOKUP($Z28,'Asset Master'!$A:$J,6,FALSE))</f>
        <v>0</v>
      </c>
      <c r="AE28" s="52">
        <f>IF(VLOOKUP($Z28,'Asset Master'!$A:$J,6,FALSE)*COUNTIF('Event Trigger'!$C:$C,'Year 1 Results'!$Z28)&gt;SUMIF('Event Trigger'!$C:$C,$Z28,H:H),0,VLOOKUP($Z28,'Asset Master'!$A:$J,6,FALSE))</f>
        <v>0</v>
      </c>
      <c r="AF28" s="52">
        <f>IF(VLOOKUP($Z28,'Asset Master'!$A:$J,6,FALSE)*COUNTIF('Event Trigger'!$C:$C,'Year 1 Results'!$Z28)&gt;SUMIF('Event Trigger'!$C:$C,$Z28,I:I),0,VLOOKUP($Z28,'Asset Master'!$A:$J,6,FALSE))</f>
        <v>0</v>
      </c>
      <c r="AG28" s="52">
        <f>IF(VLOOKUP($Z28,'Asset Master'!$A:$J,6,FALSE)*COUNTIF('Event Trigger'!$C:$C,'Year 1 Results'!$Z28)&gt;SUMIF('Event Trigger'!$C:$C,$Z28,J:J),0,VLOOKUP($Z28,'Asset Master'!$A:$J,6,FALSE))</f>
        <v>0</v>
      </c>
      <c r="AH28" s="52">
        <f>IF(VLOOKUP($Z28,'Asset Master'!$A:$J,6,FALSE)*COUNTIF('Event Trigger'!$C:$C,'Year 1 Results'!$Z28)&gt;SUMIF('Event Trigger'!$C:$C,$Z28,K:K),0,VLOOKUP($Z28,'Asset Master'!$A:$J,6,FALSE))</f>
        <v>0</v>
      </c>
      <c r="AI28" s="52">
        <f>IF(VLOOKUP($Z28,'Asset Master'!$A:$J,6,FALSE)*COUNTIF('Event Trigger'!$C:$C,'Year 1 Results'!$Z28)&gt;SUMIF('Event Trigger'!$C:$C,$Z28,L:L),0,VLOOKUP($Z28,'Asset Master'!$A:$J,6,FALSE))</f>
        <v>0</v>
      </c>
      <c r="AJ28" s="52">
        <f>IF(VLOOKUP($Z28,'Asset Master'!$A:$J,6,FALSE)*COUNTIF('Event Trigger'!$C:$C,'Year 1 Results'!$Z28)&gt;SUMIF('Event Trigger'!$C:$C,$Z28,M:M),0,VLOOKUP($Z28,'Asset Master'!$A:$J,6,FALSE))</f>
        <v>0</v>
      </c>
    </row>
    <row r="29" spans="1:36" x14ac:dyDescent="0.25">
      <c r="A29" s="37" t="str">
        <f>'Risk Master'!B29:B165&amp;"-"&amp;'Risk Master'!D29</f>
        <v>Typhoon-Mumbai</v>
      </c>
      <c r="B29" s="37" t="str">
        <f>'Input Sheet year 2'!B30</f>
        <v>Typhoon-Mumbai</v>
      </c>
      <c r="C29" s="29" t="str">
        <f>'Risk Master'!F29</f>
        <v>A9</v>
      </c>
      <c r="D29" s="73">
        <f>'Risk Master'!$G29*-1+('Risk Master'!$G29*'Event Trigger'!$D29*(1-'Input Sheet year 1'!H30))</f>
        <v>0</v>
      </c>
      <c r="E29" s="73">
        <f>'Risk Master'!$G29*-1+('Risk Master'!$G29*'Event Trigger'!$D29*(1-'Input Sheet year 2'!I30))</f>
        <v>0</v>
      </c>
      <c r="F29" s="73">
        <f>'Risk Master'!$G29*-1+('Risk Master'!$G29*'Event Trigger'!$D29*(1-'Input Sheet year 2'!J30))</f>
        <v>0</v>
      </c>
      <c r="G29" s="73">
        <f>'Risk Master'!$G29*-1+('Risk Master'!$G29*'Event Trigger'!$D29*(1-'Input Sheet year 2'!K30))</f>
        <v>0</v>
      </c>
      <c r="H29" s="73">
        <f>'Risk Master'!$G29*-1+('Risk Master'!$G29*'Event Trigger'!$D29*(1-'Input Sheet year 2'!L30))</f>
        <v>0</v>
      </c>
      <c r="I29" s="73">
        <f>'Risk Master'!$G29*-1+('Risk Master'!$G29*'Event Trigger'!$D29*(1-'Input Sheet year 2'!M30))</f>
        <v>0</v>
      </c>
      <c r="J29" s="73">
        <f>'Risk Master'!$G29*-1+('Risk Master'!$G29*'Event Trigger'!$D29*(1-'Input Sheet year 2'!N30))</f>
        <v>0</v>
      </c>
      <c r="K29" s="73">
        <f>'Risk Master'!$G29*-1+('Risk Master'!$G29*'Event Trigger'!$D29*(1-'Input Sheet year 2'!O30))</f>
        <v>0</v>
      </c>
      <c r="L29" s="73">
        <f>'Risk Master'!$G29*-1+('Risk Master'!$G29*'Event Trigger'!$D29*(1-'Input Sheet year 2'!P30))</f>
        <v>0</v>
      </c>
      <c r="M29" s="73">
        <f>'Risk Master'!$G29*-1+('Risk Master'!$G29*'Event Trigger'!$D29*(1-'Input Sheet year 2'!Q30))</f>
        <v>0</v>
      </c>
      <c r="N29" s="88"/>
      <c r="O29" s="88">
        <f t="shared" si="0"/>
        <v>0</v>
      </c>
      <c r="P29" s="88">
        <f t="shared" si="1"/>
        <v>0</v>
      </c>
      <c r="Q29" s="88">
        <f t="shared" si="2"/>
        <v>0</v>
      </c>
      <c r="R29" s="88">
        <f t="shared" si="3"/>
        <v>0</v>
      </c>
      <c r="S29" s="88">
        <f t="shared" si="4"/>
        <v>0</v>
      </c>
      <c r="T29" s="88">
        <f t="shared" si="5"/>
        <v>0</v>
      </c>
      <c r="U29" s="88">
        <f t="shared" si="6"/>
        <v>0</v>
      </c>
      <c r="V29" s="88">
        <f t="shared" si="7"/>
        <v>0</v>
      </c>
      <c r="W29" s="88">
        <f t="shared" si="8"/>
        <v>0</v>
      </c>
      <c r="X29" s="88">
        <f t="shared" si="9"/>
        <v>0</v>
      </c>
      <c r="Z29" s="51" t="s">
        <v>101</v>
      </c>
      <c r="AA29" s="52">
        <f>IF(VLOOKUP($Z29,'Asset Master'!$A:$J,6,FALSE)*COUNTIF('Event Trigger'!$C:$C,'Year 1 Results'!$Z29)&gt;SUMIF('Event Trigger'!$C:$C,$Z29,D:D),0,VLOOKUP($Z29,'Asset Master'!$A:$J,6,FALSE))</f>
        <v>400000</v>
      </c>
      <c r="AB29" s="52">
        <f>IF(VLOOKUP($Z29,'Asset Master'!$A:$J,6,FALSE)*COUNTIF('Event Trigger'!$C:$C,'Year 1 Results'!$Z29)&gt;SUMIF('Event Trigger'!$C:$C,$Z29,E:E),0,VLOOKUP($Z29,'Asset Master'!$A:$J,6,FALSE))</f>
        <v>400000</v>
      </c>
      <c r="AC29" s="52">
        <f>IF(VLOOKUP($Z29,'Asset Master'!$A:$J,6,FALSE)*COUNTIF('Event Trigger'!$C:$C,'Year 1 Results'!$Z29)&gt;SUMIF('Event Trigger'!$C:$C,$Z29,F:F),0,VLOOKUP($Z29,'Asset Master'!$A:$J,6,FALSE))</f>
        <v>400000</v>
      </c>
      <c r="AD29" s="52">
        <f>IF(VLOOKUP($Z29,'Asset Master'!$A:$J,6,FALSE)*COUNTIF('Event Trigger'!$C:$C,'Year 1 Results'!$Z29)&gt;SUMIF('Event Trigger'!$C:$C,$Z29,G:G),0,VLOOKUP($Z29,'Asset Master'!$A:$J,6,FALSE))</f>
        <v>400000</v>
      </c>
      <c r="AE29" s="52">
        <f>IF(VLOOKUP($Z29,'Asset Master'!$A:$J,6,FALSE)*COUNTIF('Event Trigger'!$C:$C,'Year 1 Results'!$Z29)&gt;SUMIF('Event Trigger'!$C:$C,$Z29,H:H),0,VLOOKUP($Z29,'Asset Master'!$A:$J,6,FALSE))</f>
        <v>400000</v>
      </c>
      <c r="AF29" s="52">
        <f>IF(VLOOKUP($Z29,'Asset Master'!$A:$J,6,FALSE)*COUNTIF('Event Trigger'!$C:$C,'Year 1 Results'!$Z29)&gt;SUMIF('Event Trigger'!$C:$C,$Z29,I:I),0,VLOOKUP($Z29,'Asset Master'!$A:$J,6,FALSE))</f>
        <v>400000</v>
      </c>
      <c r="AG29" s="52">
        <f>IF(VLOOKUP($Z29,'Asset Master'!$A:$J,6,FALSE)*COUNTIF('Event Trigger'!$C:$C,'Year 1 Results'!$Z29)&gt;SUMIF('Event Trigger'!$C:$C,$Z29,J:J),0,VLOOKUP($Z29,'Asset Master'!$A:$J,6,FALSE))</f>
        <v>400000</v>
      </c>
      <c r="AH29" s="52">
        <f>IF(VLOOKUP($Z29,'Asset Master'!$A:$J,6,FALSE)*COUNTIF('Event Trigger'!$C:$C,'Year 1 Results'!$Z29)&gt;SUMIF('Event Trigger'!$C:$C,$Z29,K:K),0,VLOOKUP($Z29,'Asset Master'!$A:$J,6,FALSE))</f>
        <v>400000</v>
      </c>
      <c r="AI29" s="52">
        <f>IF(VLOOKUP($Z29,'Asset Master'!$A:$J,6,FALSE)*COUNTIF('Event Trigger'!$C:$C,'Year 1 Results'!$Z29)&gt;SUMIF('Event Trigger'!$C:$C,$Z29,L:L),0,VLOOKUP($Z29,'Asset Master'!$A:$J,6,FALSE))</f>
        <v>400000</v>
      </c>
      <c r="AJ29" s="52">
        <f>IF(VLOOKUP($Z29,'Asset Master'!$A:$J,6,FALSE)*COUNTIF('Event Trigger'!$C:$C,'Year 1 Results'!$Z29)&gt;SUMIF('Event Trigger'!$C:$C,$Z29,M:M),0,VLOOKUP($Z29,'Asset Master'!$A:$J,6,FALSE))</f>
        <v>400000</v>
      </c>
    </row>
    <row r="30" spans="1:36" ht="25.5" x14ac:dyDescent="0.25">
      <c r="A30" s="37" t="str">
        <f>'Risk Master'!B30:B166&amp;"-"&amp;'Risk Master'!D30</f>
        <v>Thunderstorms, Tornados &amp; Hail-Mumbai</v>
      </c>
      <c r="B30" s="37" t="str">
        <f>'Input Sheet year 2'!B31</f>
        <v>Thunderstorms, Tornados &amp; Hail-Mumbai</v>
      </c>
      <c r="C30" s="29" t="str">
        <f>'Risk Master'!F30</f>
        <v>A9</v>
      </c>
      <c r="D30" s="73">
        <f>'Risk Master'!$G30*-1+('Risk Master'!$G30*'Event Trigger'!$D30*(1-'Input Sheet year 1'!H31))</f>
        <v>300000</v>
      </c>
      <c r="E30" s="73">
        <f>'Risk Master'!$G30*-1+('Risk Master'!$G30*'Event Trigger'!$D30*(1-'Input Sheet year 2'!I31))</f>
        <v>300000</v>
      </c>
      <c r="F30" s="73">
        <f>'Risk Master'!$G30*-1+('Risk Master'!$G30*'Event Trigger'!$D30*(1-'Input Sheet year 2'!J31))</f>
        <v>300000</v>
      </c>
      <c r="G30" s="73">
        <f>'Risk Master'!$G30*-1+('Risk Master'!$G30*'Event Trigger'!$D30*(1-'Input Sheet year 2'!K31))</f>
        <v>300000</v>
      </c>
      <c r="H30" s="73">
        <f>'Risk Master'!$G30*-1+('Risk Master'!$G30*'Event Trigger'!$D30*(1-'Input Sheet year 2'!L31))</f>
        <v>300000</v>
      </c>
      <c r="I30" s="73">
        <f>'Risk Master'!$G30*-1+('Risk Master'!$G30*'Event Trigger'!$D30*(1-'Input Sheet year 2'!M31))</f>
        <v>300000</v>
      </c>
      <c r="J30" s="73">
        <f>'Risk Master'!$G30*-1+('Risk Master'!$G30*'Event Trigger'!$D30*(1-'Input Sheet year 2'!N31))</f>
        <v>300000</v>
      </c>
      <c r="K30" s="73">
        <f>'Risk Master'!$G30*-1+('Risk Master'!$G30*'Event Trigger'!$D30*(1-'Input Sheet year 2'!O31))</f>
        <v>300000</v>
      </c>
      <c r="L30" s="73">
        <f>'Risk Master'!$G30*-1+('Risk Master'!$G30*'Event Trigger'!$D30*(1-'Input Sheet year 2'!P31))</f>
        <v>300000</v>
      </c>
      <c r="M30" s="73">
        <f>'Risk Master'!$G30*-1+('Risk Master'!$G30*'Event Trigger'!$D30*(1-'Input Sheet year 2'!Q31))</f>
        <v>300000</v>
      </c>
      <c r="N30" s="88"/>
      <c r="O30" s="88">
        <f t="shared" si="0"/>
        <v>0</v>
      </c>
      <c r="P30" s="88">
        <f t="shared" si="1"/>
        <v>0</v>
      </c>
      <c r="Q30" s="88">
        <f t="shared" si="2"/>
        <v>0</v>
      </c>
      <c r="R30" s="88">
        <f t="shared" si="3"/>
        <v>0</v>
      </c>
      <c r="S30" s="88">
        <f t="shared" si="4"/>
        <v>0</v>
      </c>
      <c r="T30" s="88">
        <f t="shared" si="5"/>
        <v>0</v>
      </c>
      <c r="U30" s="88">
        <f t="shared" si="6"/>
        <v>0</v>
      </c>
      <c r="V30" s="88">
        <f t="shared" si="7"/>
        <v>0</v>
      </c>
      <c r="W30" s="88">
        <f t="shared" si="8"/>
        <v>0</v>
      </c>
      <c r="X30" s="88">
        <f t="shared" si="9"/>
        <v>0</v>
      </c>
      <c r="Z30" s="51" t="s">
        <v>102</v>
      </c>
      <c r="AA30" s="52">
        <f>IF(VLOOKUP($Z30,'Asset Master'!$A:$J,6,FALSE)*COUNTIF('Event Trigger'!$C:$C,'Year 1 Results'!$Z30)&gt;SUMIF('Event Trigger'!$C:$C,$Z30,D:D),0,VLOOKUP($Z30,'Asset Master'!$A:$J,6,FALSE))</f>
        <v>0</v>
      </c>
      <c r="AB30" s="52">
        <f>IF(VLOOKUP($Z30,'Asset Master'!$A:$J,6,FALSE)*COUNTIF('Event Trigger'!$C:$C,'Year 1 Results'!$Z30)&gt;SUMIF('Event Trigger'!$C:$C,$Z30,E:E),0,VLOOKUP($Z30,'Asset Master'!$A:$J,6,FALSE))</f>
        <v>0</v>
      </c>
      <c r="AC30" s="52">
        <f>IF(VLOOKUP($Z30,'Asset Master'!$A:$J,6,FALSE)*COUNTIF('Event Trigger'!$C:$C,'Year 1 Results'!$Z30)&gt;SUMIF('Event Trigger'!$C:$C,$Z30,F:F),0,VLOOKUP($Z30,'Asset Master'!$A:$J,6,FALSE))</f>
        <v>0</v>
      </c>
      <c r="AD30" s="52">
        <f>IF(VLOOKUP($Z30,'Asset Master'!$A:$J,6,FALSE)*COUNTIF('Event Trigger'!$C:$C,'Year 1 Results'!$Z30)&gt;SUMIF('Event Trigger'!$C:$C,$Z30,G:G),0,VLOOKUP($Z30,'Asset Master'!$A:$J,6,FALSE))</f>
        <v>0</v>
      </c>
      <c r="AE30" s="52">
        <f>IF(VLOOKUP($Z30,'Asset Master'!$A:$J,6,FALSE)*COUNTIF('Event Trigger'!$C:$C,'Year 1 Results'!$Z30)&gt;SUMIF('Event Trigger'!$C:$C,$Z30,H:H),0,VLOOKUP($Z30,'Asset Master'!$A:$J,6,FALSE))</f>
        <v>0</v>
      </c>
      <c r="AF30" s="52">
        <f>IF(VLOOKUP($Z30,'Asset Master'!$A:$J,6,FALSE)*COUNTIF('Event Trigger'!$C:$C,'Year 1 Results'!$Z30)&gt;SUMIF('Event Trigger'!$C:$C,$Z30,I:I),0,VLOOKUP($Z30,'Asset Master'!$A:$J,6,FALSE))</f>
        <v>0</v>
      </c>
      <c r="AG30" s="52">
        <f>IF(VLOOKUP($Z30,'Asset Master'!$A:$J,6,FALSE)*COUNTIF('Event Trigger'!$C:$C,'Year 1 Results'!$Z30)&gt;SUMIF('Event Trigger'!$C:$C,$Z30,J:J),0,VLOOKUP($Z30,'Asset Master'!$A:$J,6,FALSE))</f>
        <v>0</v>
      </c>
      <c r="AH30" s="52">
        <f>IF(VLOOKUP($Z30,'Asset Master'!$A:$J,6,FALSE)*COUNTIF('Event Trigger'!$C:$C,'Year 1 Results'!$Z30)&gt;SUMIF('Event Trigger'!$C:$C,$Z30,K:K),0,VLOOKUP($Z30,'Asset Master'!$A:$J,6,FALSE))</f>
        <v>0</v>
      </c>
      <c r="AI30" s="52">
        <f>IF(VLOOKUP($Z30,'Asset Master'!$A:$J,6,FALSE)*COUNTIF('Event Trigger'!$C:$C,'Year 1 Results'!$Z30)&gt;SUMIF('Event Trigger'!$C:$C,$Z30,L:L),0,VLOOKUP($Z30,'Asset Master'!$A:$J,6,FALSE))</f>
        <v>0</v>
      </c>
      <c r="AJ30" s="52">
        <f>IF(VLOOKUP($Z30,'Asset Master'!$A:$J,6,FALSE)*COUNTIF('Event Trigger'!$C:$C,'Year 1 Results'!$Z30)&gt;SUMIF('Event Trigger'!$C:$C,$Z30,M:M),0,VLOOKUP($Z30,'Asset Master'!$A:$J,6,FALSE))</f>
        <v>0</v>
      </c>
    </row>
    <row r="31" spans="1:36" x14ac:dyDescent="0.25">
      <c r="A31" s="37" t="str">
        <f>'Risk Master'!B31:B167&amp;"-"&amp;'Risk Master'!D31</f>
        <v>Tsunami-Mumbai</v>
      </c>
      <c r="B31" s="37" t="str">
        <f>'Input Sheet year 2'!B32</f>
        <v>Tsunami-Mumbai</v>
      </c>
      <c r="C31" s="29" t="str">
        <f>'Risk Master'!F31</f>
        <v>A9</v>
      </c>
      <c r="D31" s="73">
        <f>'Risk Master'!$G31*-1+('Risk Master'!$G31*'Event Trigger'!$D31*(1-'Input Sheet year 1'!H32))</f>
        <v>300000</v>
      </c>
      <c r="E31" s="73">
        <f>'Risk Master'!$G31*-1+('Risk Master'!$G31*'Event Trigger'!$D31*(1-'Input Sheet year 2'!I32))</f>
        <v>300000</v>
      </c>
      <c r="F31" s="73">
        <f>'Risk Master'!$G31*-1+('Risk Master'!$G31*'Event Trigger'!$D31*(1-'Input Sheet year 2'!J32))</f>
        <v>300000</v>
      </c>
      <c r="G31" s="73">
        <f>'Risk Master'!$G31*-1+('Risk Master'!$G31*'Event Trigger'!$D31*(1-'Input Sheet year 2'!K32))</f>
        <v>300000</v>
      </c>
      <c r="H31" s="73">
        <f>'Risk Master'!$G31*-1+('Risk Master'!$G31*'Event Trigger'!$D31*(1-'Input Sheet year 2'!L32))</f>
        <v>300000</v>
      </c>
      <c r="I31" s="73">
        <f>'Risk Master'!$G31*-1+('Risk Master'!$G31*'Event Trigger'!$D31*(1-'Input Sheet year 2'!M32))</f>
        <v>300000</v>
      </c>
      <c r="J31" s="73">
        <f>'Risk Master'!$G31*-1+('Risk Master'!$G31*'Event Trigger'!$D31*(1-'Input Sheet year 2'!N32))</f>
        <v>300000</v>
      </c>
      <c r="K31" s="73">
        <f>'Risk Master'!$G31*-1+('Risk Master'!$G31*'Event Trigger'!$D31*(1-'Input Sheet year 2'!O32))</f>
        <v>300000</v>
      </c>
      <c r="L31" s="73">
        <f>'Risk Master'!$G31*-1+('Risk Master'!$G31*'Event Trigger'!$D31*(1-'Input Sheet year 2'!P32))</f>
        <v>300000</v>
      </c>
      <c r="M31" s="73">
        <f>'Risk Master'!$G31*-1+('Risk Master'!$G31*'Event Trigger'!$D31*(1-'Input Sheet year 2'!Q32))</f>
        <v>300000</v>
      </c>
      <c r="N31" s="88"/>
      <c r="O31" s="88">
        <f t="shared" si="0"/>
        <v>0</v>
      </c>
      <c r="P31" s="88">
        <f t="shared" si="1"/>
        <v>0</v>
      </c>
      <c r="Q31" s="88">
        <f t="shared" si="2"/>
        <v>0</v>
      </c>
      <c r="R31" s="88">
        <f t="shared" si="3"/>
        <v>0</v>
      </c>
      <c r="S31" s="88">
        <f t="shared" si="4"/>
        <v>0</v>
      </c>
      <c r="T31" s="88">
        <f t="shared" si="5"/>
        <v>0</v>
      </c>
      <c r="U31" s="88">
        <f t="shared" si="6"/>
        <v>0</v>
      </c>
      <c r="V31" s="88">
        <f t="shared" si="7"/>
        <v>0</v>
      </c>
      <c r="W31" s="88">
        <f t="shared" si="8"/>
        <v>0</v>
      </c>
      <c r="X31" s="88">
        <f t="shared" si="9"/>
        <v>0</v>
      </c>
      <c r="Z31" s="51" t="s">
        <v>103</v>
      </c>
      <c r="AA31" s="52">
        <f>IF(VLOOKUP($Z31,'Asset Master'!$A:$J,6,FALSE)*COUNTIF('Event Trigger'!$C:$C,'Year 1 Results'!$Z31)&gt;SUMIF('Event Trigger'!$C:$C,$Z31,D:D),0,VLOOKUP($Z31,'Asset Master'!$A:$J,6,FALSE))</f>
        <v>200000</v>
      </c>
      <c r="AB31" s="52">
        <f>IF(VLOOKUP($Z31,'Asset Master'!$A:$J,6,FALSE)*COUNTIF('Event Trigger'!$C:$C,'Year 1 Results'!$Z31)&gt;SUMIF('Event Trigger'!$C:$C,$Z31,E:E),0,VLOOKUP($Z31,'Asset Master'!$A:$J,6,FALSE))</f>
        <v>200000</v>
      </c>
      <c r="AC31" s="52">
        <f>IF(VLOOKUP($Z31,'Asset Master'!$A:$J,6,FALSE)*COUNTIF('Event Trigger'!$C:$C,'Year 1 Results'!$Z31)&gt;SUMIF('Event Trigger'!$C:$C,$Z31,F:F),0,VLOOKUP($Z31,'Asset Master'!$A:$J,6,FALSE))</f>
        <v>200000</v>
      </c>
      <c r="AD31" s="52">
        <f>IF(VLOOKUP($Z31,'Asset Master'!$A:$J,6,FALSE)*COUNTIF('Event Trigger'!$C:$C,'Year 1 Results'!$Z31)&gt;SUMIF('Event Trigger'!$C:$C,$Z31,G:G),0,VLOOKUP($Z31,'Asset Master'!$A:$J,6,FALSE))</f>
        <v>200000</v>
      </c>
      <c r="AE31" s="52">
        <f>IF(VLOOKUP($Z31,'Asset Master'!$A:$J,6,FALSE)*COUNTIF('Event Trigger'!$C:$C,'Year 1 Results'!$Z31)&gt;SUMIF('Event Trigger'!$C:$C,$Z31,H:H),0,VLOOKUP($Z31,'Asset Master'!$A:$J,6,FALSE))</f>
        <v>200000</v>
      </c>
      <c r="AF31" s="52">
        <f>IF(VLOOKUP($Z31,'Asset Master'!$A:$J,6,FALSE)*COUNTIF('Event Trigger'!$C:$C,'Year 1 Results'!$Z31)&gt;SUMIF('Event Trigger'!$C:$C,$Z31,I:I),0,VLOOKUP($Z31,'Asset Master'!$A:$J,6,FALSE))</f>
        <v>200000</v>
      </c>
      <c r="AG31" s="52">
        <f>IF(VLOOKUP($Z31,'Asset Master'!$A:$J,6,FALSE)*COUNTIF('Event Trigger'!$C:$C,'Year 1 Results'!$Z31)&gt;SUMIF('Event Trigger'!$C:$C,$Z31,J:J),0,VLOOKUP($Z31,'Asset Master'!$A:$J,6,FALSE))</f>
        <v>200000</v>
      </c>
      <c r="AH31" s="52">
        <f>IF(VLOOKUP($Z31,'Asset Master'!$A:$J,6,FALSE)*COUNTIF('Event Trigger'!$C:$C,'Year 1 Results'!$Z31)&gt;SUMIF('Event Trigger'!$C:$C,$Z31,K:K),0,VLOOKUP($Z31,'Asset Master'!$A:$J,6,FALSE))</f>
        <v>200000</v>
      </c>
      <c r="AI31" s="52">
        <f>IF(VLOOKUP($Z31,'Asset Master'!$A:$J,6,FALSE)*COUNTIF('Event Trigger'!$C:$C,'Year 1 Results'!$Z31)&gt;SUMIF('Event Trigger'!$C:$C,$Z31,L:L),0,VLOOKUP($Z31,'Asset Master'!$A:$J,6,FALSE))</f>
        <v>200000</v>
      </c>
      <c r="AJ31" s="52">
        <f>IF(VLOOKUP($Z31,'Asset Master'!$A:$J,6,FALSE)*COUNTIF('Event Trigger'!$C:$C,'Year 1 Results'!$Z31)&gt;SUMIF('Event Trigger'!$C:$C,$Z31,M:M),0,VLOOKUP($Z31,'Asset Master'!$A:$J,6,FALSE))</f>
        <v>200000</v>
      </c>
    </row>
    <row r="32" spans="1:36" ht="25.5" x14ac:dyDescent="0.25">
      <c r="A32" s="37" t="str">
        <f>'Risk Master'!B32:B168&amp;"-"&amp;'Risk Master'!D32</f>
        <v>High tide and high rainfalls leading to large floods-Mumbai</v>
      </c>
      <c r="B32" s="37" t="str">
        <f>'Input Sheet year 2'!B33</f>
        <v>Flood-Mumbai</v>
      </c>
      <c r="C32" s="29" t="str">
        <f>'Risk Master'!F32</f>
        <v>A10</v>
      </c>
      <c r="D32" s="73">
        <f>'Risk Master'!$G32*-1+('Risk Master'!$G32*'Event Trigger'!$D32*(1-'Input Sheet year 1'!H33))</f>
        <v>400000</v>
      </c>
      <c r="E32" s="73">
        <f>'Risk Master'!$G32*-1+('Risk Master'!$G32*'Event Trigger'!$D32*(1-'Input Sheet year 2'!I33))</f>
        <v>400000</v>
      </c>
      <c r="F32" s="73">
        <f>'Risk Master'!$G32*-1+('Risk Master'!$G32*'Event Trigger'!$D32*(1-'Input Sheet year 2'!J33))</f>
        <v>400000</v>
      </c>
      <c r="G32" s="73">
        <f>'Risk Master'!$G32*-1+('Risk Master'!$G32*'Event Trigger'!$D32*(1-'Input Sheet year 2'!K33))</f>
        <v>400000</v>
      </c>
      <c r="H32" s="73">
        <f>'Risk Master'!$G32*-1+('Risk Master'!$G32*'Event Trigger'!$D32*(1-'Input Sheet year 2'!L33))</f>
        <v>400000</v>
      </c>
      <c r="I32" s="73">
        <f>'Risk Master'!$G32*-1+('Risk Master'!$G32*'Event Trigger'!$D32*(1-'Input Sheet year 2'!M33))</f>
        <v>400000</v>
      </c>
      <c r="J32" s="73">
        <f>'Risk Master'!$G32*-1+('Risk Master'!$G32*'Event Trigger'!$D32*(1-'Input Sheet year 2'!N33))</f>
        <v>400000</v>
      </c>
      <c r="K32" s="73">
        <f>'Risk Master'!$G32*-1+('Risk Master'!$G32*'Event Trigger'!$D32*(1-'Input Sheet year 2'!O33))</f>
        <v>400000</v>
      </c>
      <c r="L32" s="73">
        <f>'Risk Master'!$G32*-1+('Risk Master'!$G32*'Event Trigger'!$D32*(1-'Input Sheet year 2'!P33))</f>
        <v>400000</v>
      </c>
      <c r="M32" s="73">
        <f>'Risk Master'!$G32*-1+('Risk Master'!$G32*'Event Trigger'!$D32*(1-'Input Sheet year 2'!Q33))</f>
        <v>400000</v>
      </c>
      <c r="N32" s="88"/>
      <c r="O32" s="88">
        <f t="shared" si="0"/>
        <v>0</v>
      </c>
      <c r="P32" s="88">
        <f t="shared" si="1"/>
        <v>0</v>
      </c>
      <c r="Q32" s="88">
        <f t="shared" si="2"/>
        <v>0</v>
      </c>
      <c r="R32" s="88">
        <f t="shared" si="3"/>
        <v>0</v>
      </c>
      <c r="S32" s="88">
        <f t="shared" si="4"/>
        <v>0</v>
      </c>
      <c r="T32" s="88">
        <f t="shared" si="5"/>
        <v>0</v>
      </c>
      <c r="U32" s="88">
        <f t="shared" si="6"/>
        <v>0</v>
      </c>
      <c r="V32" s="88">
        <f t="shared" si="7"/>
        <v>0</v>
      </c>
      <c r="W32" s="88">
        <f t="shared" si="8"/>
        <v>0</v>
      </c>
      <c r="X32" s="88">
        <f t="shared" si="9"/>
        <v>0</v>
      </c>
      <c r="Z32" s="51" t="s">
        <v>104</v>
      </c>
      <c r="AA32" s="52">
        <f>IF(VLOOKUP($Z32,'Asset Master'!$A:$J,6,FALSE)*COUNTIF('Event Trigger'!$C:$C,'Year 1 Results'!$Z32)&gt;SUMIF('Event Trigger'!$C:$C,$Z32,D:D),0,VLOOKUP($Z32,'Asset Master'!$A:$J,6,FALSE))</f>
        <v>0</v>
      </c>
      <c r="AB32" s="52">
        <f>IF(VLOOKUP($Z32,'Asset Master'!$A:$J,6,FALSE)*COUNTIF('Event Trigger'!$C:$C,'Year 1 Results'!$Z32)&gt;SUMIF('Event Trigger'!$C:$C,$Z32,E:E),0,VLOOKUP($Z32,'Asset Master'!$A:$J,6,FALSE))</f>
        <v>0</v>
      </c>
      <c r="AC32" s="52">
        <f>IF(VLOOKUP($Z32,'Asset Master'!$A:$J,6,FALSE)*COUNTIF('Event Trigger'!$C:$C,'Year 1 Results'!$Z32)&gt;SUMIF('Event Trigger'!$C:$C,$Z32,F:F),0,VLOOKUP($Z32,'Asset Master'!$A:$J,6,FALSE))</f>
        <v>0</v>
      </c>
      <c r="AD32" s="52">
        <f>IF(VLOOKUP($Z32,'Asset Master'!$A:$J,6,FALSE)*COUNTIF('Event Trigger'!$C:$C,'Year 1 Results'!$Z32)&gt;SUMIF('Event Trigger'!$C:$C,$Z32,G:G),0,VLOOKUP($Z32,'Asset Master'!$A:$J,6,FALSE))</f>
        <v>0</v>
      </c>
      <c r="AE32" s="52">
        <f>IF(VLOOKUP($Z32,'Asset Master'!$A:$J,6,FALSE)*COUNTIF('Event Trigger'!$C:$C,'Year 1 Results'!$Z32)&gt;SUMIF('Event Trigger'!$C:$C,$Z32,H:H),0,VLOOKUP($Z32,'Asset Master'!$A:$J,6,FALSE))</f>
        <v>0</v>
      </c>
      <c r="AF32" s="52">
        <f>IF(VLOOKUP($Z32,'Asset Master'!$A:$J,6,FALSE)*COUNTIF('Event Trigger'!$C:$C,'Year 1 Results'!$Z32)&gt;SUMIF('Event Trigger'!$C:$C,$Z32,I:I),0,VLOOKUP($Z32,'Asset Master'!$A:$J,6,FALSE))</f>
        <v>0</v>
      </c>
      <c r="AG32" s="52">
        <f>IF(VLOOKUP($Z32,'Asset Master'!$A:$J,6,FALSE)*COUNTIF('Event Trigger'!$C:$C,'Year 1 Results'!$Z32)&gt;SUMIF('Event Trigger'!$C:$C,$Z32,J:J),0,VLOOKUP($Z32,'Asset Master'!$A:$J,6,FALSE))</f>
        <v>0</v>
      </c>
      <c r="AH32" s="52">
        <f>IF(VLOOKUP($Z32,'Asset Master'!$A:$J,6,FALSE)*COUNTIF('Event Trigger'!$C:$C,'Year 1 Results'!$Z32)&gt;SUMIF('Event Trigger'!$C:$C,$Z32,K:K),0,VLOOKUP($Z32,'Asset Master'!$A:$J,6,FALSE))</f>
        <v>0</v>
      </c>
      <c r="AI32" s="52">
        <f>IF(VLOOKUP($Z32,'Asset Master'!$A:$J,6,FALSE)*COUNTIF('Event Trigger'!$C:$C,'Year 1 Results'!$Z32)&gt;SUMIF('Event Trigger'!$C:$C,$Z32,L:L),0,VLOOKUP($Z32,'Asset Master'!$A:$J,6,FALSE))</f>
        <v>0</v>
      </c>
      <c r="AJ32" s="52">
        <f>IF(VLOOKUP($Z32,'Asset Master'!$A:$J,6,FALSE)*COUNTIF('Event Trigger'!$C:$C,'Year 1 Results'!$Z32)&gt;SUMIF('Event Trigger'!$C:$C,$Z32,M:M),0,VLOOKUP($Z32,'Asset Master'!$A:$J,6,FALSE))</f>
        <v>0</v>
      </c>
    </row>
    <row r="33" spans="1:36" x14ac:dyDescent="0.25">
      <c r="A33" s="37" t="str">
        <f>'Risk Master'!B33:B169&amp;"-"&amp;'Risk Master'!D33</f>
        <v>Earthquake-Mumbai</v>
      </c>
      <c r="B33" s="37" t="str">
        <f>'Input Sheet year 2'!B34</f>
        <v>Earthquake-Mumbai</v>
      </c>
      <c r="C33" s="29" t="str">
        <f>'Risk Master'!F33</f>
        <v>A10</v>
      </c>
      <c r="D33" s="73">
        <f>'Risk Master'!$G33*-1+('Risk Master'!$G33*'Event Trigger'!$D33*(1-'Input Sheet year 1'!H34))</f>
        <v>0</v>
      </c>
      <c r="E33" s="73">
        <f>'Risk Master'!$G33*-1+('Risk Master'!$G33*'Event Trigger'!$D33*(1-'Input Sheet year 2'!I34))</f>
        <v>0</v>
      </c>
      <c r="F33" s="73">
        <f>'Risk Master'!$G33*-1+('Risk Master'!$G33*'Event Trigger'!$D33*(1-'Input Sheet year 2'!J34))</f>
        <v>0</v>
      </c>
      <c r="G33" s="73">
        <f>'Risk Master'!$G33*-1+('Risk Master'!$G33*'Event Trigger'!$D33*(1-'Input Sheet year 2'!K34))</f>
        <v>0</v>
      </c>
      <c r="H33" s="73">
        <f>'Risk Master'!$G33*-1+('Risk Master'!$G33*'Event Trigger'!$D33*(1-'Input Sheet year 2'!L34))</f>
        <v>0</v>
      </c>
      <c r="I33" s="73">
        <f>'Risk Master'!$G33*-1+('Risk Master'!$G33*'Event Trigger'!$D33*(1-'Input Sheet year 2'!M34))</f>
        <v>0</v>
      </c>
      <c r="J33" s="73">
        <f>'Risk Master'!$G33*-1+('Risk Master'!$G33*'Event Trigger'!$D33*(1-'Input Sheet year 2'!N34))</f>
        <v>0</v>
      </c>
      <c r="K33" s="73">
        <f>'Risk Master'!$G33*-1+('Risk Master'!$G33*'Event Trigger'!$D33*(1-'Input Sheet year 2'!O34))</f>
        <v>0</v>
      </c>
      <c r="L33" s="73">
        <f>'Risk Master'!$G33*-1+('Risk Master'!$G33*'Event Trigger'!$D33*(1-'Input Sheet year 2'!P34))</f>
        <v>0</v>
      </c>
      <c r="M33" s="73">
        <f>'Risk Master'!$G33*-1+('Risk Master'!$G33*'Event Trigger'!$D33*(1-'Input Sheet year 2'!Q34))</f>
        <v>0</v>
      </c>
      <c r="N33" s="88"/>
      <c r="O33" s="88">
        <f t="shared" si="0"/>
        <v>0</v>
      </c>
      <c r="P33" s="88">
        <f t="shared" si="1"/>
        <v>0</v>
      </c>
      <c r="Q33" s="88">
        <f t="shared" si="2"/>
        <v>0</v>
      </c>
      <c r="R33" s="88">
        <f t="shared" si="3"/>
        <v>0</v>
      </c>
      <c r="S33" s="88">
        <f t="shared" si="4"/>
        <v>0</v>
      </c>
      <c r="T33" s="88">
        <f t="shared" si="5"/>
        <v>0</v>
      </c>
      <c r="U33" s="88">
        <f t="shared" si="6"/>
        <v>0</v>
      </c>
      <c r="V33" s="88">
        <f t="shared" si="7"/>
        <v>0</v>
      </c>
      <c r="W33" s="88">
        <f t="shared" si="8"/>
        <v>0</v>
      </c>
      <c r="X33" s="88">
        <f t="shared" si="9"/>
        <v>0</v>
      </c>
      <c r="Z33" s="51" t="s">
        <v>105</v>
      </c>
      <c r="AA33" s="52">
        <f>IF(VLOOKUP($Z33,'Asset Master'!$A:$J,6,FALSE)*COUNTIF('Event Trigger'!$C:$C,'Year 1 Results'!$Z33)&gt;SUMIF('Event Trigger'!$C:$C,$Z33,D:D),0,VLOOKUP($Z33,'Asset Master'!$A:$J,6,FALSE))</f>
        <v>0</v>
      </c>
      <c r="AB33" s="52">
        <f>IF(VLOOKUP($Z33,'Asset Master'!$A:$J,6,FALSE)*COUNTIF('Event Trigger'!$C:$C,'Year 1 Results'!$Z33)&gt;SUMIF('Event Trigger'!$C:$C,$Z33,E:E),0,VLOOKUP($Z33,'Asset Master'!$A:$J,6,FALSE))</f>
        <v>0</v>
      </c>
      <c r="AC33" s="52">
        <f>IF(VLOOKUP($Z33,'Asset Master'!$A:$J,6,FALSE)*COUNTIF('Event Trigger'!$C:$C,'Year 1 Results'!$Z33)&gt;SUMIF('Event Trigger'!$C:$C,$Z33,F:F),0,VLOOKUP($Z33,'Asset Master'!$A:$J,6,FALSE))</f>
        <v>0</v>
      </c>
      <c r="AD33" s="52">
        <f>IF(VLOOKUP($Z33,'Asset Master'!$A:$J,6,FALSE)*COUNTIF('Event Trigger'!$C:$C,'Year 1 Results'!$Z33)&gt;SUMIF('Event Trigger'!$C:$C,$Z33,G:G),0,VLOOKUP($Z33,'Asset Master'!$A:$J,6,FALSE))</f>
        <v>0</v>
      </c>
      <c r="AE33" s="52">
        <f>IF(VLOOKUP($Z33,'Asset Master'!$A:$J,6,FALSE)*COUNTIF('Event Trigger'!$C:$C,'Year 1 Results'!$Z33)&gt;SUMIF('Event Trigger'!$C:$C,$Z33,H:H),0,VLOOKUP($Z33,'Asset Master'!$A:$J,6,FALSE))</f>
        <v>0</v>
      </c>
      <c r="AF33" s="52">
        <f>IF(VLOOKUP($Z33,'Asset Master'!$A:$J,6,FALSE)*COUNTIF('Event Trigger'!$C:$C,'Year 1 Results'!$Z33)&gt;SUMIF('Event Trigger'!$C:$C,$Z33,I:I),0,VLOOKUP($Z33,'Asset Master'!$A:$J,6,FALSE))</f>
        <v>0</v>
      </c>
      <c r="AG33" s="52">
        <f>IF(VLOOKUP($Z33,'Asset Master'!$A:$J,6,FALSE)*COUNTIF('Event Trigger'!$C:$C,'Year 1 Results'!$Z33)&gt;SUMIF('Event Trigger'!$C:$C,$Z33,J:J),0,VLOOKUP($Z33,'Asset Master'!$A:$J,6,FALSE))</f>
        <v>0</v>
      </c>
      <c r="AH33" s="52">
        <f>IF(VLOOKUP($Z33,'Asset Master'!$A:$J,6,FALSE)*COUNTIF('Event Trigger'!$C:$C,'Year 1 Results'!$Z33)&gt;SUMIF('Event Trigger'!$C:$C,$Z33,K:K),0,VLOOKUP($Z33,'Asset Master'!$A:$J,6,FALSE))</f>
        <v>0</v>
      </c>
      <c r="AI33" s="52">
        <f>IF(VLOOKUP($Z33,'Asset Master'!$A:$J,6,FALSE)*COUNTIF('Event Trigger'!$C:$C,'Year 1 Results'!$Z33)&gt;SUMIF('Event Trigger'!$C:$C,$Z33,L:L),0,VLOOKUP($Z33,'Asset Master'!$A:$J,6,FALSE))</f>
        <v>0</v>
      </c>
      <c r="AJ33" s="52">
        <f>IF(VLOOKUP($Z33,'Asset Master'!$A:$J,6,FALSE)*COUNTIF('Event Trigger'!$C:$C,'Year 1 Results'!$Z33)&gt;SUMIF('Event Trigger'!$C:$C,$Z33,M:M),0,VLOOKUP($Z33,'Asset Master'!$A:$J,6,FALSE))</f>
        <v>0</v>
      </c>
    </row>
    <row r="34" spans="1:36" x14ac:dyDescent="0.25">
      <c r="A34" s="37" t="str">
        <f>'Risk Master'!B34:B170&amp;"-"&amp;'Risk Master'!D34</f>
        <v>Fire-Mumbai</v>
      </c>
      <c r="B34" s="37" t="str">
        <f>'Input Sheet year 2'!B35</f>
        <v>Fire-Mumbai</v>
      </c>
      <c r="C34" s="29" t="str">
        <f>'Risk Master'!F34</f>
        <v>A10</v>
      </c>
      <c r="D34" s="73">
        <f>'Risk Master'!$G34*-1+('Risk Master'!$G34*'Event Trigger'!$D34*(1-'Input Sheet year 1'!H35))</f>
        <v>400000</v>
      </c>
      <c r="E34" s="73">
        <f>'Risk Master'!$G34*-1+('Risk Master'!$G34*'Event Trigger'!$D34*(1-'Input Sheet year 2'!I35))</f>
        <v>400000</v>
      </c>
      <c r="F34" s="73">
        <f>'Risk Master'!$G34*-1+('Risk Master'!$G34*'Event Trigger'!$D34*(1-'Input Sheet year 2'!J35))</f>
        <v>400000</v>
      </c>
      <c r="G34" s="73">
        <f>'Risk Master'!$G34*-1+('Risk Master'!$G34*'Event Trigger'!$D34*(1-'Input Sheet year 2'!K35))</f>
        <v>400000</v>
      </c>
      <c r="H34" s="73">
        <f>'Risk Master'!$G34*-1+('Risk Master'!$G34*'Event Trigger'!$D34*(1-'Input Sheet year 2'!L35))</f>
        <v>400000</v>
      </c>
      <c r="I34" s="73">
        <f>'Risk Master'!$G34*-1+('Risk Master'!$G34*'Event Trigger'!$D34*(1-'Input Sheet year 2'!M35))</f>
        <v>400000</v>
      </c>
      <c r="J34" s="73">
        <f>'Risk Master'!$G34*-1+('Risk Master'!$G34*'Event Trigger'!$D34*(1-'Input Sheet year 2'!N35))</f>
        <v>400000</v>
      </c>
      <c r="K34" s="73">
        <f>'Risk Master'!$G34*-1+('Risk Master'!$G34*'Event Trigger'!$D34*(1-'Input Sheet year 2'!O35))</f>
        <v>400000</v>
      </c>
      <c r="L34" s="73">
        <f>'Risk Master'!$G34*-1+('Risk Master'!$G34*'Event Trigger'!$D34*(1-'Input Sheet year 2'!P35))</f>
        <v>400000</v>
      </c>
      <c r="M34" s="73">
        <f>'Risk Master'!$G34*-1+('Risk Master'!$G34*'Event Trigger'!$D34*(1-'Input Sheet year 2'!Q35))</f>
        <v>400000</v>
      </c>
      <c r="N34" s="88"/>
      <c r="O34" s="88">
        <f t="shared" si="0"/>
        <v>0</v>
      </c>
      <c r="P34" s="88">
        <f t="shared" si="1"/>
        <v>0</v>
      </c>
      <c r="Q34" s="88">
        <f t="shared" si="2"/>
        <v>0</v>
      </c>
      <c r="R34" s="88">
        <f t="shared" si="3"/>
        <v>0</v>
      </c>
      <c r="S34" s="88">
        <f t="shared" si="4"/>
        <v>0</v>
      </c>
      <c r="T34" s="88">
        <f t="shared" si="5"/>
        <v>0</v>
      </c>
      <c r="U34" s="88">
        <f t="shared" si="6"/>
        <v>0</v>
      </c>
      <c r="V34" s="88">
        <f t="shared" si="7"/>
        <v>0</v>
      </c>
      <c r="W34" s="88">
        <f t="shared" si="8"/>
        <v>0</v>
      </c>
      <c r="X34" s="88">
        <f t="shared" si="9"/>
        <v>0</v>
      </c>
      <c r="Z34" s="51" t="s">
        <v>106</v>
      </c>
      <c r="AA34" s="52">
        <f>IF(VLOOKUP($Z34,'Asset Master'!$A:$J,6,FALSE)*COUNTIF('Event Trigger'!$C:$C,'Year 1 Results'!$Z34)&gt;SUMIF('Event Trigger'!$C:$C,$Z34,D:D),0,VLOOKUP($Z34,'Asset Master'!$A:$J,6,FALSE))</f>
        <v>400000</v>
      </c>
      <c r="AB34" s="52">
        <f>IF(VLOOKUP($Z34,'Asset Master'!$A:$J,6,FALSE)*COUNTIF('Event Trigger'!$C:$C,'Year 1 Results'!$Z34)&gt;SUMIF('Event Trigger'!$C:$C,$Z34,E:E),0,VLOOKUP($Z34,'Asset Master'!$A:$J,6,FALSE))</f>
        <v>0</v>
      </c>
      <c r="AC34" s="52">
        <f>IF(VLOOKUP($Z34,'Asset Master'!$A:$J,6,FALSE)*COUNTIF('Event Trigger'!$C:$C,'Year 1 Results'!$Z34)&gt;SUMIF('Event Trigger'!$C:$C,$Z34,F:F),0,VLOOKUP($Z34,'Asset Master'!$A:$J,6,FALSE))</f>
        <v>0</v>
      </c>
      <c r="AD34" s="52">
        <f>IF(VLOOKUP($Z34,'Asset Master'!$A:$J,6,FALSE)*COUNTIF('Event Trigger'!$C:$C,'Year 1 Results'!$Z34)&gt;SUMIF('Event Trigger'!$C:$C,$Z34,G:G),0,VLOOKUP($Z34,'Asset Master'!$A:$J,6,FALSE))</f>
        <v>0</v>
      </c>
      <c r="AE34" s="52">
        <f>IF(VLOOKUP($Z34,'Asset Master'!$A:$J,6,FALSE)*COUNTIF('Event Trigger'!$C:$C,'Year 1 Results'!$Z34)&gt;SUMIF('Event Trigger'!$C:$C,$Z34,H:H),0,VLOOKUP($Z34,'Asset Master'!$A:$J,6,FALSE))</f>
        <v>0</v>
      </c>
      <c r="AF34" s="52">
        <f>IF(VLOOKUP($Z34,'Asset Master'!$A:$J,6,FALSE)*COUNTIF('Event Trigger'!$C:$C,'Year 1 Results'!$Z34)&gt;SUMIF('Event Trigger'!$C:$C,$Z34,I:I),0,VLOOKUP($Z34,'Asset Master'!$A:$J,6,FALSE))</f>
        <v>0</v>
      </c>
      <c r="AG34" s="52">
        <f>IF(VLOOKUP($Z34,'Asset Master'!$A:$J,6,FALSE)*COUNTIF('Event Trigger'!$C:$C,'Year 1 Results'!$Z34)&gt;SUMIF('Event Trigger'!$C:$C,$Z34,J:J),0,VLOOKUP($Z34,'Asset Master'!$A:$J,6,FALSE))</f>
        <v>400000</v>
      </c>
      <c r="AH34" s="52">
        <f>IF(VLOOKUP($Z34,'Asset Master'!$A:$J,6,FALSE)*COUNTIF('Event Trigger'!$C:$C,'Year 1 Results'!$Z34)&gt;SUMIF('Event Trigger'!$C:$C,$Z34,K:K),0,VLOOKUP($Z34,'Asset Master'!$A:$J,6,FALSE))</f>
        <v>0</v>
      </c>
      <c r="AI34" s="52">
        <f>IF(VLOOKUP($Z34,'Asset Master'!$A:$J,6,FALSE)*COUNTIF('Event Trigger'!$C:$C,'Year 1 Results'!$Z34)&gt;SUMIF('Event Trigger'!$C:$C,$Z34,L:L),0,VLOOKUP($Z34,'Asset Master'!$A:$J,6,FALSE))</f>
        <v>0</v>
      </c>
      <c r="AJ34" s="52">
        <f>IF(VLOOKUP($Z34,'Asset Master'!$A:$J,6,FALSE)*COUNTIF('Event Trigger'!$C:$C,'Year 1 Results'!$Z34)&gt;SUMIF('Event Trigger'!$C:$C,$Z34,M:M),0,VLOOKUP($Z34,'Asset Master'!$A:$J,6,FALSE))</f>
        <v>0</v>
      </c>
    </row>
    <row r="35" spans="1:36" x14ac:dyDescent="0.25">
      <c r="A35" s="37" t="str">
        <f>'Risk Master'!B35:B170&amp;"-"&amp;'Risk Master'!D35</f>
        <v>Terror Attack-Mumbai</v>
      </c>
      <c r="B35" s="37" t="str">
        <f>'Input Sheet year 2'!B36</f>
        <v>Terror Attack-Mumbai</v>
      </c>
      <c r="C35" s="29" t="str">
        <f>'Risk Master'!F35</f>
        <v>A10</v>
      </c>
      <c r="D35" s="73">
        <f>'Risk Master'!$G35*-1+('Risk Master'!$G35*'Event Trigger'!$D35*(1-'Input Sheet year 1'!H36))</f>
        <v>400000</v>
      </c>
      <c r="E35" s="73">
        <f>'Risk Master'!$G35*-1+('Risk Master'!$G35*'Event Trigger'!$D35*(1-'Input Sheet year 2'!I36))</f>
        <v>400000</v>
      </c>
      <c r="F35" s="73">
        <f>'Risk Master'!$G35*-1+('Risk Master'!$G35*'Event Trigger'!$D35*(1-'Input Sheet year 2'!J36))</f>
        <v>400000</v>
      </c>
      <c r="G35" s="73">
        <f>'Risk Master'!$G35*-1+('Risk Master'!$G35*'Event Trigger'!$D35*(1-'Input Sheet year 2'!K36))</f>
        <v>400000</v>
      </c>
      <c r="H35" s="73">
        <f>'Risk Master'!$G35*-1+('Risk Master'!$G35*'Event Trigger'!$D35*(1-'Input Sheet year 2'!L36))</f>
        <v>400000</v>
      </c>
      <c r="I35" s="73">
        <f>'Risk Master'!$G35*-1+('Risk Master'!$G35*'Event Trigger'!$D35*(1-'Input Sheet year 2'!M36))</f>
        <v>400000</v>
      </c>
      <c r="J35" s="73">
        <f>'Risk Master'!$G35*-1+('Risk Master'!$G35*'Event Trigger'!$D35*(1-'Input Sheet year 2'!N36))</f>
        <v>400000</v>
      </c>
      <c r="K35" s="73">
        <f>'Risk Master'!$G35*-1+('Risk Master'!$G35*'Event Trigger'!$D35*(1-'Input Sheet year 2'!O36))</f>
        <v>400000</v>
      </c>
      <c r="L35" s="73">
        <f>'Risk Master'!$G35*-1+('Risk Master'!$G35*'Event Trigger'!$D35*(1-'Input Sheet year 2'!P36))</f>
        <v>400000</v>
      </c>
      <c r="M35" s="73">
        <f>'Risk Master'!$G35*-1+('Risk Master'!$G35*'Event Trigger'!$D35*(1-'Input Sheet year 2'!Q36))</f>
        <v>400000</v>
      </c>
      <c r="N35" s="88"/>
      <c r="O35" s="88">
        <f t="shared" si="0"/>
        <v>0</v>
      </c>
      <c r="P35" s="88">
        <f t="shared" si="1"/>
        <v>0</v>
      </c>
      <c r="Q35" s="88">
        <f t="shared" si="2"/>
        <v>0</v>
      </c>
      <c r="R35" s="88">
        <f t="shared" si="3"/>
        <v>0</v>
      </c>
      <c r="S35" s="88">
        <f t="shared" si="4"/>
        <v>0</v>
      </c>
      <c r="T35" s="88">
        <f t="shared" si="5"/>
        <v>0</v>
      </c>
      <c r="U35" s="88">
        <f t="shared" si="6"/>
        <v>0</v>
      </c>
      <c r="V35" s="88">
        <f t="shared" si="7"/>
        <v>0</v>
      </c>
      <c r="W35" s="88">
        <f t="shared" si="8"/>
        <v>0</v>
      </c>
      <c r="X35" s="88">
        <f t="shared" si="9"/>
        <v>0</v>
      </c>
      <c r="Z35" s="51" t="s">
        <v>107</v>
      </c>
      <c r="AA35" s="52">
        <f>IF(VLOOKUP($Z35,'Asset Master'!$A:$J,6,FALSE)*COUNTIF('Event Trigger'!$C:$C,'Year 1 Results'!$Z35)&gt;SUMIF('Event Trigger'!$C:$C,$Z35,D:D),0,VLOOKUP($Z35,'Asset Master'!$A:$J,6,FALSE))</f>
        <v>400000</v>
      </c>
      <c r="AB35" s="52">
        <f>IF(VLOOKUP($Z35,'Asset Master'!$A:$J,6,FALSE)*COUNTIF('Event Trigger'!$C:$C,'Year 1 Results'!$Z35)&gt;SUMIF('Event Trigger'!$C:$C,$Z35,E:E),0,VLOOKUP($Z35,'Asset Master'!$A:$J,6,FALSE))</f>
        <v>0</v>
      </c>
      <c r="AC35" s="52">
        <f>IF(VLOOKUP($Z35,'Asset Master'!$A:$J,6,FALSE)*COUNTIF('Event Trigger'!$C:$C,'Year 1 Results'!$Z35)&gt;SUMIF('Event Trigger'!$C:$C,$Z35,F:F),0,VLOOKUP($Z35,'Asset Master'!$A:$J,6,FALSE))</f>
        <v>400000</v>
      </c>
      <c r="AD35" s="52">
        <f>IF(VLOOKUP($Z35,'Asset Master'!$A:$J,6,FALSE)*COUNTIF('Event Trigger'!$C:$C,'Year 1 Results'!$Z35)&gt;SUMIF('Event Trigger'!$C:$C,$Z35,G:G),0,VLOOKUP($Z35,'Asset Master'!$A:$J,6,FALSE))</f>
        <v>0</v>
      </c>
      <c r="AE35" s="52">
        <f>IF(VLOOKUP($Z35,'Asset Master'!$A:$J,6,FALSE)*COUNTIF('Event Trigger'!$C:$C,'Year 1 Results'!$Z35)&gt;SUMIF('Event Trigger'!$C:$C,$Z35,H:H),0,VLOOKUP($Z35,'Asset Master'!$A:$J,6,FALSE))</f>
        <v>400000</v>
      </c>
      <c r="AF35" s="52">
        <f>IF(VLOOKUP($Z35,'Asset Master'!$A:$J,6,FALSE)*COUNTIF('Event Trigger'!$C:$C,'Year 1 Results'!$Z35)&gt;SUMIF('Event Trigger'!$C:$C,$Z35,I:I),0,VLOOKUP($Z35,'Asset Master'!$A:$J,6,FALSE))</f>
        <v>0</v>
      </c>
      <c r="AG35" s="52">
        <f>IF(VLOOKUP($Z35,'Asset Master'!$A:$J,6,FALSE)*COUNTIF('Event Trigger'!$C:$C,'Year 1 Results'!$Z35)&gt;SUMIF('Event Trigger'!$C:$C,$Z35,J:J),0,VLOOKUP($Z35,'Asset Master'!$A:$J,6,FALSE))</f>
        <v>0</v>
      </c>
      <c r="AH35" s="52">
        <f>IF(VLOOKUP($Z35,'Asset Master'!$A:$J,6,FALSE)*COUNTIF('Event Trigger'!$C:$C,'Year 1 Results'!$Z35)&gt;SUMIF('Event Trigger'!$C:$C,$Z35,K:K),0,VLOOKUP($Z35,'Asset Master'!$A:$J,6,FALSE))</f>
        <v>0</v>
      </c>
      <c r="AI35" s="52">
        <f>IF(VLOOKUP($Z35,'Asset Master'!$A:$J,6,FALSE)*COUNTIF('Event Trigger'!$C:$C,'Year 1 Results'!$Z35)&gt;SUMIF('Event Trigger'!$C:$C,$Z35,L:L),0,VLOOKUP($Z35,'Asset Master'!$A:$J,6,FALSE))</f>
        <v>0</v>
      </c>
      <c r="AJ35" s="52">
        <f>IF(VLOOKUP($Z35,'Asset Master'!$A:$J,6,FALSE)*COUNTIF('Event Trigger'!$C:$C,'Year 1 Results'!$Z35)&gt;SUMIF('Event Trigger'!$C:$C,$Z35,M:M),0,VLOOKUP($Z35,'Asset Master'!$A:$J,6,FALSE))</f>
        <v>400000</v>
      </c>
    </row>
    <row r="36" spans="1:36" ht="25.5" x14ac:dyDescent="0.25">
      <c r="A36" s="37" t="str">
        <f>'Risk Master'!B36:B170&amp;"-"&amp;'Risk Master'!D36</f>
        <v>Thunderstorms, Tornados &amp; Hail-Mumbai</v>
      </c>
      <c r="B36" s="37" t="str">
        <f>'Input Sheet year 2'!B37</f>
        <v>Thunderstorms, Tornados &amp; Hail-Mumbai</v>
      </c>
      <c r="C36" s="29" t="str">
        <f>'Risk Master'!F36</f>
        <v>A10</v>
      </c>
      <c r="D36" s="73">
        <f>'Risk Master'!$G36*-1+('Risk Master'!$G36*'Event Trigger'!$D36*(1-'Input Sheet year 1'!H37))</f>
        <v>400000</v>
      </c>
      <c r="E36" s="73">
        <f>'Risk Master'!$G36*-1+('Risk Master'!$G36*'Event Trigger'!$D36*(1-'Input Sheet year 2'!I37))</f>
        <v>400000</v>
      </c>
      <c r="F36" s="73">
        <f>'Risk Master'!$G36*-1+('Risk Master'!$G36*'Event Trigger'!$D36*(1-'Input Sheet year 2'!J37))</f>
        <v>400000</v>
      </c>
      <c r="G36" s="73">
        <f>'Risk Master'!$G36*-1+('Risk Master'!$G36*'Event Trigger'!$D36*(1-'Input Sheet year 2'!K37))</f>
        <v>400000</v>
      </c>
      <c r="H36" s="73">
        <f>'Risk Master'!$G36*-1+('Risk Master'!$G36*'Event Trigger'!$D36*(1-'Input Sheet year 2'!L37))</f>
        <v>400000</v>
      </c>
      <c r="I36" s="73">
        <f>'Risk Master'!$G36*-1+('Risk Master'!$G36*'Event Trigger'!$D36*(1-'Input Sheet year 2'!M37))</f>
        <v>400000</v>
      </c>
      <c r="J36" s="73">
        <f>'Risk Master'!$G36*-1+('Risk Master'!$G36*'Event Trigger'!$D36*(1-'Input Sheet year 2'!N37))</f>
        <v>400000</v>
      </c>
      <c r="K36" s="73">
        <f>'Risk Master'!$G36*-1+('Risk Master'!$G36*'Event Trigger'!$D36*(1-'Input Sheet year 2'!O37))</f>
        <v>400000</v>
      </c>
      <c r="L36" s="73">
        <f>'Risk Master'!$G36*-1+('Risk Master'!$G36*'Event Trigger'!$D36*(1-'Input Sheet year 2'!P37))</f>
        <v>400000</v>
      </c>
      <c r="M36" s="73">
        <f>'Risk Master'!$G36*-1+('Risk Master'!$G36*'Event Trigger'!$D36*(1-'Input Sheet year 2'!Q37))</f>
        <v>400000</v>
      </c>
      <c r="N36" s="88"/>
      <c r="O36" s="88">
        <f t="shared" si="0"/>
        <v>0</v>
      </c>
      <c r="P36" s="88">
        <f t="shared" si="1"/>
        <v>0</v>
      </c>
      <c r="Q36" s="88">
        <f t="shared" si="2"/>
        <v>0</v>
      </c>
      <c r="R36" s="88">
        <f t="shared" si="3"/>
        <v>0</v>
      </c>
      <c r="S36" s="88">
        <f t="shared" si="4"/>
        <v>0</v>
      </c>
      <c r="T36" s="88">
        <f t="shared" si="5"/>
        <v>0</v>
      </c>
      <c r="U36" s="88">
        <f t="shared" si="6"/>
        <v>0</v>
      </c>
      <c r="V36" s="88">
        <f t="shared" si="7"/>
        <v>0</v>
      </c>
      <c r="W36" s="88">
        <f t="shared" si="8"/>
        <v>0</v>
      </c>
      <c r="X36" s="88">
        <f t="shared" si="9"/>
        <v>0</v>
      </c>
      <c r="Z36" s="51" t="s">
        <v>108</v>
      </c>
      <c r="AA36" s="52">
        <f>IF(VLOOKUP($Z36,'Asset Master'!$A:$J,6,FALSE)*COUNTIF('Event Trigger'!$C:$C,'Year 1 Results'!$Z36)&gt;SUMIF('Event Trigger'!$C:$C,$Z36,D:D),0,VLOOKUP($Z36,'Asset Master'!$A:$J,6,FALSE))</f>
        <v>0</v>
      </c>
      <c r="AB36" s="52">
        <f>IF(VLOOKUP($Z36,'Asset Master'!$A:$J,6,FALSE)*COUNTIF('Event Trigger'!$C:$C,'Year 1 Results'!$Z36)&gt;SUMIF('Event Trigger'!$C:$C,$Z36,E:E),0,VLOOKUP($Z36,'Asset Master'!$A:$J,6,FALSE))</f>
        <v>0</v>
      </c>
      <c r="AC36" s="52">
        <f>IF(VLOOKUP($Z36,'Asset Master'!$A:$J,6,FALSE)*COUNTIF('Event Trigger'!$C:$C,'Year 1 Results'!$Z36)&gt;SUMIF('Event Trigger'!$C:$C,$Z36,F:F),0,VLOOKUP($Z36,'Asset Master'!$A:$J,6,FALSE))</f>
        <v>0</v>
      </c>
      <c r="AD36" s="52">
        <f>IF(VLOOKUP($Z36,'Asset Master'!$A:$J,6,FALSE)*COUNTIF('Event Trigger'!$C:$C,'Year 1 Results'!$Z36)&gt;SUMIF('Event Trigger'!$C:$C,$Z36,G:G),0,VLOOKUP($Z36,'Asset Master'!$A:$J,6,FALSE))</f>
        <v>0</v>
      </c>
      <c r="AE36" s="52">
        <f>IF(VLOOKUP($Z36,'Asset Master'!$A:$J,6,FALSE)*COUNTIF('Event Trigger'!$C:$C,'Year 1 Results'!$Z36)&gt;SUMIF('Event Trigger'!$C:$C,$Z36,H:H),0,VLOOKUP($Z36,'Asset Master'!$A:$J,6,FALSE))</f>
        <v>0</v>
      </c>
      <c r="AF36" s="52">
        <f>IF(VLOOKUP($Z36,'Asset Master'!$A:$J,6,FALSE)*COUNTIF('Event Trigger'!$C:$C,'Year 1 Results'!$Z36)&gt;SUMIF('Event Trigger'!$C:$C,$Z36,I:I),0,VLOOKUP($Z36,'Asset Master'!$A:$J,6,FALSE))</f>
        <v>0</v>
      </c>
      <c r="AG36" s="52">
        <f>IF(VLOOKUP($Z36,'Asset Master'!$A:$J,6,FALSE)*COUNTIF('Event Trigger'!$C:$C,'Year 1 Results'!$Z36)&gt;SUMIF('Event Trigger'!$C:$C,$Z36,J:J),0,VLOOKUP($Z36,'Asset Master'!$A:$J,6,FALSE))</f>
        <v>0</v>
      </c>
      <c r="AH36" s="52">
        <f>IF(VLOOKUP($Z36,'Asset Master'!$A:$J,6,FALSE)*COUNTIF('Event Trigger'!$C:$C,'Year 1 Results'!$Z36)&gt;SUMIF('Event Trigger'!$C:$C,$Z36,K:K),0,VLOOKUP($Z36,'Asset Master'!$A:$J,6,FALSE))</f>
        <v>0</v>
      </c>
      <c r="AI36" s="52">
        <f>IF(VLOOKUP($Z36,'Asset Master'!$A:$J,6,FALSE)*COUNTIF('Event Trigger'!$C:$C,'Year 1 Results'!$Z36)&gt;SUMIF('Event Trigger'!$C:$C,$Z36,L:L),0,VLOOKUP($Z36,'Asset Master'!$A:$J,6,FALSE))</f>
        <v>0</v>
      </c>
      <c r="AJ36" s="52">
        <f>IF(VLOOKUP($Z36,'Asset Master'!$A:$J,6,FALSE)*COUNTIF('Event Trigger'!$C:$C,'Year 1 Results'!$Z36)&gt;SUMIF('Event Trigger'!$C:$C,$Z36,M:M),0,VLOOKUP($Z36,'Asset Master'!$A:$J,6,FALSE))</f>
        <v>0</v>
      </c>
    </row>
    <row r="37" spans="1:36" x14ac:dyDescent="0.25">
      <c r="A37" s="37" t="str">
        <f>'Risk Master'!B37:B170&amp;"-"&amp;'Risk Master'!D37</f>
        <v>Tsunami-Mumbai</v>
      </c>
      <c r="B37" s="37" t="str">
        <f>'Input Sheet year 2'!B38</f>
        <v>Tsunami-Mumbai</v>
      </c>
      <c r="C37" s="29" t="str">
        <f>'Risk Master'!F37</f>
        <v>A10</v>
      </c>
      <c r="D37" s="73">
        <f>'Risk Master'!$G37*-1+('Risk Master'!$G37*'Event Trigger'!$D37*(1-'Input Sheet year 1'!H38))</f>
        <v>400000</v>
      </c>
      <c r="E37" s="73">
        <f>'Risk Master'!$G37*-1+('Risk Master'!$G37*'Event Trigger'!$D37*(1-'Input Sheet year 2'!I38))</f>
        <v>400000</v>
      </c>
      <c r="F37" s="73">
        <f>'Risk Master'!$G37*-1+('Risk Master'!$G37*'Event Trigger'!$D37*(1-'Input Sheet year 2'!J38))</f>
        <v>400000</v>
      </c>
      <c r="G37" s="73">
        <f>'Risk Master'!$G37*-1+('Risk Master'!$G37*'Event Trigger'!$D37*(1-'Input Sheet year 2'!K38))</f>
        <v>400000</v>
      </c>
      <c r="H37" s="73">
        <f>'Risk Master'!$G37*-1+('Risk Master'!$G37*'Event Trigger'!$D37*(1-'Input Sheet year 2'!L38))</f>
        <v>400000</v>
      </c>
      <c r="I37" s="73">
        <f>'Risk Master'!$G37*-1+('Risk Master'!$G37*'Event Trigger'!$D37*(1-'Input Sheet year 2'!M38))</f>
        <v>400000</v>
      </c>
      <c r="J37" s="73">
        <f>'Risk Master'!$G37*-1+('Risk Master'!$G37*'Event Trigger'!$D37*(1-'Input Sheet year 2'!N38))</f>
        <v>400000</v>
      </c>
      <c r="K37" s="73">
        <f>'Risk Master'!$G37*-1+('Risk Master'!$G37*'Event Trigger'!$D37*(1-'Input Sheet year 2'!O38))</f>
        <v>400000</v>
      </c>
      <c r="L37" s="73">
        <f>'Risk Master'!$G37*-1+('Risk Master'!$G37*'Event Trigger'!$D37*(1-'Input Sheet year 2'!P38))</f>
        <v>400000</v>
      </c>
      <c r="M37" s="73">
        <f>'Risk Master'!$G37*-1+('Risk Master'!$G37*'Event Trigger'!$D37*(1-'Input Sheet year 2'!Q38))</f>
        <v>400000</v>
      </c>
      <c r="N37" s="88"/>
      <c r="O37" s="88">
        <f t="shared" si="0"/>
        <v>0</v>
      </c>
      <c r="P37" s="88">
        <f t="shared" si="1"/>
        <v>0</v>
      </c>
      <c r="Q37" s="88">
        <f t="shared" si="2"/>
        <v>0</v>
      </c>
      <c r="R37" s="88">
        <f t="shared" si="3"/>
        <v>0</v>
      </c>
      <c r="S37" s="88">
        <f t="shared" si="4"/>
        <v>0</v>
      </c>
      <c r="T37" s="88">
        <f t="shared" si="5"/>
        <v>0</v>
      </c>
      <c r="U37" s="88">
        <f t="shared" si="6"/>
        <v>0</v>
      </c>
      <c r="V37" s="88">
        <f t="shared" si="7"/>
        <v>0</v>
      </c>
      <c r="W37" s="88">
        <f t="shared" si="8"/>
        <v>0</v>
      </c>
      <c r="X37" s="88">
        <f t="shared" si="9"/>
        <v>0</v>
      </c>
      <c r="Z37" s="51" t="s">
        <v>109</v>
      </c>
      <c r="AA37" s="52">
        <f>IF(VLOOKUP($Z37,'Asset Master'!$A:$J,6,FALSE)*COUNTIF('Event Trigger'!$C:$C,'Year 1 Results'!$Z37)&gt;SUMIF('Event Trigger'!$C:$C,$Z37,D:D),0,VLOOKUP($Z37,'Asset Master'!$A:$J,6,FALSE))</f>
        <v>300000</v>
      </c>
      <c r="AB37" s="52">
        <f>IF(VLOOKUP($Z37,'Asset Master'!$A:$J,6,FALSE)*COUNTIF('Event Trigger'!$C:$C,'Year 1 Results'!$Z37)&gt;SUMIF('Event Trigger'!$C:$C,$Z37,E:E),0,VLOOKUP($Z37,'Asset Master'!$A:$J,6,FALSE))</f>
        <v>300000</v>
      </c>
      <c r="AC37" s="52">
        <f>IF(VLOOKUP($Z37,'Asset Master'!$A:$J,6,FALSE)*COUNTIF('Event Trigger'!$C:$C,'Year 1 Results'!$Z37)&gt;SUMIF('Event Trigger'!$C:$C,$Z37,F:F),0,VLOOKUP($Z37,'Asset Master'!$A:$J,6,FALSE))</f>
        <v>300000</v>
      </c>
      <c r="AD37" s="52">
        <f>IF(VLOOKUP($Z37,'Asset Master'!$A:$J,6,FALSE)*COUNTIF('Event Trigger'!$C:$C,'Year 1 Results'!$Z37)&gt;SUMIF('Event Trigger'!$C:$C,$Z37,G:G),0,VLOOKUP($Z37,'Asset Master'!$A:$J,6,FALSE))</f>
        <v>300000</v>
      </c>
      <c r="AE37" s="52">
        <f>IF(VLOOKUP($Z37,'Asset Master'!$A:$J,6,FALSE)*COUNTIF('Event Trigger'!$C:$C,'Year 1 Results'!$Z37)&gt;SUMIF('Event Trigger'!$C:$C,$Z37,H:H),0,VLOOKUP($Z37,'Asset Master'!$A:$J,6,FALSE))</f>
        <v>300000</v>
      </c>
      <c r="AF37" s="52">
        <f>IF(VLOOKUP($Z37,'Asset Master'!$A:$J,6,FALSE)*COUNTIF('Event Trigger'!$C:$C,'Year 1 Results'!$Z37)&gt;SUMIF('Event Trigger'!$C:$C,$Z37,I:I),0,VLOOKUP($Z37,'Asset Master'!$A:$J,6,FALSE))</f>
        <v>300000</v>
      </c>
      <c r="AG37" s="52">
        <f>IF(VLOOKUP($Z37,'Asset Master'!$A:$J,6,FALSE)*COUNTIF('Event Trigger'!$C:$C,'Year 1 Results'!$Z37)&gt;SUMIF('Event Trigger'!$C:$C,$Z37,J:J),0,VLOOKUP($Z37,'Asset Master'!$A:$J,6,FALSE))</f>
        <v>300000</v>
      </c>
      <c r="AH37" s="52">
        <f>IF(VLOOKUP($Z37,'Asset Master'!$A:$J,6,FALSE)*COUNTIF('Event Trigger'!$C:$C,'Year 1 Results'!$Z37)&gt;SUMIF('Event Trigger'!$C:$C,$Z37,K:K),0,VLOOKUP($Z37,'Asset Master'!$A:$J,6,FALSE))</f>
        <v>300000</v>
      </c>
      <c r="AI37" s="52">
        <f>IF(VLOOKUP($Z37,'Asset Master'!$A:$J,6,FALSE)*COUNTIF('Event Trigger'!$C:$C,'Year 1 Results'!$Z37)&gt;SUMIF('Event Trigger'!$C:$C,$Z37,L:L),0,VLOOKUP($Z37,'Asset Master'!$A:$J,6,FALSE))</f>
        <v>300000</v>
      </c>
      <c r="AJ37" s="52">
        <f>IF(VLOOKUP($Z37,'Asset Master'!$A:$J,6,FALSE)*COUNTIF('Event Trigger'!$C:$C,'Year 1 Results'!$Z37)&gt;SUMIF('Event Trigger'!$C:$C,$Z37,M:M),0,VLOOKUP($Z37,'Asset Master'!$A:$J,6,FALSE))</f>
        <v>300000</v>
      </c>
    </row>
    <row r="38" spans="1:36" ht="25.5" x14ac:dyDescent="0.25">
      <c r="A38" s="37" t="str">
        <f>'Risk Master'!B38:B171&amp;"-"&amp;'Risk Master'!D38</f>
        <v>High tide and high rainfalls leading to large floods-Mumbai</v>
      </c>
      <c r="B38" s="37" t="str">
        <f>'Input Sheet year 2'!B39</f>
        <v>Flood-Mumbai</v>
      </c>
      <c r="C38" s="29" t="str">
        <f>'Risk Master'!F38</f>
        <v>A11</v>
      </c>
      <c r="D38" s="73">
        <f>'Risk Master'!$G38*-1+('Risk Master'!$G38*'Event Trigger'!$D38*(1-'Input Sheet year 1'!H39))</f>
        <v>1000000</v>
      </c>
      <c r="E38" s="73">
        <f>'Risk Master'!$G38*-1+('Risk Master'!$G38*'Event Trigger'!$D38*(1-'Input Sheet year 2'!I39))</f>
        <v>1000000</v>
      </c>
      <c r="F38" s="73">
        <f>'Risk Master'!$G38*-1+('Risk Master'!$G38*'Event Trigger'!$D38*(1-'Input Sheet year 2'!J39))</f>
        <v>1000000</v>
      </c>
      <c r="G38" s="73">
        <f>'Risk Master'!$G38*-1+('Risk Master'!$G38*'Event Trigger'!$D38*(1-'Input Sheet year 2'!K39))</f>
        <v>1000000</v>
      </c>
      <c r="H38" s="73">
        <f>'Risk Master'!$G38*-1+('Risk Master'!$G38*'Event Trigger'!$D38*(1-'Input Sheet year 2'!L39))</f>
        <v>1000000</v>
      </c>
      <c r="I38" s="73">
        <f>'Risk Master'!$G38*-1+('Risk Master'!$G38*'Event Trigger'!$D38*(1-'Input Sheet year 2'!M39))</f>
        <v>1000000</v>
      </c>
      <c r="J38" s="73">
        <f>'Risk Master'!$G38*-1+('Risk Master'!$G38*'Event Trigger'!$D38*(1-'Input Sheet year 2'!N39))</f>
        <v>1000000</v>
      </c>
      <c r="K38" s="73">
        <f>'Risk Master'!$G38*-1+('Risk Master'!$G38*'Event Trigger'!$D38*(1-'Input Sheet year 2'!O39))</f>
        <v>1000000</v>
      </c>
      <c r="L38" s="73">
        <f>'Risk Master'!$G38*-1+('Risk Master'!$G38*'Event Trigger'!$D38*(1-'Input Sheet year 2'!P39))</f>
        <v>1000000</v>
      </c>
      <c r="M38" s="73">
        <f>'Risk Master'!$G38*-1+('Risk Master'!$G38*'Event Trigger'!$D38*(1-'Input Sheet year 2'!Q39))</f>
        <v>1000000</v>
      </c>
      <c r="N38" s="88"/>
      <c r="O38" s="88">
        <f t="shared" si="0"/>
        <v>0</v>
      </c>
      <c r="P38" s="88">
        <f t="shared" si="1"/>
        <v>0</v>
      </c>
      <c r="Q38" s="88">
        <f t="shared" si="2"/>
        <v>0</v>
      </c>
      <c r="R38" s="88">
        <f t="shared" si="3"/>
        <v>0</v>
      </c>
      <c r="S38" s="88">
        <f t="shared" si="4"/>
        <v>0</v>
      </c>
      <c r="T38" s="88">
        <f t="shared" si="5"/>
        <v>0</v>
      </c>
      <c r="U38" s="88">
        <f t="shared" si="6"/>
        <v>0</v>
      </c>
      <c r="V38" s="88">
        <f t="shared" si="7"/>
        <v>0</v>
      </c>
      <c r="W38" s="88">
        <f t="shared" si="8"/>
        <v>0</v>
      </c>
      <c r="X38" s="88">
        <f t="shared" si="9"/>
        <v>0</v>
      </c>
      <c r="Z38" s="51" t="s">
        <v>110</v>
      </c>
      <c r="AA38" s="52">
        <f>IF(VLOOKUP($Z38,'Asset Master'!$A:$J,6,FALSE)*COUNTIF('Event Trigger'!$C:$C,'Year 1 Results'!$Z38)&gt;SUMIF('Event Trigger'!$C:$C,$Z38,D:D),0,VLOOKUP($Z38,'Asset Master'!$A:$J,6,FALSE))</f>
        <v>0</v>
      </c>
      <c r="AB38" s="52">
        <f>IF(VLOOKUP($Z38,'Asset Master'!$A:$J,6,FALSE)*COUNTIF('Event Trigger'!$C:$C,'Year 1 Results'!$Z38)&gt;SUMIF('Event Trigger'!$C:$C,$Z38,E:E),0,VLOOKUP($Z38,'Asset Master'!$A:$J,6,FALSE))</f>
        <v>0</v>
      </c>
      <c r="AC38" s="52">
        <f>IF(VLOOKUP($Z38,'Asset Master'!$A:$J,6,FALSE)*COUNTIF('Event Trigger'!$C:$C,'Year 1 Results'!$Z38)&gt;SUMIF('Event Trigger'!$C:$C,$Z38,F:F),0,VLOOKUP($Z38,'Asset Master'!$A:$J,6,FALSE))</f>
        <v>0</v>
      </c>
      <c r="AD38" s="52">
        <f>IF(VLOOKUP($Z38,'Asset Master'!$A:$J,6,FALSE)*COUNTIF('Event Trigger'!$C:$C,'Year 1 Results'!$Z38)&gt;SUMIF('Event Trigger'!$C:$C,$Z38,G:G),0,VLOOKUP($Z38,'Asset Master'!$A:$J,6,FALSE))</f>
        <v>0</v>
      </c>
      <c r="AE38" s="52">
        <f>IF(VLOOKUP($Z38,'Asset Master'!$A:$J,6,FALSE)*COUNTIF('Event Trigger'!$C:$C,'Year 1 Results'!$Z38)&gt;SUMIF('Event Trigger'!$C:$C,$Z38,H:H),0,VLOOKUP($Z38,'Asset Master'!$A:$J,6,FALSE))</f>
        <v>0</v>
      </c>
      <c r="AF38" s="52">
        <f>IF(VLOOKUP($Z38,'Asset Master'!$A:$J,6,FALSE)*COUNTIF('Event Trigger'!$C:$C,'Year 1 Results'!$Z38)&gt;SUMIF('Event Trigger'!$C:$C,$Z38,I:I),0,VLOOKUP($Z38,'Asset Master'!$A:$J,6,FALSE))</f>
        <v>0</v>
      </c>
      <c r="AG38" s="52">
        <f>IF(VLOOKUP($Z38,'Asset Master'!$A:$J,6,FALSE)*COUNTIF('Event Trigger'!$C:$C,'Year 1 Results'!$Z38)&gt;SUMIF('Event Trigger'!$C:$C,$Z38,J:J),0,VLOOKUP($Z38,'Asset Master'!$A:$J,6,FALSE))</f>
        <v>0</v>
      </c>
      <c r="AH38" s="52">
        <f>IF(VLOOKUP($Z38,'Asset Master'!$A:$J,6,FALSE)*COUNTIF('Event Trigger'!$C:$C,'Year 1 Results'!$Z38)&gt;SUMIF('Event Trigger'!$C:$C,$Z38,K:K),0,VLOOKUP($Z38,'Asset Master'!$A:$J,6,FALSE))</f>
        <v>0</v>
      </c>
      <c r="AI38" s="52">
        <f>IF(VLOOKUP($Z38,'Asset Master'!$A:$J,6,FALSE)*COUNTIF('Event Trigger'!$C:$C,'Year 1 Results'!$Z38)&gt;SUMIF('Event Trigger'!$C:$C,$Z38,L:L),0,VLOOKUP($Z38,'Asset Master'!$A:$J,6,FALSE))</f>
        <v>0</v>
      </c>
      <c r="AJ38" s="52">
        <f>IF(VLOOKUP($Z38,'Asset Master'!$A:$J,6,FALSE)*COUNTIF('Event Trigger'!$C:$C,'Year 1 Results'!$Z38)&gt;SUMIF('Event Trigger'!$C:$C,$Z38,M:M),0,VLOOKUP($Z38,'Asset Master'!$A:$J,6,FALSE))</f>
        <v>0</v>
      </c>
    </row>
    <row r="39" spans="1:36" x14ac:dyDescent="0.25">
      <c r="A39" s="37" t="str">
        <f>'Risk Master'!B39:B172&amp;"-"&amp;'Risk Master'!D39</f>
        <v>Earthquake-Mumbai</v>
      </c>
      <c r="B39" s="37" t="str">
        <f>'Input Sheet year 2'!B40</f>
        <v>Earthquake-Mumbai</v>
      </c>
      <c r="C39" s="29" t="str">
        <f>'Risk Master'!F39</f>
        <v>A11</v>
      </c>
      <c r="D39" s="73">
        <f>'Risk Master'!$G39*-1+('Risk Master'!$G39*'Event Trigger'!$D39*(1-'Input Sheet year 1'!H40))</f>
        <v>0</v>
      </c>
      <c r="E39" s="73">
        <f>'Risk Master'!$G39*-1+('Risk Master'!$G39*'Event Trigger'!$D39*(1-'Input Sheet year 2'!I40))</f>
        <v>0</v>
      </c>
      <c r="F39" s="73">
        <f>'Risk Master'!$G39*-1+('Risk Master'!$G39*'Event Trigger'!$D39*(1-'Input Sheet year 2'!J40))</f>
        <v>0</v>
      </c>
      <c r="G39" s="73">
        <f>'Risk Master'!$G39*-1+('Risk Master'!$G39*'Event Trigger'!$D39*(1-'Input Sheet year 2'!K40))</f>
        <v>0</v>
      </c>
      <c r="H39" s="73">
        <f>'Risk Master'!$G39*-1+('Risk Master'!$G39*'Event Trigger'!$D39*(1-'Input Sheet year 2'!L40))</f>
        <v>0</v>
      </c>
      <c r="I39" s="73">
        <f>'Risk Master'!$G39*-1+('Risk Master'!$G39*'Event Trigger'!$D39*(1-'Input Sheet year 2'!M40))</f>
        <v>0</v>
      </c>
      <c r="J39" s="73">
        <f>'Risk Master'!$G39*-1+('Risk Master'!$G39*'Event Trigger'!$D39*(1-'Input Sheet year 2'!N40))</f>
        <v>0</v>
      </c>
      <c r="K39" s="73">
        <f>'Risk Master'!$G39*-1+('Risk Master'!$G39*'Event Trigger'!$D39*(1-'Input Sheet year 2'!O40))</f>
        <v>0</v>
      </c>
      <c r="L39" s="73">
        <f>'Risk Master'!$G39*-1+('Risk Master'!$G39*'Event Trigger'!$D39*(1-'Input Sheet year 2'!P40))</f>
        <v>0</v>
      </c>
      <c r="M39" s="73">
        <f>'Risk Master'!$G39*-1+('Risk Master'!$G39*'Event Trigger'!$D39*(1-'Input Sheet year 2'!Q40))</f>
        <v>0</v>
      </c>
      <c r="N39" s="88"/>
      <c r="O39" s="88">
        <f t="shared" si="0"/>
        <v>0</v>
      </c>
      <c r="P39" s="88">
        <f t="shared" si="1"/>
        <v>0</v>
      </c>
      <c r="Q39" s="88">
        <f t="shared" si="2"/>
        <v>0</v>
      </c>
      <c r="R39" s="88">
        <f t="shared" si="3"/>
        <v>0</v>
      </c>
      <c r="S39" s="88">
        <f t="shared" si="4"/>
        <v>0</v>
      </c>
      <c r="T39" s="88">
        <f t="shared" si="5"/>
        <v>0</v>
      </c>
      <c r="U39" s="88">
        <f t="shared" si="6"/>
        <v>0</v>
      </c>
      <c r="V39" s="88">
        <f t="shared" si="7"/>
        <v>0</v>
      </c>
      <c r="W39" s="88">
        <f t="shared" si="8"/>
        <v>0</v>
      </c>
      <c r="X39" s="88">
        <f t="shared" si="9"/>
        <v>0</v>
      </c>
      <c r="Z39" s="51" t="s">
        <v>111</v>
      </c>
      <c r="AA39" s="52">
        <f>IF(VLOOKUP($Z39,'Asset Master'!$A:$J,6,FALSE)*COUNTIF('Event Trigger'!$C:$C,'Year 1 Results'!$Z39)&gt;SUMIF('Event Trigger'!$C:$C,$Z39,D:D),0,VLOOKUP($Z39,'Asset Master'!$A:$J,6,FALSE))</f>
        <v>500000</v>
      </c>
      <c r="AB39" s="52">
        <f>IF(VLOOKUP($Z39,'Asset Master'!$A:$J,6,FALSE)*COUNTIF('Event Trigger'!$C:$C,'Year 1 Results'!$Z39)&gt;SUMIF('Event Trigger'!$C:$C,$Z39,E:E),0,VLOOKUP($Z39,'Asset Master'!$A:$J,6,FALSE))</f>
        <v>500000</v>
      </c>
      <c r="AC39" s="52">
        <f>IF(VLOOKUP($Z39,'Asset Master'!$A:$J,6,FALSE)*COUNTIF('Event Trigger'!$C:$C,'Year 1 Results'!$Z39)&gt;SUMIF('Event Trigger'!$C:$C,$Z39,F:F),0,VLOOKUP($Z39,'Asset Master'!$A:$J,6,FALSE))</f>
        <v>500000</v>
      </c>
      <c r="AD39" s="52">
        <f>IF(VLOOKUP($Z39,'Asset Master'!$A:$J,6,FALSE)*COUNTIF('Event Trigger'!$C:$C,'Year 1 Results'!$Z39)&gt;SUMIF('Event Trigger'!$C:$C,$Z39,G:G),0,VLOOKUP($Z39,'Asset Master'!$A:$J,6,FALSE))</f>
        <v>500000</v>
      </c>
      <c r="AE39" s="52">
        <f>IF(VLOOKUP($Z39,'Asset Master'!$A:$J,6,FALSE)*COUNTIF('Event Trigger'!$C:$C,'Year 1 Results'!$Z39)&gt;SUMIF('Event Trigger'!$C:$C,$Z39,H:H),0,VLOOKUP($Z39,'Asset Master'!$A:$J,6,FALSE))</f>
        <v>500000</v>
      </c>
      <c r="AF39" s="52">
        <f>IF(VLOOKUP($Z39,'Asset Master'!$A:$J,6,FALSE)*COUNTIF('Event Trigger'!$C:$C,'Year 1 Results'!$Z39)&gt;SUMIF('Event Trigger'!$C:$C,$Z39,I:I),0,VLOOKUP($Z39,'Asset Master'!$A:$J,6,FALSE))</f>
        <v>500000</v>
      </c>
      <c r="AG39" s="52">
        <f>IF(VLOOKUP($Z39,'Asset Master'!$A:$J,6,FALSE)*COUNTIF('Event Trigger'!$C:$C,'Year 1 Results'!$Z39)&gt;SUMIF('Event Trigger'!$C:$C,$Z39,J:J),0,VLOOKUP($Z39,'Asset Master'!$A:$J,6,FALSE))</f>
        <v>500000</v>
      </c>
      <c r="AH39" s="52">
        <f>IF(VLOOKUP($Z39,'Asset Master'!$A:$J,6,FALSE)*COUNTIF('Event Trigger'!$C:$C,'Year 1 Results'!$Z39)&gt;SUMIF('Event Trigger'!$C:$C,$Z39,K:K),0,VLOOKUP($Z39,'Asset Master'!$A:$J,6,FALSE))</f>
        <v>500000</v>
      </c>
      <c r="AI39" s="52">
        <f>IF(VLOOKUP($Z39,'Asset Master'!$A:$J,6,FALSE)*COUNTIF('Event Trigger'!$C:$C,'Year 1 Results'!$Z39)&gt;SUMIF('Event Trigger'!$C:$C,$Z39,L:L),0,VLOOKUP($Z39,'Asset Master'!$A:$J,6,FALSE))</f>
        <v>500000</v>
      </c>
      <c r="AJ39" s="52">
        <f>IF(VLOOKUP($Z39,'Asset Master'!$A:$J,6,FALSE)*COUNTIF('Event Trigger'!$C:$C,'Year 1 Results'!$Z39)&gt;SUMIF('Event Trigger'!$C:$C,$Z39,M:M),0,VLOOKUP($Z39,'Asset Master'!$A:$J,6,FALSE))</f>
        <v>500000</v>
      </c>
    </row>
    <row r="40" spans="1:36" x14ac:dyDescent="0.25">
      <c r="A40" s="37" t="str">
        <f>'Risk Master'!B40:B173&amp;"-"&amp;'Risk Master'!D40</f>
        <v>Fire-Mumbai</v>
      </c>
      <c r="B40" s="37" t="str">
        <f>'Input Sheet year 2'!B41</f>
        <v>Fire-Mumbai</v>
      </c>
      <c r="C40" s="29" t="str">
        <f>'Risk Master'!F40</f>
        <v>A11</v>
      </c>
      <c r="D40" s="73">
        <f>'Risk Master'!$G40*-1+('Risk Master'!$G40*'Event Trigger'!$D40*(1-'Input Sheet year 1'!H41))</f>
        <v>1000000</v>
      </c>
      <c r="E40" s="73">
        <f>'Risk Master'!$G40*-1+('Risk Master'!$G40*'Event Trigger'!$D40*(1-'Input Sheet year 2'!I41))</f>
        <v>1000000</v>
      </c>
      <c r="F40" s="73">
        <f>'Risk Master'!$G40*-1+('Risk Master'!$G40*'Event Trigger'!$D40*(1-'Input Sheet year 2'!J41))</f>
        <v>1000000</v>
      </c>
      <c r="G40" s="73">
        <f>'Risk Master'!$G40*-1+('Risk Master'!$G40*'Event Trigger'!$D40*(1-'Input Sheet year 2'!K41))</f>
        <v>1000000</v>
      </c>
      <c r="H40" s="73">
        <f>'Risk Master'!$G40*-1+('Risk Master'!$G40*'Event Trigger'!$D40*(1-'Input Sheet year 2'!L41))</f>
        <v>1000000</v>
      </c>
      <c r="I40" s="73">
        <f>'Risk Master'!$G40*-1+('Risk Master'!$G40*'Event Trigger'!$D40*(1-'Input Sheet year 2'!M41))</f>
        <v>1000000</v>
      </c>
      <c r="J40" s="73">
        <f>'Risk Master'!$G40*-1+('Risk Master'!$G40*'Event Trigger'!$D40*(1-'Input Sheet year 2'!N41))</f>
        <v>1000000</v>
      </c>
      <c r="K40" s="73">
        <f>'Risk Master'!$G40*-1+('Risk Master'!$G40*'Event Trigger'!$D40*(1-'Input Sheet year 2'!O41))</f>
        <v>1000000</v>
      </c>
      <c r="L40" s="73">
        <f>'Risk Master'!$G40*-1+('Risk Master'!$G40*'Event Trigger'!$D40*(1-'Input Sheet year 2'!P41))</f>
        <v>1000000</v>
      </c>
      <c r="M40" s="73">
        <f>'Risk Master'!$G40*-1+('Risk Master'!$G40*'Event Trigger'!$D40*(1-'Input Sheet year 2'!Q41))</f>
        <v>1000000</v>
      </c>
      <c r="N40" s="88"/>
      <c r="O40" s="88">
        <f t="shared" si="0"/>
        <v>0</v>
      </c>
      <c r="P40" s="88">
        <f t="shared" si="1"/>
        <v>0</v>
      </c>
      <c r="Q40" s="88">
        <f t="shared" si="2"/>
        <v>0</v>
      </c>
      <c r="R40" s="88">
        <f t="shared" si="3"/>
        <v>0</v>
      </c>
      <c r="S40" s="88">
        <f t="shared" si="4"/>
        <v>0</v>
      </c>
      <c r="T40" s="88">
        <f t="shared" si="5"/>
        <v>0</v>
      </c>
      <c r="U40" s="88">
        <f t="shared" si="6"/>
        <v>0</v>
      </c>
      <c r="V40" s="88">
        <f t="shared" si="7"/>
        <v>0</v>
      </c>
      <c r="W40" s="88">
        <f t="shared" si="8"/>
        <v>0</v>
      </c>
      <c r="X40" s="88">
        <f t="shared" si="9"/>
        <v>0</v>
      </c>
      <c r="Z40" s="51" t="s">
        <v>112</v>
      </c>
      <c r="AA40" s="52">
        <f>IF(VLOOKUP($Z40,'Asset Master'!$A:$J,6,FALSE)*COUNTIF('Event Trigger'!$C:$C,'Year 1 Results'!$Z40)&gt;SUMIF('Event Trigger'!$C:$C,$Z40,D:D),0,VLOOKUP($Z40,'Asset Master'!$A:$J,6,FALSE))</f>
        <v>0</v>
      </c>
      <c r="AB40" s="52">
        <f>IF(VLOOKUP($Z40,'Asset Master'!$A:$J,6,FALSE)*COUNTIF('Event Trigger'!$C:$C,'Year 1 Results'!$Z40)&gt;SUMIF('Event Trigger'!$C:$C,$Z40,E:E),0,VLOOKUP($Z40,'Asset Master'!$A:$J,6,FALSE))</f>
        <v>0</v>
      </c>
      <c r="AC40" s="52">
        <f>IF(VLOOKUP($Z40,'Asset Master'!$A:$J,6,FALSE)*COUNTIF('Event Trigger'!$C:$C,'Year 1 Results'!$Z40)&gt;SUMIF('Event Trigger'!$C:$C,$Z40,F:F),0,VLOOKUP($Z40,'Asset Master'!$A:$J,6,FALSE))</f>
        <v>0</v>
      </c>
      <c r="AD40" s="52">
        <f>IF(VLOOKUP($Z40,'Asset Master'!$A:$J,6,FALSE)*COUNTIF('Event Trigger'!$C:$C,'Year 1 Results'!$Z40)&gt;SUMIF('Event Trigger'!$C:$C,$Z40,G:G),0,VLOOKUP($Z40,'Asset Master'!$A:$J,6,FALSE))</f>
        <v>0</v>
      </c>
      <c r="AE40" s="52">
        <f>IF(VLOOKUP($Z40,'Asset Master'!$A:$J,6,FALSE)*COUNTIF('Event Trigger'!$C:$C,'Year 1 Results'!$Z40)&gt;SUMIF('Event Trigger'!$C:$C,$Z40,H:H),0,VLOOKUP($Z40,'Asset Master'!$A:$J,6,FALSE))</f>
        <v>0</v>
      </c>
      <c r="AF40" s="52">
        <f>IF(VLOOKUP($Z40,'Asset Master'!$A:$J,6,FALSE)*COUNTIF('Event Trigger'!$C:$C,'Year 1 Results'!$Z40)&gt;SUMIF('Event Trigger'!$C:$C,$Z40,I:I),0,VLOOKUP($Z40,'Asset Master'!$A:$J,6,FALSE))</f>
        <v>0</v>
      </c>
      <c r="AG40" s="52">
        <f>IF(VLOOKUP($Z40,'Asset Master'!$A:$J,6,FALSE)*COUNTIF('Event Trigger'!$C:$C,'Year 1 Results'!$Z40)&gt;SUMIF('Event Trigger'!$C:$C,$Z40,J:J),0,VLOOKUP($Z40,'Asset Master'!$A:$J,6,FALSE))</f>
        <v>0</v>
      </c>
      <c r="AH40" s="52">
        <f>IF(VLOOKUP($Z40,'Asset Master'!$A:$J,6,FALSE)*COUNTIF('Event Trigger'!$C:$C,'Year 1 Results'!$Z40)&gt;SUMIF('Event Trigger'!$C:$C,$Z40,K:K),0,VLOOKUP($Z40,'Asset Master'!$A:$J,6,FALSE))</f>
        <v>0</v>
      </c>
      <c r="AI40" s="52">
        <f>IF(VLOOKUP($Z40,'Asset Master'!$A:$J,6,FALSE)*COUNTIF('Event Trigger'!$C:$C,'Year 1 Results'!$Z40)&gt;SUMIF('Event Trigger'!$C:$C,$Z40,L:L),0,VLOOKUP($Z40,'Asset Master'!$A:$J,6,FALSE))</f>
        <v>0</v>
      </c>
      <c r="AJ40" s="52">
        <f>IF(VLOOKUP($Z40,'Asset Master'!$A:$J,6,FALSE)*COUNTIF('Event Trigger'!$C:$C,'Year 1 Results'!$Z40)&gt;SUMIF('Event Trigger'!$C:$C,$Z40,M:M),0,VLOOKUP($Z40,'Asset Master'!$A:$J,6,FALSE))</f>
        <v>0</v>
      </c>
    </row>
    <row r="41" spans="1:36" x14ac:dyDescent="0.25">
      <c r="A41" s="37" t="str">
        <f>'Risk Master'!B41:B174&amp;"-"&amp;'Risk Master'!D41</f>
        <v>Typhoon-Mumbai</v>
      </c>
      <c r="B41" s="37" t="str">
        <f>'Input Sheet year 2'!B42</f>
        <v>Typhoon-Mumbai</v>
      </c>
      <c r="C41" s="29" t="str">
        <f>'Risk Master'!F41</f>
        <v>A11</v>
      </c>
      <c r="D41" s="73">
        <f>'Risk Master'!$G41*-1+('Risk Master'!$G41*'Event Trigger'!$D41*(1-'Input Sheet year 1'!H42))</f>
        <v>0</v>
      </c>
      <c r="E41" s="73">
        <f>'Risk Master'!$G41*-1+('Risk Master'!$G41*'Event Trigger'!$D41*(1-'Input Sheet year 2'!I42))</f>
        <v>0</v>
      </c>
      <c r="F41" s="73">
        <f>'Risk Master'!$G41*-1+('Risk Master'!$G41*'Event Trigger'!$D41*(1-'Input Sheet year 2'!J42))</f>
        <v>0</v>
      </c>
      <c r="G41" s="73">
        <f>'Risk Master'!$G41*-1+('Risk Master'!$G41*'Event Trigger'!$D41*(1-'Input Sheet year 2'!K42))</f>
        <v>1000000</v>
      </c>
      <c r="H41" s="73">
        <f>'Risk Master'!$G41*-1+('Risk Master'!$G41*'Event Trigger'!$D41*(1-'Input Sheet year 2'!L42))</f>
        <v>0</v>
      </c>
      <c r="I41" s="73">
        <f>'Risk Master'!$G41*-1+('Risk Master'!$G41*'Event Trigger'!$D41*(1-'Input Sheet year 2'!M42))</f>
        <v>0</v>
      </c>
      <c r="J41" s="73">
        <f>'Risk Master'!$G41*-1+('Risk Master'!$G41*'Event Trigger'!$D41*(1-'Input Sheet year 2'!N42))</f>
        <v>0</v>
      </c>
      <c r="K41" s="73">
        <f>'Risk Master'!$G41*-1+('Risk Master'!$G41*'Event Trigger'!$D41*(1-'Input Sheet year 2'!O42))</f>
        <v>0</v>
      </c>
      <c r="L41" s="73">
        <f>'Risk Master'!$G41*-1+('Risk Master'!$G41*'Event Trigger'!$D41*(1-'Input Sheet year 2'!P42))</f>
        <v>1000000</v>
      </c>
      <c r="M41" s="73">
        <f>'Risk Master'!$G41*-1+('Risk Master'!$G41*'Event Trigger'!$D41*(1-'Input Sheet year 2'!Q42))</f>
        <v>0</v>
      </c>
      <c r="N41" s="88"/>
      <c r="O41" s="88">
        <f t="shared" si="0"/>
        <v>0</v>
      </c>
      <c r="P41" s="88">
        <f t="shared" si="1"/>
        <v>0</v>
      </c>
      <c r="Q41" s="88">
        <f t="shared" si="2"/>
        <v>0</v>
      </c>
      <c r="R41" s="88">
        <f t="shared" si="3"/>
        <v>0</v>
      </c>
      <c r="S41" s="88">
        <f t="shared" si="4"/>
        <v>0</v>
      </c>
      <c r="T41" s="88">
        <f t="shared" si="5"/>
        <v>0</v>
      </c>
      <c r="U41" s="88">
        <f t="shared" si="6"/>
        <v>0</v>
      </c>
      <c r="V41" s="88">
        <f t="shared" si="7"/>
        <v>0</v>
      </c>
      <c r="W41" s="88">
        <f t="shared" si="8"/>
        <v>0</v>
      </c>
      <c r="X41" s="88">
        <f t="shared" si="9"/>
        <v>0</v>
      </c>
      <c r="Z41" s="51" t="s">
        <v>113</v>
      </c>
      <c r="AA41" s="52">
        <f>IF(VLOOKUP($Z41,'Asset Master'!$A:$J,6,FALSE)*COUNTIF('Event Trigger'!$C:$C,'Year 1 Results'!$Z41)&gt;SUMIF('Event Trigger'!$C:$C,$Z41,D:D),0,VLOOKUP($Z41,'Asset Master'!$A:$J,6,FALSE))</f>
        <v>0</v>
      </c>
      <c r="AB41" s="52">
        <f>IF(VLOOKUP($Z41,'Asset Master'!$A:$J,6,FALSE)*COUNTIF('Event Trigger'!$C:$C,'Year 1 Results'!$Z41)&gt;SUMIF('Event Trigger'!$C:$C,$Z41,E:E),0,VLOOKUP($Z41,'Asset Master'!$A:$J,6,FALSE))</f>
        <v>0</v>
      </c>
      <c r="AC41" s="52">
        <f>IF(VLOOKUP($Z41,'Asset Master'!$A:$J,6,FALSE)*COUNTIF('Event Trigger'!$C:$C,'Year 1 Results'!$Z41)&gt;SUMIF('Event Trigger'!$C:$C,$Z41,F:F),0,VLOOKUP($Z41,'Asset Master'!$A:$J,6,FALSE))</f>
        <v>0</v>
      </c>
      <c r="AD41" s="52">
        <f>IF(VLOOKUP($Z41,'Asset Master'!$A:$J,6,FALSE)*COUNTIF('Event Trigger'!$C:$C,'Year 1 Results'!$Z41)&gt;SUMIF('Event Trigger'!$C:$C,$Z41,G:G),0,VLOOKUP($Z41,'Asset Master'!$A:$J,6,FALSE))</f>
        <v>0</v>
      </c>
      <c r="AE41" s="52">
        <f>IF(VLOOKUP($Z41,'Asset Master'!$A:$J,6,FALSE)*COUNTIF('Event Trigger'!$C:$C,'Year 1 Results'!$Z41)&gt;SUMIF('Event Trigger'!$C:$C,$Z41,H:H),0,VLOOKUP($Z41,'Asset Master'!$A:$J,6,FALSE))</f>
        <v>0</v>
      </c>
      <c r="AF41" s="52">
        <f>IF(VLOOKUP($Z41,'Asset Master'!$A:$J,6,FALSE)*COUNTIF('Event Trigger'!$C:$C,'Year 1 Results'!$Z41)&gt;SUMIF('Event Trigger'!$C:$C,$Z41,I:I),0,VLOOKUP($Z41,'Asset Master'!$A:$J,6,FALSE))</f>
        <v>0</v>
      </c>
      <c r="AG41" s="52">
        <f>IF(VLOOKUP($Z41,'Asset Master'!$A:$J,6,FALSE)*COUNTIF('Event Trigger'!$C:$C,'Year 1 Results'!$Z41)&gt;SUMIF('Event Trigger'!$C:$C,$Z41,J:J),0,VLOOKUP($Z41,'Asset Master'!$A:$J,6,FALSE))</f>
        <v>0</v>
      </c>
      <c r="AH41" s="52">
        <f>IF(VLOOKUP($Z41,'Asset Master'!$A:$J,6,FALSE)*COUNTIF('Event Trigger'!$C:$C,'Year 1 Results'!$Z41)&gt;SUMIF('Event Trigger'!$C:$C,$Z41,K:K),0,VLOOKUP($Z41,'Asset Master'!$A:$J,6,FALSE))</f>
        <v>300000</v>
      </c>
      <c r="AI41" s="52">
        <f>IF(VLOOKUP($Z41,'Asset Master'!$A:$J,6,FALSE)*COUNTIF('Event Trigger'!$C:$C,'Year 1 Results'!$Z41)&gt;SUMIF('Event Trigger'!$C:$C,$Z41,L:L),0,VLOOKUP($Z41,'Asset Master'!$A:$J,6,FALSE))</f>
        <v>0</v>
      </c>
      <c r="AJ41" s="52">
        <f>IF(VLOOKUP($Z41,'Asset Master'!$A:$J,6,FALSE)*COUNTIF('Event Trigger'!$C:$C,'Year 1 Results'!$Z41)&gt;SUMIF('Event Trigger'!$C:$C,$Z41,M:M),0,VLOOKUP($Z41,'Asset Master'!$A:$J,6,FALSE))</f>
        <v>0</v>
      </c>
    </row>
    <row r="42" spans="1:36" ht="25.5" x14ac:dyDescent="0.25">
      <c r="A42" s="37" t="str">
        <f>'Risk Master'!B42:B175&amp;"-"&amp;'Risk Master'!D42</f>
        <v>Thunderstorms, Tornados &amp; Hail-Mumbai</v>
      </c>
      <c r="B42" s="37" t="str">
        <f>'Input Sheet year 2'!B43</f>
        <v>Thunderstorms, Tornados &amp; Hail-Mumbai</v>
      </c>
      <c r="C42" s="29" t="str">
        <f>'Risk Master'!F42</f>
        <v>A11</v>
      </c>
      <c r="D42" s="73">
        <f>'Risk Master'!$G42*-1+('Risk Master'!$G42*'Event Trigger'!$D42*(1-'Input Sheet year 1'!H43))</f>
        <v>1000000</v>
      </c>
      <c r="E42" s="73">
        <f>'Risk Master'!$G42*-1+('Risk Master'!$G42*'Event Trigger'!$D42*(1-'Input Sheet year 2'!I43))</f>
        <v>1000000</v>
      </c>
      <c r="F42" s="73">
        <f>'Risk Master'!$G42*-1+('Risk Master'!$G42*'Event Trigger'!$D42*(1-'Input Sheet year 2'!J43))</f>
        <v>1000000</v>
      </c>
      <c r="G42" s="73">
        <f>'Risk Master'!$G42*-1+('Risk Master'!$G42*'Event Trigger'!$D42*(1-'Input Sheet year 2'!K43))</f>
        <v>1000000</v>
      </c>
      <c r="H42" s="73">
        <f>'Risk Master'!$G42*-1+('Risk Master'!$G42*'Event Trigger'!$D42*(1-'Input Sheet year 2'!L43))</f>
        <v>1000000</v>
      </c>
      <c r="I42" s="73">
        <f>'Risk Master'!$G42*-1+('Risk Master'!$G42*'Event Trigger'!$D42*(1-'Input Sheet year 2'!M43))</f>
        <v>1000000</v>
      </c>
      <c r="J42" s="73">
        <f>'Risk Master'!$G42*-1+('Risk Master'!$G42*'Event Trigger'!$D42*(1-'Input Sheet year 2'!N43))</f>
        <v>1000000</v>
      </c>
      <c r="K42" s="73">
        <f>'Risk Master'!$G42*-1+('Risk Master'!$G42*'Event Trigger'!$D42*(1-'Input Sheet year 2'!O43))</f>
        <v>1000000</v>
      </c>
      <c r="L42" s="73">
        <f>'Risk Master'!$G42*-1+('Risk Master'!$G42*'Event Trigger'!$D42*(1-'Input Sheet year 2'!P43))</f>
        <v>1000000</v>
      </c>
      <c r="M42" s="73">
        <f>'Risk Master'!$G42*-1+('Risk Master'!$G42*'Event Trigger'!$D42*(1-'Input Sheet year 2'!Q43))</f>
        <v>1000000</v>
      </c>
      <c r="N42" s="88"/>
      <c r="O42" s="88">
        <f t="shared" si="0"/>
        <v>0</v>
      </c>
      <c r="P42" s="88">
        <f t="shared" si="1"/>
        <v>0</v>
      </c>
      <c r="Q42" s="88">
        <f t="shared" si="2"/>
        <v>0</v>
      </c>
      <c r="R42" s="88">
        <f t="shared" si="3"/>
        <v>0</v>
      </c>
      <c r="S42" s="88">
        <f t="shared" si="4"/>
        <v>0</v>
      </c>
      <c r="T42" s="88">
        <f t="shared" si="5"/>
        <v>0</v>
      </c>
      <c r="U42" s="88">
        <f t="shared" si="6"/>
        <v>0</v>
      </c>
      <c r="V42" s="88">
        <f t="shared" si="7"/>
        <v>0</v>
      </c>
      <c r="W42" s="88">
        <f t="shared" si="8"/>
        <v>0</v>
      </c>
      <c r="X42" s="88">
        <f t="shared" si="9"/>
        <v>0</v>
      </c>
      <c r="Z42" s="51" t="s">
        <v>205</v>
      </c>
      <c r="AA42" s="52">
        <f>IF(VLOOKUP($Z42,'Asset Master'!$A:$J,6,FALSE)*COUNTIF('Event Trigger'!$C:$C,'Year 1 Results'!$Z42)&gt;SUMIF('Event Trigger'!$C:$C,$Z42,D:D),0,VLOOKUP($Z42,'Asset Master'!$A:$J,6,FALSE))</f>
        <v>0</v>
      </c>
      <c r="AB42" s="52">
        <f>IF(VLOOKUP($Z42,'Asset Master'!$A:$J,6,FALSE)*COUNTIF('Event Trigger'!$C:$C,'Year 1 Results'!$Z42)&gt;SUMIF('Event Trigger'!$C:$C,$Z42,E:E),0,VLOOKUP($Z42,'Asset Master'!$A:$J,6,FALSE))</f>
        <v>0</v>
      </c>
      <c r="AC42" s="52">
        <f>IF(VLOOKUP($Z42,'Asset Master'!$A:$J,6,FALSE)*COUNTIF('Event Trigger'!$C:$C,'Year 1 Results'!$Z42)&gt;SUMIF('Event Trigger'!$C:$C,$Z42,F:F),0,VLOOKUP($Z42,'Asset Master'!$A:$J,6,FALSE))</f>
        <v>0</v>
      </c>
      <c r="AD42" s="52">
        <f>IF(VLOOKUP($Z42,'Asset Master'!$A:$J,6,FALSE)*COUNTIF('Event Trigger'!$C:$C,'Year 1 Results'!$Z42)&gt;SUMIF('Event Trigger'!$C:$C,$Z42,G:G),0,VLOOKUP($Z42,'Asset Master'!$A:$J,6,FALSE))</f>
        <v>0</v>
      </c>
      <c r="AE42" s="52">
        <f>IF(VLOOKUP($Z42,'Asset Master'!$A:$J,6,FALSE)*COUNTIF('Event Trigger'!$C:$C,'Year 1 Results'!$Z42)&gt;SUMIF('Event Trigger'!$C:$C,$Z42,H:H),0,VLOOKUP($Z42,'Asset Master'!$A:$J,6,FALSE))</f>
        <v>0</v>
      </c>
      <c r="AF42" s="52">
        <f>IF(VLOOKUP($Z42,'Asset Master'!$A:$J,6,FALSE)*COUNTIF('Event Trigger'!$C:$C,'Year 1 Results'!$Z42)&gt;SUMIF('Event Trigger'!$C:$C,$Z42,I:I),0,VLOOKUP($Z42,'Asset Master'!$A:$J,6,FALSE))</f>
        <v>0</v>
      </c>
      <c r="AG42" s="52">
        <f>IF(VLOOKUP($Z42,'Asset Master'!$A:$J,6,FALSE)*COUNTIF('Event Trigger'!$C:$C,'Year 1 Results'!$Z42)&gt;SUMIF('Event Trigger'!$C:$C,$Z42,J:J),0,VLOOKUP($Z42,'Asset Master'!$A:$J,6,FALSE))</f>
        <v>0</v>
      </c>
      <c r="AH42" s="52">
        <f>IF(VLOOKUP($Z42,'Asset Master'!$A:$J,6,FALSE)*COUNTIF('Event Trigger'!$C:$C,'Year 1 Results'!$Z42)&gt;SUMIF('Event Trigger'!$C:$C,$Z42,K:K),0,VLOOKUP($Z42,'Asset Master'!$A:$J,6,FALSE))</f>
        <v>0</v>
      </c>
      <c r="AI42" s="52">
        <f>IF(VLOOKUP($Z42,'Asset Master'!$A:$J,6,FALSE)*COUNTIF('Event Trigger'!$C:$C,'Year 1 Results'!$Z42)&gt;SUMIF('Event Trigger'!$C:$C,$Z42,L:L),0,VLOOKUP($Z42,'Asset Master'!$A:$J,6,FALSE))</f>
        <v>0</v>
      </c>
      <c r="AJ42" s="52">
        <f>IF(VLOOKUP($Z42,'Asset Master'!$A:$J,6,FALSE)*COUNTIF('Event Trigger'!$C:$C,'Year 1 Results'!$Z42)&gt;SUMIF('Event Trigger'!$C:$C,$Z42,M:M),0,VLOOKUP($Z42,'Asset Master'!$A:$J,6,FALSE))</f>
        <v>0</v>
      </c>
    </row>
    <row r="43" spans="1:36" x14ac:dyDescent="0.25">
      <c r="A43" s="37" t="str">
        <f>'Risk Master'!B43:B176&amp;"-"&amp;'Risk Master'!D43</f>
        <v>Tsunami-Mumbai</v>
      </c>
      <c r="B43" s="37" t="str">
        <f>'Input Sheet year 2'!B44</f>
        <v>Tsunami-Mumbai</v>
      </c>
      <c r="C43" s="29" t="str">
        <f>'Risk Master'!F43</f>
        <v>A11</v>
      </c>
      <c r="D43" s="73">
        <f>'Risk Master'!$G43*-1+('Risk Master'!$G43*'Event Trigger'!$D43*(1-'Input Sheet year 1'!H44))</f>
        <v>1000000</v>
      </c>
      <c r="E43" s="73">
        <f>'Risk Master'!$G43*-1+('Risk Master'!$G43*'Event Trigger'!$D43*(1-'Input Sheet year 2'!I44))</f>
        <v>1000000</v>
      </c>
      <c r="F43" s="73">
        <f>'Risk Master'!$G43*-1+('Risk Master'!$G43*'Event Trigger'!$D43*(1-'Input Sheet year 2'!J44))</f>
        <v>1000000</v>
      </c>
      <c r="G43" s="73">
        <f>'Risk Master'!$G43*-1+('Risk Master'!$G43*'Event Trigger'!$D43*(1-'Input Sheet year 2'!K44))</f>
        <v>1000000</v>
      </c>
      <c r="H43" s="73">
        <f>'Risk Master'!$G43*-1+('Risk Master'!$G43*'Event Trigger'!$D43*(1-'Input Sheet year 2'!L44))</f>
        <v>1000000</v>
      </c>
      <c r="I43" s="73">
        <f>'Risk Master'!$G43*-1+('Risk Master'!$G43*'Event Trigger'!$D43*(1-'Input Sheet year 2'!M44))</f>
        <v>1000000</v>
      </c>
      <c r="J43" s="73">
        <f>'Risk Master'!$G43*-1+('Risk Master'!$G43*'Event Trigger'!$D43*(1-'Input Sheet year 2'!N44))</f>
        <v>1000000</v>
      </c>
      <c r="K43" s="73">
        <f>'Risk Master'!$G43*-1+('Risk Master'!$G43*'Event Trigger'!$D43*(1-'Input Sheet year 2'!O44))</f>
        <v>1000000</v>
      </c>
      <c r="L43" s="73">
        <f>'Risk Master'!$G43*-1+('Risk Master'!$G43*'Event Trigger'!$D43*(1-'Input Sheet year 2'!P44))</f>
        <v>1000000</v>
      </c>
      <c r="M43" s="73">
        <f>'Risk Master'!$G43*-1+('Risk Master'!$G43*'Event Trigger'!$D43*(1-'Input Sheet year 2'!Q44))</f>
        <v>1000000</v>
      </c>
      <c r="N43" s="88"/>
      <c r="O43" s="88">
        <f t="shared" si="0"/>
        <v>0</v>
      </c>
      <c r="P43" s="88">
        <f t="shared" si="1"/>
        <v>0</v>
      </c>
      <c r="Q43" s="88">
        <f t="shared" si="2"/>
        <v>0</v>
      </c>
      <c r="R43" s="88">
        <f t="shared" si="3"/>
        <v>0</v>
      </c>
      <c r="S43" s="88">
        <f t="shared" si="4"/>
        <v>0</v>
      </c>
      <c r="T43" s="88">
        <f t="shared" si="5"/>
        <v>0</v>
      </c>
      <c r="U43" s="88">
        <f t="shared" si="6"/>
        <v>0</v>
      </c>
      <c r="V43" s="88">
        <f t="shared" si="7"/>
        <v>0</v>
      </c>
      <c r="W43" s="88">
        <f t="shared" si="8"/>
        <v>0</v>
      </c>
      <c r="X43" s="88">
        <f t="shared" si="9"/>
        <v>0</v>
      </c>
      <c r="Z43" s="51" t="s">
        <v>206</v>
      </c>
      <c r="AA43" s="52">
        <f>IF(VLOOKUP($Z43,'Asset Master'!$A:$J,6,FALSE)*COUNTIF('Event Trigger'!$C:$C,'Year 1 Results'!$Z43)&gt;SUMIF('Event Trigger'!$C:$C,$Z43,D:D),0,VLOOKUP($Z43,'Asset Master'!$A:$J,6,FALSE))</f>
        <v>0</v>
      </c>
      <c r="AB43" s="52">
        <f>IF(VLOOKUP($Z43,'Asset Master'!$A:$J,6,FALSE)*COUNTIF('Event Trigger'!$C:$C,'Year 1 Results'!$Z43)&gt;SUMIF('Event Trigger'!$C:$C,$Z43,E:E),0,VLOOKUP($Z43,'Asset Master'!$A:$J,6,FALSE))</f>
        <v>0</v>
      </c>
      <c r="AC43" s="52">
        <f>IF(VLOOKUP($Z43,'Asset Master'!$A:$J,6,FALSE)*COUNTIF('Event Trigger'!$C:$C,'Year 1 Results'!$Z43)&gt;SUMIF('Event Trigger'!$C:$C,$Z43,F:F),0,VLOOKUP($Z43,'Asset Master'!$A:$J,6,FALSE))</f>
        <v>0</v>
      </c>
      <c r="AD43" s="52">
        <f>IF(VLOOKUP($Z43,'Asset Master'!$A:$J,6,FALSE)*COUNTIF('Event Trigger'!$C:$C,'Year 1 Results'!$Z43)&gt;SUMIF('Event Trigger'!$C:$C,$Z43,G:G),0,VLOOKUP($Z43,'Asset Master'!$A:$J,6,FALSE))</f>
        <v>0</v>
      </c>
      <c r="AE43" s="52">
        <f>IF(VLOOKUP($Z43,'Asset Master'!$A:$J,6,FALSE)*COUNTIF('Event Trigger'!$C:$C,'Year 1 Results'!$Z43)&gt;SUMIF('Event Trigger'!$C:$C,$Z43,H:H),0,VLOOKUP($Z43,'Asset Master'!$A:$J,6,FALSE))</f>
        <v>0</v>
      </c>
      <c r="AF43" s="52">
        <f>IF(VLOOKUP($Z43,'Asset Master'!$A:$J,6,FALSE)*COUNTIF('Event Trigger'!$C:$C,'Year 1 Results'!$Z43)&gt;SUMIF('Event Trigger'!$C:$C,$Z43,I:I),0,VLOOKUP($Z43,'Asset Master'!$A:$J,6,FALSE))</f>
        <v>0</v>
      </c>
      <c r="AG43" s="52">
        <f>IF(VLOOKUP($Z43,'Asset Master'!$A:$J,6,FALSE)*COUNTIF('Event Trigger'!$C:$C,'Year 1 Results'!$Z43)&gt;SUMIF('Event Trigger'!$C:$C,$Z43,J:J),0,VLOOKUP($Z43,'Asset Master'!$A:$J,6,FALSE))</f>
        <v>0</v>
      </c>
      <c r="AH43" s="52">
        <f>IF(VLOOKUP($Z43,'Asset Master'!$A:$J,6,FALSE)*COUNTIF('Event Trigger'!$C:$C,'Year 1 Results'!$Z43)&gt;SUMIF('Event Trigger'!$C:$C,$Z43,K:K),0,VLOOKUP($Z43,'Asset Master'!$A:$J,6,FALSE))</f>
        <v>0</v>
      </c>
      <c r="AI43" s="52">
        <f>IF(VLOOKUP($Z43,'Asset Master'!$A:$J,6,FALSE)*COUNTIF('Event Trigger'!$C:$C,'Year 1 Results'!$Z43)&gt;SUMIF('Event Trigger'!$C:$C,$Z43,L:L),0,VLOOKUP($Z43,'Asset Master'!$A:$J,6,FALSE))</f>
        <v>0</v>
      </c>
      <c r="AJ43" s="52">
        <f>IF(VLOOKUP($Z43,'Asset Master'!$A:$J,6,FALSE)*COUNTIF('Event Trigger'!$C:$C,'Year 1 Results'!$Z43)&gt;SUMIF('Event Trigger'!$C:$C,$Z43,M:M),0,VLOOKUP($Z43,'Asset Master'!$A:$J,6,FALSE))</f>
        <v>0</v>
      </c>
    </row>
    <row r="44" spans="1:36" ht="25.5" x14ac:dyDescent="0.25">
      <c r="A44" s="37" t="str">
        <f>'Risk Master'!B44:B177&amp;"-"&amp;'Risk Master'!D44</f>
        <v>High tide and high rainfalls leading to large floods-Mumbai</v>
      </c>
      <c r="B44" s="37" t="str">
        <f>'Input Sheet year 2'!B45</f>
        <v>Flood-Mumbai</v>
      </c>
      <c r="C44" s="29" t="str">
        <f>'Risk Master'!F44</f>
        <v>A12</v>
      </c>
      <c r="D44" s="73">
        <f>'Risk Master'!$G44*-1+('Risk Master'!$G44*'Event Trigger'!$D44*(1-'Input Sheet year 1'!H45))</f>
        <v>500000</v>
      </c>
      <c r="E44" s="73">
        <f>'Risk Master'!$G44*-1+('Risk Master'!$G44*'Event Trigger'!$D44*(1-'Input Sheet year 2'!I45))</f>
        <v>500000</v>
      </c>
      <c r="F44" s="73">
        <f>'Risk Master'!$G44*-1+('Risk Master'!$G44*'Event Trigger'!$D44*(1-'Input Sheet year 2'!J45))</f>
        <v>500000</v>
      </c>
      <c r="G44" s="73">
        <f>'Risk Master'!$G44*-1+('Risk Master'!$G44*'Event Trigger'!$D44*(1-'Input Sheet year 2'!K45))</f>
        <v>500000</v>
      </c>
      <c r="H44" s="73">
        <f>'Risk Master'!$G44*-1+('Risk Master'!$G44*'Event Trigger'!$D44*(1-'Input Sheet year 2'!L45))</f>
        <v>500000</v>
      </c>
      <c r="I44" s="73">
        <f>'Risk Master'!$G44*-1+('Risk Master'!$G44*'Event Trigger'!$D44*(1-'Input Sheet year 2'!M45))</f>
        <v>500000</v>
      </c>
      <c r="J44" s="73">
        <f>'Risk Master'!$G44*-1+('Risk Master'!$G44*'Event Trigger'!$D44*(1-'Input Sheet year 2'!N45))</f>
        <v>500000</v>
      </c>
      <c r="K44" s="73">
        <f>'Risk Master'!$G44*-1+('Risk Master'!$G44*'Event Trigger'!$D44*(1-'Input Sheet year 2'!O45))</f>
        <v>500000</v>
      </c>
      <c r="L44" s="73">
        <f>'Risk Master'!$G44*-1+('Risk Master'!$G44*'Event Trigger'!$D44*(1-'Input Sheet year 2'!P45))</f>
        <v>500000</v>
      </c>
      <c r="M44" s="73">
        <f>'Risk Master'!$G44*-1+('Risk Master'!$G44*'Event Trigger'!$D44*(1-'Input Sheet year 2'!Q45))</f>
        <v>500000</v>
      </c>
      <c r="N44" s="88"/>
      <c r="O44" s="88">
        <f t="shared" si="0"/>
        <v>0</v>
      </c>
      <c r="P44" s="88">
        <f t="shared" si="1"/>
        <v>0</v>
      </c>
      <c r="Q44" s="88">
        <f t="shared" si="2"/>
        <v>0</v>
      </c>
      <c r="R44" s="88">
        <f t="shared" si="3"/>
        <v>0</v>
      </c>
      <c r="S44" s="88">
        <f t="shared" si="4"/>
        <v>0</v>
      </c>
      <c r="T44" s="88">
        <f t="shared" si="5"/>
        <v>0</v>
      </c>
      <c r="U44" s="88">
        <f t="shared" si="6"/>
        <v>0</v>
      </c>
      <c r="V44" s="88">
        <f t="shared" si="7"/>
        <v>0</v>
      </c>
      <c r="W44" s="88">
        <f t="shared" si="8"/>
        <v>0</v>
      </c>
      <c r="X44" s="88">
        <f t="shared" si="9"/>
        <v>0</v>
      </c>
      <c r="Z44" s="51" t="s">
        <v>207</v>
      </c>
      <c r="AA44" s="52">
        <f>IF(VLOOKUP($Z44,'Asset Master'!$A:$J,6,FALSE)*COUNTIF('Event Trigger'!$C:$C,'Year 1 Results'!$Z44)&gt;SUMIF('Event Trigger'!$C:$C,$Z44,D:D),0,VLOOKUP($Z44,'Asset Master'!$A:$J,6,FALSE))</f>
        <v>0</v>
      </c>
      <c r="AB44" s="52">
        <f>IF(VLOOKUP($Z44,'Asset Master'!$A:$J,6,FALSE)*COUNTIF('Event Trigger'!$C:$C,'Year 1 Results'!$Z44)&gt;SUMIF('Event Trigger'!$C:$C,$Z44,E:E),0,VLOOKUP($Z44,'Asset Master'!$A:$J,6,FALSE))</f>
        <v>0</v>
      </c>
      <c r="AC44" s="52">
        <f>IF(VLOOKUP($Z44,'Asset Master'!$A:$J,6,FALSE)*COUNTIF('Event Trigger'!$C:$C,'Year 1 Results'!$Z44)&gt;SUMIF('Event Trigger'!$C:$C,$Z44,F:F),0,VLOOKUP($Z44,'Asset Master'!$A:$J,6,FALSE))</f>
        <v>0</v>
      </c>
      <c r="AD44" s="52">
        <f>IF(VLOOKUP($Z44,'Asset Master'!$A:$J,6,FALSE)*COUNTIF('Event Trigger'!$C:$C,'Year 1 Results'!$Z44)&gt;SUMIF('Event Trigger'!$C:$C,$Z44,G:G),0,VLOOKUP($Z44,'Asset Master'!$A:$J,6,FALSE))</f>
        <v>0</v>
      </c>
      <c r="AE44" s="52">
        <f>IF(VLOOKUP($Z44,'Asset Master'!$A:$J,6,FALSE)*COUNTIF('Event Trigger'!$C:$C,'Year 1 Results'!$Z44)&gt;SUMIF('Event Trigger'!$C:$C,$Z44,H:H),0,VLOOKUP($Z44,'Asset Master'!$A:$J,6,FALSE))</f>
        <v>0</v>
      </c>
      <c r="AF44" s="52">
        <f>IF(VLOOKUP($Z44,'Asset Master'!$A:$J,6,FALSE)*COUNTIF('Event Trigger'!$C:$C,'Year 1 Results'!$Z44)&gt;SUMIF('Event Trigger'!$C:$C,$Z44,I:I),0,VLOOKUP($Z44,'Asset Master'!$A:$J,6,FALSE))</f>
        <v>0</v>
      </c>
      <c r="AG44" s="52">
        <f>IF(VLOOKUP($Z44,'Asset Master'!$A:$J,6,FALSE)*COUNTIF('Event Trigger'!$C:$C,'Year 1 Results'!$Z44)&gt;SUMIF('Event Trigger'!$C:$C,$Z44,J:J),0,VLOOKUP($Z44,'Asset Master'!$A:$J,6,FALSE))</f>
        <v>500000</v>
      </c>
      <c r="AH44" s="52">
        <f>IF(VLOOKUP($Z44,'Asset Master'!$A:$J,6,FALSE)*COUNTIF('Event Trigger'!$C:$C,'Year 1 Results'!$Z44)&gt;SUMIF('Event Trigger'!$C:$C,$Z44,K:K),0,VLOOKUP($Z44,'Asset Master'!$A:$J,6,FALSE))</f>
        <v>0</v>
      </c>
      <c r="AI44" s="52">
        <f>IF(VLOOKUP($Z44,'Asset Master'!$A:$J,6,FALSE)*COUNTIF('Event Trigger'!$C:$C,'Year 1 Results'!$Z44)&gt;SUMIF('Event Trigger'!$C:$C,$Z44,L:L),0,VLOOKUP($Z44,'Asset Master'!$A:$J,6,FALSE))</f>
        <v>500000</v>
      </c>
      <c r="AJ44" s="52">
        <f>IF(VLOOKUP($Z44,'Asset Master'!$A:$J,6,FALSE)*COUNTIF('Event Trigger'!$C:$C,'Year 1 Results'!$Z44)&gt;SUMIF('Event Trigger'!$C:$C,$Z44,M:M),0,VLOOKUP($Z44,'Asset Master'!$A:$J,6,FALSE))</f>
        <v>0</v>
      </c>
    </row>
    <row r="45" spans="1:36" x14ac:dyDescent="0.25">
      <c r="A45" s="37" t="str">
        <f>'Risk Master'!B45:B178&amp;"-"&amp;'Risk Master'!D45</f>
        <v>Earthquake-Mumbai</v>
      </c>
      <c r="B45" s="37" t="str">
        <f>'Input Sheet year 2'!B46</f>
        <v>Earthquake-Mumbai</v>
      </c>
      <c r="C45" s="29" t="str">
        <f>'Risk Master'!F45</f>
        <v>A12</v>
      </c>
      <c r="D45" s="73">
        <f>'Risk Master'!$G45*-1+('Risk Master'!$G45*'Event Trigger'!$D45*(1-'Input Sheet year 1'!H46))</f>
        <v>0</v>
      </c>
      <c r="E45" s="73">
        <f>'Risk Master'!$G45*-1+('Risk Master'!$G45*'Event Trigger'!$D45*(1-'Input Sheet year 2'!I46))</f>
        <v>0</v>
      </c>
      <c r="F45" s="73">
        <f>'Risk Master'!$G45*-1+('Risk Master'!$G45*'Event Trigger'!$D45*(1-'Input Sheet year 2'!J46))</f>
        <v>0</v>
      </c>
      <c r="G45" s="73">
        <f>'Risk Master'!$G45*-1+('Risk Master'!$G45*'Event Trigger'!$D45*(1-'Input Sheet year 2'!K46))</f>
        <v>0</v>
      </c>
      <c r="H45" s="73">
        <f>'Risk Master'!$G45*-1+('Risk Master'!$G45*'Event Trigger'!$D45*(1-'Input Sheet year 2'!L46))</f>
        <v>0</v>
      </c>
      <c r="I45" s="73">
        <f>'Risk Master'!$G45*-1+('Risk Master'!$G45*'Event Trigger'!$D45*(1-'Input Sheet year 2'!M46))</f>
        <v>0</v>
      </c>
      <c r="J45" s="73">
        <f>'Risk Master'!$G45*-1+('Risk Master'!$G45*'Event Trigger'!$D45*(1-'Input Sheet year 2'!N46))</f>
        <v>0</v>
      </c>
      <c r="K45" s="73">
        <f>'Risk Master'!$G45*-1+('Risk Master'!$G45*'Event Trigger'!$D45*(1-'Input Sheet year 2'!O46))</f>
        <v>0</v>
      </c>
      <c r="L45" s="73">
        <f>'Risk Master'!$G45*-1+('Risk Master'!$G45*'Event Trigger'!$D45*(1-'Input Sheet year 2'!P46))</f>
        <v>0</v>
      </c>
      <c r="M45" s="73">
        <f>'Risk Master'!$G45*-1+('Risk Master'!$G45*'Event Trigger'!$D45*(1-'Input Sheet year 2'!Q46))</f>
        <v>0</v>
      </c>
      <c r="N45" s="88"/>
      <c r="O45" s="88">
        <f t="shared" si="0"/>
        <v>0</v>
      </c>
      <c r="P45" s="88">
        <f t="shared" si="1"/>
        <v>0</v>
      </c>
      <c r="Q45" s="88">
        <f t="shared" si="2"/>
        <v>0</v>
      </c>
      <c r="R45" s="88">
        <f t="shared" si="3"/>
        <v>0</v>
      </c>
      <c r="S45" s="88">
        <f t="shared" si="4"/>
        <v>0</v>
      </c>
      <c r="T45" s="88">
        <f t="shared" si="5"/>
        <v>0</v>
      </c>
      <c r="U45" s="88">
        <f t="shared" si="6"/>
        <v>0</v>
      </c>
      <c r="V45" s="88">
        <f t="shared" si="7"/>
        <v>0</v>
      </c>
      <c r="W45" s="88">
        <f t="shared" si="8"/>
        <v>0</v>
      </c>
      <c r="X45" s="88">
        <f t="shared" si="9"/>
        <v>0</v>
      </c>
      <c r="Z45" s="51" t="s">
        <v>208</v>
      </c>
      <c r="AA45" s="52">
        <f>IF(VLOOKUP($Z45,'Asset Master'!$A:$J,6,FALSE)*COUNTIF('Event Trigger'!$C:$C,'Year 1 Results'!$Z45)&gt;SUMIF('Event Trigger'!$C:$C,$Z45,D:D),0,VLOOKUP($Z45,'Asset Master'!$A:$J,6,FALSE))</f>
        <v>0</v>
      </c>
      <c r="AB45" s="52">
        <f>IF(VLOOKUP($Z45,'Asset Master'!$A:$J,6,FALSE)*COUNTIF('Event Trigger'!$C:$C,'Year 1 Results'!$Z45)&gt;SUMIF('Event Trigger'!$C:$C,$Z45,E:E),0,VLOOKUP($Z45,'Asset Master'!$A:$J,6,FALSE))</f>
        <v>0</v>
      </c>
      <c r="AC45" s="52">
        <f>IF(VLOOKUP($Z45,'Asset Master'!$A:$J,6,FALSE)*COUNTIF('Event Trigger'!$C:$C,'Year 1 Results'!$Z45)&gt;SUMIF('Event Trigger'!$C:$C,$Z45,F:F),0,VLOOKUP($Z45,'Asset Master'!$A:$J,6,FALSE))</f>
        <v>0</v>
      </c>
      <c r="AD45" s="52">
        <f>IF(VLOOKUP($Z45,'Asset Master'!$A:$J,6,FALSE)*COUNTIF('Event Trigger'!$C:$C,'Year 1 Results'!$Z45)&gt;SUMIF('Event Trigger'!$C:$C,$Z45,G:G),0,VLOOKUP($Z45,'Asset Master'!$A:$J,6,FALSE))</f>
        <v>0</v>
      </c>
      <c r="AE45" s="52">
        <f>IF(VLOOKUP($Z45,'Asset Master'!$A:$J,6,FALSE)*COUNTIF('Event Trigger'!$C:$C,'Year 1 Results'!$Z45)&gt;SUMIF('Event Trigger'!$C:$C,$Z45,H:H),0,VLOOKUP($Z45,'Asset Master'!$A:$J,6,FALSE))</f>
        <v>0</v>
      </c>
      <c r="AF45" s="52">
        <f>IF(VLOOKUP($Z45,'Asset Master'!$A:$J,6,FALSE)*COUNTIF('Event Trigger'!$C:$C,'Year 1 Results'!$Z45)&gt;SUMIF('Event Trigger'!$C:$C,$Z45,I:I),0,VLOOKUP($Z45,'Asset Master'!$A:$J,6,FALSE))</f>
        <v>0</v>
      </c>
      <c r="AG45" s="52">
        <f>IF(VLOOKUP($Z45,'Asset Master'!$A:$J,6,FALSE)*COUNTIF('Event Trigger'!$C:$C,'Year 1 Results'!$Z45)&gt;SUMIF('Event Trigger'!$C:$C,$Z45,J:J),0,VLOOKUP($Z45,'Asset Master'!$A:$J,6,FALSE))</f>
        <v>0</v>
      </c>
      <c r="AH45" s="52">
        <f>IF(VLOOKUP($Z45,'Asset Master'!$A:$J,6,FALSE)*COUNTIF('Event Trigger'!$C:$C,'Year 1 Results'!$Z45)&gt;SUMIF('Event Trigger'!$C:$C,$Z45,K:K),0,VLOOKUP($Z45,'Asset Master'!$A:$J,6,FALSE))</f>
        <v>0</v>
      </c>
      <c r="AI45" s="52">
        <f>IF(VLOOKUP($Z45,'Asset Master'!$A:$J,6,FALSE)*COUNTIF('Event Trigger'!$C:$C,'Year 1 Results'!$Z45)&gt;SUMIF('Event Trigger'!$C:$C,$Z45,L:L),0,VLOOKUP($Z45,'Asset Master'!$A:$J,6,FALSE))</f>
        <v>0</v>
      </c>
      <c r="AJ45" s="52">
        <f>IF(VLOOKUP($Z45,'Asset Master'!$A:$J,6,FALSE)*COUNTIF('Event Trigger'!$C:$C,'Year 1 Results'!$Z45)&gt;SUMIF('Event Trigger'!$C:$C,$Z45,M:M),0,VLOOKUP($Z45,'Asset Master'!$A:$J,6,FALSE))</f>
        <v>0</v>
      </c>
    </row>
    <row r="46" spans="1:36" x14ac:dyDescent="0.25">
      <c r="A46" s="37" t="str">
        <f>'Risk Master'!B46:B179&amp;"-"&amp;'Risk Master'!D46</f>
        <v>Fire-Mumbai</v>
      </c>
      <c r="B46" s="37" t="str">
        <f>'Input Sheet year 2'!B47</f>
        <v>Fire-Mumbai</v>
      </c>
      <c r="C46" s="29" t="str">
        <f>'Risk Master'!F46</f>
        <v>A12</v>
      </c>
      <c r="D46" s="73">
        <f>'Risk Master'!$G46*-1+('Risk Master'!$G46*'Event Trigger'!$D46*(1-'Input Sheet year 1'!H47))</f>
        <v>500000</v>
      </c>
      <c r="E46" s="73">
        <f>'Risk Master'!$G46*-1+('Risk Master'!$G46*'Event Trigger'!$D46*(1-'Input Sheet year 2'!I47))</f>
        <v>500000</v>
      </c>
      <c r="F46" s="73">
        <f>'Risk Master'!$G46*-1+('Risk Master'!$G46*'Event Trigger'!$D46*(1-'Input Sheet year 2'!J47))</f>
        <v>500000</v>
      </c>
      <c r="G46" s="73">
        <f>'Risk Master'!$G46*-1+('Risk Master'!$G46*'Event Trigger'!$D46*(1-'Input Sheet year 2'!K47))</f>
        <v>500000</v>
      </c>
      <c r="H46" s="73">
        <f>'Risk Master'!$G46*-1+('Risk Master'!$G46*'Event Trigger'!$D46*(1-'Input Sheet year 2'!L47))</f>
        <v>500000</v>
      </c>
      <c r="I46" s="73">
        <f>'Risk Master'!$G46*-1+('Risk Master'!$G46*'Event Trigger'!$D46*(1-'Input Sheet year 2'!M47))</f>
        <v>500000</v>
      </c>
      <c r="J46" s="73">
        <f>'Risk Master'!$G46*-1+('Risk Master'!$G46*'Event Trigger'!$D46*(1-'Input Sheet year 2'!N47))</f>
        <v>500000</v>
      </c>
      <c r="K46" s="73">
        <f>'Risk Master'!$G46*-1+('Risk Master'!$G46*'Event Trigger'!$D46*(1-'Input Sheet year 2'!O47))</f>
        <v>500000</v>
      </c>
      <c r="L46" s="73">
        <f>'Risk Master'!$G46*-1+('Risk Master'!$G46*'Event Trigger'!$D46*(1-'Input Sheet year 2'!P47))</f>
        <v>500000</v>
      </c>
      <c r="M46" s="73">
        <f>'Risk Master'!$G46*-1+('Risk Master'!$G46*'Event Trigger'!$D46*(1-'Input Sheet year 2'!Q47))</f>
        <v>500000</v>
      </c>
      <c r="N46" s="88"/>
      <c r="O46" s="88">
        <f t="shared" si="0"/>
        <v>0</v>
      </c>
      <c r="P46" s="88">
        <f t="shared" si="1"/>
        <v>0</v>
      </c>
      <c r="Q46" s="88">
        <f t="shared" si="2"/>
        <v>0</v>
      </c>
      <c r="R46" s="88">
        <f t="shared" si="3"/>
        <v>0</v>
      </c>
      <c r="S46" s="88">
        <f t="shared" si="4"/>
        <v>0</v>
      </c>
      <c r="T46" s="88">
        <f t="shared" si="5"/>
        <v>0</v>
      </c>
      <c r="U46" s="88">
        <f t="shared" si="6"/>
        <v>0</v>
      </c>
      <c r="V46" s="88">
        <f t="shared" si="7"/>
        <v>0</v>
      </c>
      <c r="W46" s="88">
        <f t="shared" si="8"/>
        <v>0</v>
      </c>
      <c r="X46" s="88">
        <f t="shared" si="9"/>
        <v>0</v>
      </c>
      <c r="Z46" s="51" t="s">
        <v>209</v>
      </c>
      <c r="AA46" s="52">
        <f>IF(VLOOKUP($Z46,'Asset Master'!$A:$J,6,FALSE)*COUNTIF('Event Trigger'!$C:$C,'Year 1 Results'!$Z46)&gt;SUMIF('Event Trigger'!$C:$C,$Z46,D:D),0,VLOOKUP($Z46,'Asset Master'!$A:$J,6,FALSE))</f>
        <v>300000</v>
      </c>
      <c r="AB46" s="52">
        <f>IF(VLOOKUP($Z46,'Asset Master'!$A:$J,6,FALSE)*COUNTIF('Event Trigger'!$C:$C,'Year 1 Results'!$Z46)&gt;SUMIF('Event Trigger'!$C:$C,$Z46,E:E),0,VLOOKUP($Z46,'Asset Master'!$A:$J,6,FALSE))</f>
        <v>300000</v>
      </c>
      <c r="AC46" s="52">
        <f>IF(VLOOKUP($Z46,'Asset Master'!$A:$J,6,FALSE)*COUNTIF('Event Trigger'!$C:$C,'Year 1 Results'!$Z46)&gt;SUMIF('Event Trigger'!$C:$C,$Z46,F:F),0,VLOOKUP($Z46,'Asset Master'!$A:$J,6,FALSE))</f>
        <v>300000</v>
      </c>
      <c r="AD46" s="52">
        <f>IF(VLOOKUP($Z46,'Asset Master'!$A:$J,6,FALSE)*COUNTIF('Event Trigger'!$C:$C,'Year 1 Results'!$Z46)&gt;SUMIF('Event Trigger'!$C:$C,$Z46,G:G),0,VLOOKUP($Z46,'Asset Master'!$A:$J,6,FALSE))</f>
        <v>300000</v>
      </c>
      <c r="AE46" s="52">
        <f>IF(VLOOKUP($Z46,'Asset Master'!$A:$J,6,FALSE)*COUNTIF('Event Trigger'!$C:$C,'Year 1 Results'!$Z46)&gt;SUMIF('Event Trigger'!$C:$C,$Z46,H:H),0,VLOOKUP($Z46,'Asset Master'!$A:$J,6,FALSE))</f>
        <v>300000</v>
      </c>
      <c r="AF46" s="52">
        <f>IF(VLOOKUP($Z46,'Asset Master'!$A:$J,6,FALSE)*COUNTIF('Event Trigger'!$C:$C,'Year 1 Results'!$Z46)&gt;SUMIF('Event Trigger'!$C:$C,$Z46,I:I),0,VLOOKUP($Z46,'Asset Master'!$A:$J,6,FALSE))</f>
        <v>300000</v>
      </c>
      <c r="AG46" s="52">
        <f>IF(VLOOKUP($Z46,'Asset Master'!$A:$J,6,FALSE)*COUNTIF('Event Trigger'!$C:$C,'Year 1 Results'!$Z46)&gt;SUMIF('Event Trigger'!$C:$C,$Z46,J:J),0,VLOOKUP($Z46,'Asset Master'!$A:$J,6,FALSE))</f>
        <v>300000</v>
      </c>
      <c r="AH46" s="52">
        <f>IF(VLOOKUP($Z46,'Asset Master'!$A:$J,6,FALSE)*COUNTIF('Event Trigger'!$C:$C,'Year 1 Results'!$Z46)&gt;SUMIF('Event Trigger'!$C:$C,$Z46,K:K),0,VLOOKUP($Z46,'Asset Master'!$A:$J,6,FALSE))</f>
        <v>300000</v>
      </c>
      <c r="AI46" s="52">
        <f>IF(VLOOKUP($Z46,'Asset Master'!$A:$J,6,FALSE)*COUNTIF('Event Trigger'!$C:$C,'Year 1 Results'!$Z46)&gt;SUMIF('Event Trigger'!$C:$C,$Z46,L:L),0,VLOOKUP($Z46,'Asset Master'!$A:$J,6,FALSE))</f>
        <v>300000</v>
      </c>
      <c r="AJ46" s="52">
        <f>IF(VLOOKUP($Z46,'Asset Master'!$A:$J,6,FALSE)*COUNTIF('Event Trigger'!$C:$C,'Year 1 Results'!$Z46)&gt;SUMIF('Event Trigger'!$C:$C,$Z46,M:M),0,VLOOKUP($Z46,'Asset Master'!$A:$J,6,FALSE))</f>
        <v>300000</v>
      </c>
    </row>
    <row r="47" spans="1:36" x14ac:dyDescent="0.25">
      <c r="A47" s="37" t="str">
        <f>'Risk Master'!B47:B180&amp;"-"&amp;'Risk Master'!D47</f>
        <v>Typhoon-Mumbai</v>
      </c>
      <c r="B47" s="37" t="str">
        <f>'Input Sheet year 2'!B48</f>
        <v>Typhoon-Mumbai</v>
      </c>
      <c r="C47" s="29" t="str">
        <f>'Risk Master'!F47</f>
        <v>A12</v>
      </c>
      <c r="D47" s="73">
        <f>'Risk Master'!$G47*-1+('Risk Master'!$G47*'Event Trigger'!$D47*(1-'Input Sheet year 1'!H48))</f>
        <v>0</v>
      </c>
      <c r="E47" s="73">
        <f>'Risk Master'!$G47*-1+('Risk Master'!$G47*'Event Trigger'!$D47*(1-'Input Sheet year 2'!I48))</f>
        <v>0</v>
      </c>
      <c r="F47" s="73">
        <f>'Risk Master'!$G47*-1+('Risk Master'!$G47*'Event Trigger'!$D47*(1-'Input Sheet year 2'!J48))</f>
        <v>0</v>
      </c>
      <c r="G47" s="73">
        <f>'Risk Master'!$G47*-1+('Risk Master'!$G47*'Event Trigger'!$D47*(1-'Input Sheet year 2'!K48))</f>
        <v>0</v>
      </c>
      <c r="H47" s="73">
        <f>'Risk Master'!$G47*-1+('Risk Master'!$G47*'Event Trigger'!$D47*(1-'Input Sheet year 2'!L48))</f>
        <v>0</v>
      </c>
      <c r="I47" s="73">
        <f>'Risk Master'!$G47*-1+('Risk Master'!$G47*'Event Trigger'!$D47*(1-'Input Sheet year 2'!M48))</f>
        <v>0</v>
      </c>
      <c r="J47" s="73">
        <f>'Risk Master'!$G47*-1+('Risk Master'!$G47*'Event Trigger'!$D47*(1-'Input Sheet year 2'!N48))</f>
        <v>0</v>
      </c>
      <c r="K47" s="73">
        <f>'Risk Master'!$G47*-1+('Risk Master'!$G47*'Event Trigger'!$D47*(1-'Input Sheet year 2'!O48))</f>
        <v>0</v>
      </c>
      <c r="L47" s="73">
        <f>'Risk Master'!$G47*-1+('Risk Master'!$G47*'Event Trigger'!$D47*(1-'Input Sheet year 2'!P48))</f>
        <v>0</v>
      </c>
      <c r="M47" s="73">
        <f>'Risk Master'!$G47*-1+('Risk Master'!$G47*'Event Trigger'!$D47*(1-'Input Sheet year 2'!Q48))</f>
        <v>0</v>
      </c>
      <c r="N47" s="88"/>
      <c r="O47" s="88">
        <f t="shared" si="0"/>
        <v>0</v>
      </c>
      <c r="P47" s="88">
        <f t="shared" si="1"/>
        <v>0</v>
      </c>
      <c r="Q47" s="88">
        <f t="shared" si="2"/>
        <v>0</v>
      </c>
      <c r="R47" s="88">
        <f t="shared" si="3"/>
        <v>0</v>
      </c>
      <c r="S47" s="88">
        <f t="shared" si="4"/>
        <v>0</v>
      </c>
      <c r="T47" s="88">
        <f t="shared" si="5"/>
        <v>0</v>
      </c>
      <c r="U47" s="88">
        <f t="shared" si="6"/>
        <v>0</v>
      </c>
      <c r="V47" s="88">
        <f t="shared" si="7"/>
        <v>0</v>
      </c>
      <c r="W47" s="88">
        <f t="shared" si="8"/>
        <v>0</v>
      </c>
      <c r="X47" s="88">
        <f t="shared" si="9"/>
        <v>0</v>
      </c>
      <c r="Z47" s="51" t="s">
        <v>210</v>
      </c>
      <c r="AA47" s="52">
        <f>IF(VLOOKUP($Z47,'Asset Master'!$A:$J,6,FALSE)*COUNTIF('Event Trigger'!$C:$C,'Year 1 Results'!$Z47)&gt;SUMIF('Event Trigger'!$C:$C,$Z47,D:D),0,VLOOKUP($Z47,'Asset Master'!$A:$J,6,FALSE))</f>
        <v>0</v>
      </c>
      <c r="AB47" s="52">
        <f>IF(VLOOKUP($Z47,'Asset Master'!$A:$J,6,FALSE)*COUNTIF('Event Trigger'!$C:$C,'Year 1 Results'!$Z47)&gt;SUMIF('Event Trigger'!$C:$C,$Z47,E:E),0,VLOOKUP($Z47,'Asset Master'!$A:$J,6,FALSE))</f>
        <v>0</v>
      </c>
      <c r="AC47" s="52">
        <f>IF(VLOOKUP($Z47,'Asset Master'!$A:$J,6,FALSE)*COUNTIF('Event Trigger'!$C:$C,'Year 1 Results'!$Z47)&gt;SUMIF('Event Trigger'!$C:$C,$Z47,F:F),0,VLOOKUP($Z47,'Asset Master'!$A:$J,6,FALSE))</f>
        <v>0</v>
      </c>
      <c r="AD47" s="52">
        <f>IF(VLOOKUP($Z47,'Asset Master'!$A:$J,6,FALSE)*COUNTIF('Event Trigger'!$C:$C,'Year 1 Results'!$Z47)&gt;SUMIF('Event Trigger'!$C:$C,$Z47,G:G),0,VLOOKUP($Z47,'Asset Master'!$A:$J,6,FALSE))</f>
        <v>0</v>
      </c>
      <c r="AE47" s="52">
        <f>IF(VLOOKUP($Z47,'Asset Master'!$A:$J,6,FALSE)*COUNTIF('Event Trigger'!$C:$C,'Year 1 Results'!$Z47)&gt;SUMIF('Event Trigger'!$C:$C,$Z47,H:H),0,VLOOKUP($Z47,'Asset Master'!$A:$J,6,FALSE))</f>
        <v>0</v>
      </c>
      <c r="AF47" s="52">
        <f>IF(VLOOKUP($Z47,'Asset Master'!$A:$J,6,FALSE)*COUNTIF('Event Trigger'!$C:$C,'Year 1 Results'!$Z47)&gt;SUMIF('Event Trigger'!$C:$C,$Z47,I:I),0,VLOOKUP($Z47,'Asset Master'!$A:$J,6,FALSE))</f>
        <v>0</v>
      </c>
      <c r="AG47" s="52">
        <f>IF(VLOOKUP($Z47,'Asset Master'!$A:$J,6,FALSE)*COUNTIF('Event Trigger'!$C:$C,'Year 1 Results'!$Z47)&gt;SUMIF('Event Trigger'!$C:$C,$Z47,J:J),0,VLOOKUP($Z47,'Asset Master'!$A:$J,6,FALSE))</f>
        <v>0</v>
      </c>
      <c r="AH47" s="52">
        <f>IF(VLOOKUP($Z47,'Asset Master'!$A:$J,6,FALSE)*COUNTIF('Event Trigger'!$C:$C,'Year 1 Results'!$Z47)&gt;SUMIF('Event Trigger'!$C:$C,$Z47,K:K),0,VLOOKUP($Z47,'Asset Master'!$A:$J,6,FALSE))</f>
        <v>0</v>
      </c>
      <c r="AI47" s="52">
        <f>IF(VLOOKUP($Z47,'Asset Master'!$A:$J,6,FALSE)*COUNTIF('Event Trigger'!$C:$C,'Year 1 Results'!$Z47)&gt;SUMIF('Event Trigger'!$C:$C,$Z47,L:L),0,VLOOKUP($Z47,'Asset Master'!$A:$J,6,FALSE))</f>
        <v>0</v>
      </c>
      <c r="AJ47" s="52">
        <f>IF(VLOOKUP($Z47,'Asset Master'!$A:$J,6,FALSE)*COUNTIF('Event Trigger'!$C:$C,'Year 1 Results'!$Z47)&gt;SUMIF('Event Trigger'!$C:$C,$Z47,M:M),0,VLOOKUP($Z47,'Asset Master'!$A:$J,6,FALSE))</f>
        <v>0</v>
      </c>
    </row>
    <row r="48" spans="1:36" ht="25.5" x14ac:dyDescent="0.25">
      <c r="A48" s="37" t="str">
        <f>'Risk Master'!B48:B181&amp;"-"&amp;'Risk Master'!D48</f>
        <v>Thunderstorms, Tornados &amp; Hail-Mumbai</v>
      </c>
      <c r="B48" s="37" t="str">
        <f>'Input Sheet year 2'!B49</f>
        <v>Thunderstorms, Tornados &amp; Hail-Mumbai</v>
      </c>
      <c r="C48" s="29" t="str">
        <f>'Risk Master'!F48</f>
        <v>A12</v>
      </c>
      <c r="D48" s="73">
        <f>'Risk Master'!$G48*-1+('Risk Master'!$G48*'Event Trigger'!$D48*(1-'Input Sheet year 1'!H49))</f>
        <v>500000</v>
      </c>
      <c r="E48" s="73">
        <f>'Risk Master'!$G48*-1+('Risk Master'!$G48*'Event Trigger'!$D48*(1-'Input Sheet year 2'!I49))</f>
        <v>500000</v>
      </c>
      <c r="F48" s="73">
        <f>'Risk Master'!$G48*-1+('Risk Master'!$G48*'Event Trigger'!$D48*(1-'Input Sheet year 2'!J49))</f>
        <v>500000</v>
      </c>
      <c r="G48" s="73">
        <f>'Risk Master'!$G48*-1+('Risk Master'!$G48*'Event Trigger'!$D48*(1-'Input Sheet year 2'!K49))</f>
        <v>500000</v>
      </c>
      <c r="H48" s="73">
        <f>'Risk Master'!$G48*-1+('Risk Master'!$G48*'Event Trigger'!$D48*(1-'Input Sheet year 2'!L49))</f>
        <v>500000</v>
      </c>
      <c r="I48" s="73">
        <f>'Risk Master'!$G48*-1+('Risk Master'!$G48*'Event Trigger'!$D48*(1-'Input Sheet year 2'!M49))</f>
        <v>500000</v>
      </c>
      <c r="J48" s="73">
        <f>'Risk Master'!$G48*-1+('Risk Master'!$G48*'Event Trigger'!$D48*(1-'Input Sheet year 2'!N49))</f>
        <v>500000</v>
      </c>
      <c r="K48" s="73">
        <f>'Risk Master'!$G48*-1+('Risk Master'!$G48*'Event Trigger'!$D48*(1-'Input Sheet year 2'!O49))</f>
        <v>500000</v>
      </c>
      <c r="L48" s="73">
        <f>'Risk Master'!$G48*-1+('Risk Master'!$G48*'Event Trigger'!$D48*(1-'Input Sheet year 2'!P49))</f>
        <v>500000</v>
      </c>
      <c r="M48" s="73">
        <f>'Risk Master'!$G48*-1+('Risk Master'!$G48*'Event Trigger'!$D48*(1-'Input Sheet year 2'!Q49))</f>
        <v>500000</v>
      </c>
      <c r="N48" s="88"/>
      <c r="O48" s="88">
        <f t="shared" si="0"/>
        <v>0</v>
      </c>
      <c r="P48" s="88">
        <f t="shared" si="1"/>
        <v>0</v>
      </c>
      <c r="Q48" s="88">
        <f t="shared" si="2"/>
        <v>0</v>
      </c>
      <c r="R48" s="88">
        <f t="shared" si="3"/>
        <v>0</v>
      </c>
      <c r="S48" s="88">
        <f t="shared" si="4"/>
        <v>0</v>
      </c>
      <c r="T48" s="88">
        <f t="shared" si="5"/>
        <v>0</v>
      </c>
      <c r="U48" s="88">
        <f t="shared" si="6"/>
        <v>0</v>
      </c>
      <c r="V48" s="88">
        <f t="shared" si="7"/>
        <v>0</v>
      </c>
      <c r="W48" s="88">
        <f t="shared" si="8"/>
        <v>0</v>
      </c>
      <c r="X48" s="88">
        <f t="shared" si="9"/>
        <v>0</v>
      </c>
      <c r="Z48" s="51" t="s">
        <v>211</v>
      </c>
      <c r="AA48" s="52">
        <f>IF(VLOOKUP($Z48,'Asset Master'!$A:$J,6,FALSE)*COUNTIF('Event Trigger'!$C:$C,'Year 1 Results'!$Z48)&gt;SUMIF('Event Trigger'!$C:$C,$Z48,D:D),0,VLOOKUP($Z48,'Asset Master'!$A:$J,6,FALSE))</f>
        <v>600000</v>
      </c>
      <c r="AB48" s="52">
        <f>IF(VLOOKUP($Z48,'Asset Master'!$A:$J,6,FALSE)*COUNTIF('Event Trigger'!$C:$C,'Year 1 Results'!$Z48)&gt;SUMIF('Event Trigger'!$C:$C,$Z48,E:E),0,VLOOKUP($Z48,'Asset Master'!$A:$J,6,FALSE))</f>
        <v>600000</v>
      </c>
      <c r="AC48" s="52">
        <f>IF(VLOOKUP($Z48,'Asset Master'!$A:$J,6,FALSE)*COUNTIF('Event Trigger'!$C:$C,'Year 1 Results'!$Z48)&gt;SUMIF('Event Trigger'!$C:$C,$Z48,F:F),0,VLOOKUP($Z48,'Asset Master'!$A:$J,6,FALSE))</f>
        <v>600000</v>
      </c>
      <c r="AD48" s="52">
        <f>IF(VLOOKUP($Z48,'Asset Master'!$A:$J,6,FALSE)*COUNTIF('Event Trigger'!$C:$C,'Year 1 Results'!$Z48)&gt;SUMIF('Event Trigger'!$C:$C,$Z48,G:G),0,VLOOKUP($Z48,'Asset Master'!$A:$J,6,FALSE))</f>
        <v>600000</v>
      </c>
      <c r="AE48" s="52">
        <f>IF(VLOOKUP($Z48,'Asset Master'!$A:$J,6,FALSE)*COUNTIF('Event Trigger'!$C:$C,'Year 1 Results'!$Z48)&gt;SUMIF('Event Trigger'!$C:$C,$Z48,H:H),0,VLOOKUP($Z48,'Asset Master'!$A:$J,6,FALSE))</f>
        <v>600000</v>
      </c>
      <c r="AF48" s="52">
        <f>IF(VLOOKUP($Z48,'Asset Master'!$A:$J,6,FALSE)*COUNTIF('Event Trigger'!$C:$C,'Year 1 Results'!$Z48)&gt;SUMIF('Event Trigger'!$C:$C,$Z48,I:I),0,VLOOKUP($Z48,'Asset Master'!$A:$J,6,FALSE))</f>
        <v>600000</v>
      </c>
      <c r="AG48" s="52">
        <f>IF(VLOOKUP($Z48,'Asset Master'!$A:$J,6,FALSE)*COUNTIF('Event Trigger'!$C:$C,'Year 1 Results'!$Z48)&gt;SUMIF('Event Trigger'!$C:$C,$Z48,J:J),0,VLOOKUP($Z48,'Asset Master'!$A:$J,6,FALSE))</f>
        <v>600000</v>
      </c>
      <c r="AH48" s="52">
        <f>IF(VLOOKUP($Z48,'Asset Master'!$A:$J,6,FALSE)*COUNTIF('Event Trigger'!$C:$C,'Year 1 Results'!$Z48)&gt;SUMIF('Event Trigger'!$C:$C,$Z48,K:K),0,VLOOKUP($Z48,'Asset Master'!$A:$J,6,FALSE))</f>
        <v>600000</v>
      </c>
      <c r="AI48" s="52">
        <f>IF(VLOOKUP($Z48,'Asset Master'!$A:$J,6,FALSE)*COUNTIF('Event Trigger'!$C:$C,'Year 1 Results'!$Z48)&gt;SUMIF('Event Trigger'!$C:$C,$Z48,L:L),0,VLOOKUP($Z48,'Asset Master'!$A:$J,6,FALSE))</f>
        <v>600000</v>
      </c>
      <c r="AJ48" s="52">
        <f>IF(VLOOKUP($Z48,'Asset Master'!$A:$J,6,FALSE)*COUNTIF('Event Trigger'!$C:$C,'Year 1 Results'!$Z48)&gt;SUMIF('Event Trigger'!$C:$C,$Z48,M:M),0,VLOOKUP($Z48,'Asset Master'!$A:$J,6,FALSE))</f>
        <v>600000</v>
      </c>
    </row>
    <row r="49" spans="1:36" x14ac:dyDescent="0.25">
      <c r="A49" s="37" t="str">
        <f>'Risk Master'!B49:B182&amp;"-"&amp;'Risk Master'!D49</f>
        <v>Tsunami-Mumbai</v>
      </c>
      <c r="B49" s="37" t="str">
        <f>'Input Sheet year 2'!B50</f>
        <v>Tsunami-Mumbai</v>
      </c>
      <c r="C49" s="29" t="str">
        <f>'Risk Master'!F49</f>
        <v>A12</v>
      </c>
      <c r="D49" s="73">
        <f>'Risk Master'!$G49*-1+('Risk Master'!$G49*'Event Trigger'!$D49*(1-'Input Sheet year 1'!H50))</f>
        <v>500000</v>
      </c>
      <c r="E49" s="73">
        <f>'Risk Master'!$G49*-1+('Risk Master'!$G49*'Event Trigger'!$D49*(1-'Input Sheet year 2'!I50))</f>
        <v>500000</v>
      </c>
      <c r="F49" s="73">
        <f>'Risk Master'!$G49*-1+('Risk Master'!$G49*'Event Trigger'!$D49*(1-'Input Sheet year 2'!J50))</f>
        <v>500000</v>
      </c>
      <c r="G49" s="73">
        <f>'Risk Master'!$G49*-1+('Risk Master'!$G49*'Event Trigger'!$D49*(1-'Input Sheet year 2'!K50))</f>
        <v>500000</v>
      </c>
      <c r="H49" s="73">
        <f>'Risk Master'!$G49*-1+('Risk Master'!$G49*'Event Trigger'!$D49*(1-'Input Sheet year 2'!L50))</f>
        <v>500000</v>
      </c>
      <c r="I49" s="73">
        <f>'Risk Master'!$G49*-1+('Risk Master'!$G49*'Event Trigger'!$D49*(1-'Input Sheet year 2'!M50))</f>
        <v>500000</v>
      </c>
      <c r="J49" s="73">
        <f>'Risk Master'!$G49*-1+('Risk Master'!$G49*'Event Trigger'!$D49*(1-'Input Sheet year 2'!N50))</f>
        <v>500000</v>
      </c>
      <c r="K49" s="73">
        <f>'Risk Master'!$G49*-1+('Risk Master'!$G49*'Event Trigger'!$D49*(1-'Input Sheet year 2'!O50))</f>
        <v>500000</v>
      </c>
      <c r="L49" s="73">
        <f>'Risk Master'!$G49*-1+('Risk Master'!$G49*'Event Trigger'!$D49*(1-'Input Sheet year 2'!P50))</f>
        <v>500000</v>
      </c>
      <c r="M49" s="73">
        <f>'Risk Master'!$G49*-1+('Risk Master'!$G49*'Event Trigger'!$D49*(1-'Input Sheet year 2'!Q50))</f>
        <v>500000</v>
      </c>
      <c r="N49" s="88"/>
      <c r="O49" s="88">
        <f t="shared" si="0"/>
        <v>0</v>
      </c>
      <c r="P49" s="88">
        <f t="shared" si="1"/>
        <v>0</v>
      </c>
      <c r="Q49" s="88">
        <f t="shared" si="2"/>
        <v>0</v>
      </c>
      <c r="R49" s="88">
        <f t="shared" si="3"/>
        <v>0</v>
      </c>
      <c r="S49" s="88">
        <f t="shared" si="4"/>
        <v>0</v>
      </c>
      <c r="T49" s="88">
        <f t="shared" si="5"/>
        <v>0</v>
      </c>
      <c r="U49" s="88">
        <f t="shared" si="6"/>
        <v>0</v>
      </c>
      <c r="V49" s="88">
        <f t="shared" si="7"/>
        <v>0</v>
      </c>
      <c r="W49" s="88">
        <f t="shared" si="8"/>
        <v>0</v>
      </c>
      <c r="X49" s="88">
        <f t="shared" si="9"/>
        <v>0</v>
      </c>
      <c r="Z49" s="51" t="s">
        <v>212</v>
      </c>
      <c r="AA49" s="52">
        <f>IF(VLOOKUP($Z49,'Asset Master'!$A:$J,6,FALSE)*COUNTIF('Event Trigger'!$C:$C,'Year 1 Results'!$Z49)&gt;SUMIF('Event Trigger'!$C:$C,$Z49,D:D),0,VLOOKUP($Z49,'Asset Master'!$A:$J,6,FALSE))</f>
        <v>0</v>
      </c>
      <c r="AB49" s="52">
        <f>IF(VLOOKUP($Z49,'Asset Master'!$A:$J,6,FALSE)*COUNTIF('Event Trigger'!$C:$C,'Year 1 Results'!$Z49)&gt;SUMIF('Event Trigger'!$C:$C,$Z49,E:E),0,VLOOKUP($Z49,'Asset Master'!$A:$J,6,FALSE))</f>
        <v>0</v>
      </c>
      <c r="AC49" s="52">
        <f>IF(VLOOKUP($Z49,'Asset Master'!$A:$J,6,FALSE)*COUNTIF('Event Trigger'!$C:$C,'Year 1 Results'!$Z49)&gt;SUMIF('Event Trigger'!$C:$C,$Z49,F:F),0,VLOOKUP($Z49,'Asset Master'!$A:$J,6,FALSE))</f>
        <v>0</v>
      </c>
      <c r="AD49" s="52">
        <f>IF(VLOOKUP($Z49,'Asset Master'!$A:$J,6,FALSE)*COUNTIF('Event Trigger'!$C:$C,'Year 1 Results'!$Z49)&gt;SUMIF('Event Trigger'!$C:$C,$Z49,G:G),0,VLOOKUP($Z49,'Asset Master'!$A:$J,6,FALSE))</f>
        <v>0</v>
      </c>
      <c r="AE49" s="52">
        <f>IF(VLOOKUP($Z49,'Asset Master'!$A:$J,6,FALSE)*COUNTIF('Event Trigger'!$C:$C,'Year 1 Results'!$Z49)&gt;SUMIF('Event Trigger'!$C:$C,$Z49,H:H),0,VLOOKUP($Z49,'Asset Master'!$A:$J,6,FALSE))</f>
        <v>0</v>
      </c>
      <c r="AF49" s="52">
        <f>IF(VLOOKUP($Z49,'Asset Master'!$A:$J,6,FALSE)*COUNTIF('Event Trigger'!$C:$C,'Year 1 Results'!$Z49)&gt;SUMIF('Event Trigger'!$C:$C,$Z49,I:I),0,VLOOKUP($Z49,'Asset Master'!$A:$J,6,FALSE))</f>
        <v>0</v>
      </c>
      <c r="AG49" s="52">
        <f>IF(VLOOKUP($Z49,'Asset Master'!$A:$J,6,FALSE)*COUNTIF('Event Trigger'!$C:$C,'Year 1 Results'!$Z49)&gt;SUMIF('Event Trigger'!$C:$C,$Z49,J:J),0,VLOOKUP($Z49,'Asset Master'!$A:$J,6,FALSE))</f>
        <v>0</v>
      </c>
      <c r="AH49" s="52">
        <f>IF(VLOOKUP($Z49,'Asset Master'!$A:$J,6,FALSE)*COUNTIF('Event Trigger'!$C:$C,'Year 1 Results'!$Z49)&gt;SUMIF('Event Trigger'!$C:$C,$Z49,K:K),0,VLOOKUP($Z49,'Asset Master'!$A:$J,6,FALSE))</f>
        <v>0</v>
      </c>
      <c r="AI49" s="52">
        <f>IF(VLOOKUP($Z49,'Asset Master'!$A:$J,6,FALSE)*COUNTIF('Event Trigger'!$C:$C,'Year 1 Results'!$Z49)&gt;SUMIF('Event Trigger'!$C:$C,$Z49,L:L),0,VLOOKUP($Z49,'Asset Master'!$A:$J,6,FALSE))</f>
        <v>0</v>
      </c>
      <c r="AJ49" s="52">
        <f>IF(VLOOKUP($Z49,'Asset Master'!$A:$J,6,FALSE)*COUNTIF('Event Trigger'!$C:$C,'Year 1 Results'!$Z49)&gt;SUMIF('Event Trigger'!$C:$C,$Z49,M:M),0,VLOOKUP($Z49,'Asset Master'!$A:$J,6,FALSE))</f>
        <v>0</v>
      </c>
    </row>
    <row r="50" spans="1:36" ht="25.5" x14ac:dyDescent="0.25">
      <c r="A50" s="37" t="str">
        <f>'Risk Master'!B50:B183&amp;"-"&amp;'Risk Master'!D50</f>
        <v>High tide and high rainfalls leading to large floods-Mumbai</v>
      </c>
      <c r="B50" s="37" t="str">
        <f>'Input Sheet year 2'!B51</f>
        <v>Flood-Mumbai</v>
      </c>
      <c r="C50" s="29" t="str">
        <f>'Risk Master'!F50</f>
        <v>A13</v>
      </c>
      <c r="D50" s="73">
        <f>'Risk Master'!$G50*-1+('Risk Master'!$G50*'Event Trigger'!$D50*(1-'Input Sheet year 1'!H51))</f>
        <v>200000</v>
      </c>
      <c r="E50" s="73">
        <f>'Risk Master'!$G50*-1+('Risk Master'!$G50*'Event Trigger'!$D50*(1-'Input Sheet year 2'!I51))</f>
        <v>200000</v>
      </c>
      <c r="F50" s="73">
        <f>'Risk Master'!$G50*-1+('Risk Master'!$G50*'Event Trigger'!$D50*(1-'Input Sheet year 2'!J51))</f>
        <v>200000</v>
      </c>
      <c r="G50" s="73">
        <f>'Risk Master'!$G50*-1+('Risk Master'!$G50*'Event Trigger'!$D50*(1-'Input Sheet year 2'!K51))</f>
        <v>200000</v>
      </c>
      <c r="H50" s="73">
        <f>'Risk Master'!$G50*-1+('Risk Master'!$G50*'Event Trigger'!$D50*(1-'Input Sheet year 2'!L51))</f>
        <v>200000</v>
      </c>
      <c r="I50" s="73">
        <f>'Risk Master'!$G50*-1+('Risk Master'!$G50*'Event Trigger'!$D50*(1-'Input Sheet year 2'!M51))</f>
        <v>200000</v>
      </c>
      <c r="J50" s="73">
        <f>'Risk Master'!$G50*-1+('Risk Master'!$G50*'Event Trigger'!$D50*(1-'Input Sheet year 2'!N51))</f>
        <v>200000</v>
      </c>
      <c r="K50" s="73">
        <f>'Risk Master'!$G50*-1+('Risk Master'!$G50*'Event Trigger'!$D50*(1-'Input Sheet year 2'!O51))</f>
        <v>200000</v>
      </c>
      <c r="L50" s="73">
        <f>'Risk Master'!$G50*-1+('Risk Master'!$G50*'Event Trigger'!$D50*(1-'Input Sheet year 2'!P51))</f>
        <v>200000</v>
      </c>
      <c r="M50" s="73">
        <f>'Risk Master'!$G50*-1+('Risk Master'!$G50*'Event Trigger'!$D50*(1-'Input Sheet year 2'!Q51))</f>
        <v>200000</v>
      </c>
      <c r="N50" s="88"/>
      <c r="O50" s="88">
        <f t="shared" si="0"/>
        <v>0</v>
      </c>
      <c r="P50" s="88">
        <f t="shared" si="1"/>
        <v>-200000</v>
      </c>
      <c r="Q50" s="88">
        <f t="shared" si="2"/>
        <v>-200000</v>
      </c>
      <c r="R50" s="88">
        <f t="shared" si="3"/>
        <v>0</v>
      </c>
      <c r="S50" s="88">
        <f t="shared" si="4"/>
        <v>0</v>
      </c>
      <c r="T50" s="88">
        <f t="shared" si="5"/>
        <v>0</v>
      </c>
      <c r="U50" s="88">
        <f t="shared" si="6"/>
        <v>0</v>
      </c>
      <c r="V50" s="88">
        <f t="shared" si="7"/>
        <v>-200000</v>
      </c>
      <c r="W50" s="88">
        <f t="shared" si="8"/>
        <v>0</v>
      </c>
      <c r="X50" s="88">
        <f t="shared" si="9"/>
        <v>0</v>
      </c>
      <c r="Z50" s="51" t="s">
        <v>213</v>
      </c>
      <c r="AA50" s="52">
        <f>IF(VLOOKUP($Z50,'Asset Master'!$A:$J,6,FALSE)*COUNTIF('Event Trigger'!$C:$C,'Year 1 Results'!$Z50)&gt;SUMIF('Event Trigger'!$C:$C,$Z50,D:D),0,VLOOKUP($Z50,'Asset Master'!$A:$J,6,FALSE))</f>
        <v>800000</v>
      </c>
      <c r="AB50" s="52">
        <f>IF(VLOOKUP($Z50,'Asset Master'!$A:$J,6,FALSE)*COUNTIF('Event Trigger'!$C:$C,'Year 1 Results'!$Z50)&gt;SUMIF('Event Trigger'!$C:$C,$Z50,E:E),0,VLOOKUP($Z50,'Asset Master'!$A:$J,6,FALSE))</f>
        <v>800000</v>
      </c>
      <c r="AC50" s="52">
        <f>IF(VLOOKUP($Z50,'Asset Master'!$A:$J,6,FALSE)*COUNTIF('Event Trigger'!$C:$C,'Year 1 Results'!$Z50)&gt;SUMIF('Event Trigger'!$C:$C,$Z50,F:F),0,VLOOKUP($Z50,'Asset Master'!$A:$J,6,FALSE))</f>
        <v>800000</v>
      </c>
      <c r="AD50" s="52">
        <f>IF(VLOOKUP($Z50,'Asset Master'!$A:$J,6,FALSE)*COUNTIF('Event Trigger'!$C:$C,'Year 1 Results'!$Z50)&gt;SUMIF('Event Trigger'!$C:$C,$Z50,G:G),0,VLOOKUP($Z50,'Asset Master'!$A:$J,6,FALSE))</f>
        <v>800000</v>
      </c>
      <c r="AE50" s="52">
        <f>IF(VLOOKUP($Z50,'Asset Master'!$A:$J,6,FALSE)*COUNTIF('Event Trigger'!$C:$C,'Year 1 Results'!$Z50)&gt;SUMIF('Event Trigger'!$C:$C,$Z50,H:H),0,VLOOKUP($Z50,'Asset Master'!$A:$J,6,FALSE))</f>
        <v>800000</v>
      </c>
      <c r="AF50" s="52">
        <f>IF(VLOOKUP($Z50,'Asset Master'!$A:$J,6,FALSE)*COUNTIF('Event Trigger'!$C:$C,'Year 1 Results'!$Z50)&gt;SUMIF('Event Trigger'!$C:$C,$Z50,I:I),0,VLOOKUP($Z50,'Asset Master'!$A:$J,6,FALSE))</f>
        <v>800000</v>
      </c>
      <c r="AG50" s="52">
        <f>IF(VLOOKUP($Z50,'Asset Master'!$A:$J,6,FALSE)*COUNTIF('Event Trigger'!$C:$C,'Year 1 Results'!$Z50)&gt;SUMIF('Event Trigger'!$C:$C,$Z50,J:J),0,VLOOKUP($Z50,'Asset Master'!$A:$J,6,FALSE))</f>
        <v>800000</v>
      </c>
      <c r="AH50" s="52">
        <f>IF(VLOOKUP($Z50,'Asset Master'!$A:$J,6,FALSE)*COUNTIF('Event Trigger'!$C:$C,'Year 1 Results'!$Z50)&gt;SUMIF('Event Trigger'!$C:$C,$Z50,K:K),0,VLOOKUP($Z50,'Asset Master'!$A:$J,6,FALSE))</f>
        <v>800000</v>
      </c>
      <c r="AI50" s="52">
        <f>IF(VLOOKUP($Z50,'Asset Master'!$A:$J,6,FALSE)*COUNTIF('Event Trigger'!$C:$C,'Year 1 Results'!$Z50)&gt;SUMIF('Event Trigger'!$C:$C,$Z50,L:L),0,VLOOKUP($Z50,'Asset Master'!$A:$J,6,FALSE))</f>
        <v>800000</v>
      </c>
      <c r="AJ50" s="52">
        <f>IF(VLOOKUP($Z50,'Asset Master'!$A:$J,6,FALSE)*COUNTIF('Event Trigger'!$C:$C,'Year 1 Results'!$Z50)&gt;SUMIF('Event Trigger'!$C:$C,$Z50,M:M),0,VLOOKUP($Z50,'Asset Master'!$A:$J,6,FALSE))</f>
        <v>800000</v>
      </c>
    </row>
    <row r="51" spans="1:36" x14ac:dyDescent="0.25">
      <c r="A51" s="37" t="str">
        <f>'Risk Master'!B51:B183&amp;"-"&amp;'Risk Master'!D51</f>
        <v>Earthquake-Mumbai</v>
      </c>
      <c r="B51" s="37" t="str">
        <f>'Input Sheet year 2'!B52</f>
        <v>Earthquake-Mumbai</v>
      </c>
      <c r="C51" s="29" t="str">
        <f>'Risk Master'!F51</f>
        <v>A13</v>
      </c>
      <c r="D51" s="73">
        <f>'Risk Master'!$G51*-1+('Risk Master'!$G51*'Event Trigger'!$D51*(1-'Input Sheet year 1'!H52))</f>
        <v>0</v>
      </c>
      <c r="E51" s="73">
        <f>'Risk Master'!$G51*-1+('Risk Master'!$G51*'Event Trigger'!$D51*(1-'Input Sheet year 2'!I52))</f>
        <v>200000</v>
      </c>
      <c r="F51" s="73">
        <f>'Risk Master'!$G51*-1+('Risk Master'!$G51*'Event Trigger'!$D51*(1-'Input Sheet year 2'!J52))</f>
        <v>200000</v>
      </c>
      <c r="G51" s="73">
        <f>'Risk Master'!$G51*-1+('Risk Master'!$G51*'Event Trigger'!$D51*(1-'Input Sheet year 2'!K52))</f>
        <v>200000</v>
      </c>
      <c r="H51" s="73">
        <f>'Risk Master'!$G51*-1+('Risk Master'!$G51*'Event Trigger'!$D51*(1-'Input Sheet year 2'!L52))</f>
        <v>0</v>
      </c>
      <c r="I51" s="73">
        <f>'Risk Master'!$G51*-1+('Risk Master'!$G51*'Event Trigger'!$D51*(1-'Input Sheet year 2'!M52))</f>
        <v>0</v>
      </c>
      <c r="J51" s="73">
        <f>'Risk Master'!$G51*-1+('Risk Master'!$G51*'Event Trigger'!$D51*(1-'Input Sheet year 2'!N52))</f>
        <v>0</v>
      </c>
      <c r="K51" s="73">
        <f>'Risk Master'!$G51*-1+('Risk Master'!$G51*'Event Trigger'!$D51*(1-'Input Sheet year 2'!O52))</f>
        <v>200000</v>
      </c>
      <c r="L51" s="73">
        <f>'Risk Master'!$G51*-1+('Risk Master'!$G51*'Event Trigger'!$D51*(1-'Input Sheet year 2'!P52))</f>
        <v>0</v>
      </c>
      <c r="M51" s="73">
        <f>'Risk Master'!$G51*-1+('Risk Master'!$G51*'Event Trigger'!$D51*(1-'Input Sheet year 2'!Q52))</f>
        <v>0</v>
      </c>
      <c r="N51" s="88"/>
      <c r="O51" s="88">
        <f t="shared" si="0"/>
        <v>0</v>
      </c>
      <c r="P51" s="88">
        <f t="shared" si="1"/>
        <v>-200000</v>
      </c>
      <c r="Q51" s="88">
        <f t="shared" si="2"/>
        <v>-200000</v>
      </c>
      <c r="R51" s="88">
        <f t="shared" si="3"/>
        <v>0</v>
      </c>
      <c r="S51" s="88">
        <f t="shared" si="4"/>
        <v>0</v>
      </c>
      <c r="T51" s="88">
        <f t="shared" si="5"/>
        <v>0</v>
      </c>
      <c r="U51" s="88">
        <f t="shared" si="6"/>
        <v>0</v>
      </c>
      <c r="V51" s="88">
        <f t="shared" si="7"/>
        <v>-200000</v>
      </c>
      <c r="W51" s="88">
        <f t="shared" si="8"/>
        <v>0</v>
      </c>
      <c r="X51" s="88">
        <f t="shared" si="9"/>
        <v>0</v>
      </c>
      <c r="Z51" s="51" t="s">
        <v>214</v>
      </c>
      <c r="AA51" s="52">
        <f>IF(VLOOKUP($Z51,'Asset Master'!$A:$J,6,FALSE)*COUNTIF('Event Trigger'!$C:$C,'Year 1 Results'!$Z51)&gt;SUMIF('Event Trigger'!$C:$C,$Z51,D:D),0,VLOOKUP($Z51,'Asset Master'!$A:$J,6,FALSE))</f>
        <v>0</v>
      </c>
      <c r="AB51" s="52">
        <f>IF(VLOOKUP($Z51,'Asset Master'!$A:$J,6,FALSE)*COUNTIF('Event Trigger'!$C:$C,'Year 1 Results'!$Z51)&gt;SUMIF('Event Trigger'!$C:$C,$Z51,E:E),0,VLOOKUP($Z51,'Asset Master'!$A:$J,6,FALSE))</f>
        <v>0</v>
      </c>
      <c r="AC51" s="52">
        <f>IF(VLOOKUP($Z51,'Asset Master'!$A:$J,6,FALSE)*COUNTIF('Event Trigger'!$C:$C,'Year 1 Results'!$Z51)&gt;SUMIF('Event Trigger'!$C:$C,$Z51,F:F),0,VLOOKUP($Z51,'Asset Master'!$A:$J,6,FALSE))</f>
        <v>0</v>
      </c>
      <c r="AD51" s="52">
        <f>IF(VLOOKUP($Z51,'Asset Master'!$A:$J,6,FALSE)*COUNTIF('Event Trigger'!$C:$C,'Year 1 Results'!$Z51)&gt;SUMIF('Event Trigger'!$C:$C,$Z51,G:G),0,VLOOKUP($Z51,'Asset Master'!$A:$J,6,FALSE))</f>
        <v>0</v>
      </c>
      <c r="AE51" s="52">
        <f>IF(VLOOKUP($Z51,'Asset Master'!$A:$J,6,FALSE)*COUNTIF('Event Trigger'!$C:$C,'Year 1 Results'!$Z51)&gt;SUMIF('Event Trigger'!$C:$C,$Z51,H:H),0,VLOOKUP($Z51,'Asset Master'!$A:$J,6,FALSE))</f>
        <v>0</v>
      </c>
      <c r="AF51" s="52">
        <f>IF(VLOOKUP($Z51,'Asset Master'!$A:$J,6,FALSE)*COUNTIF('Event Trigger'!$C:$C,'Year 1 Results'!$Z51)&gt;SUMIF('Event Trigger'!$C:$C,$Z51,I:I),0,VLOOKUP($Z51,'Asset Master'!$A:$J,6,FALSE))</f>
        <v>0</v>
      </c>
      <c r="AG51" s="52">
        <f>IF(VLOOKUP($Z51,'Asset Master'!$A:$J,6,FALSE)*COUNTIF('Event Trigger'!$C:$C,'Year 1 Results'!$Z51)&gt;SUMIF('Event Trigger'!$C:$C,$Z51,J:J),0,VLOOKUP($Z51,'Asset Master'!$A:$J,6,FALSE))</f>
        <v>0</v>
      </c>
      <c r="AH51" s="52">
        <f>IF(VLOOKUP($Z51,'Asset Master'!$A:$J,6,FALSE)*COUNTIF('Event Trigger'!$C:$C,'Year 1 Results'!$Z51)&gt;SUMIF('Event Trigger'!$C:$C,$Z51,K:K),0,VLOOKUP($Z51,'Asset Master'!$A:$J,6,FALSE))</f>
        <v>0</v>
      </c>
      <c r="AI51" s="52">
        <f>IF(VLOOKUP($Z51,'Asset Master'!$A:$J,6,FALSE)*COUNTIF('Event Trigger'!$C:$C,'Year 1 Results'!$Z51)&gt;SUMIF('Event Trigger'!$C:$C,$Z51,L:L),0,VLOOKUP($Z51,'Asset Master'!$A:$J,6,FALSE))</f>
        <v>0</v>
      </c>
      <c r="AJ51" s="52">
        <f>IF(VLOOKUP($Z51,'Asset Master'!$A:$J,6,FALSE)*COUNTIF('Event Trigger'!$C:$C,'Year 1 Results'!$Z51)&gt;SUMIF('Event Trigger'!$C:$C,$Z51,M:M),0,VLOOKUP($Z51,'Asset Master'!$A:$J,6,FALSE))</f>
        <v>0</v>
      </c>
    </row>
    <row r="52" spans="1:36" x14ac:dyDescent="0.25">
      <c r="A52" s="37" t="str">
        <f>'Risk Master'!B52:B183&amp;"-"&amp;'Risk Master'!D52</f>
        <v>Fire-Mumbai</v>
      </c>
      <c r="B52" s="37" t="str">
        <f>'Input Sheet year 2'!B53</f>
        <v>Fire-Mumbai</v>
      </c>
      <c r="C52" s="29" t="str">
        <f>'Risk Master'!F52</f>
        <v>A13</v>
      </c>
      <c r="D52" s="73">
        <f>'Risk Master'!$G52*-1+('Risk Master'!$G52*'Event Trigger'!$D52*(1-'Input Sheet year 1'!H53))</f>
        <v>200000</v>
      </c>
      <c r="E52" s="73">
        <f>'Risk Master'!$G52*-1+('Risk Master'!$G52*'Event Trigger'!$D52*(1-'Input Sheet year 2'!I53))</f>
        <v>200000</v>
      </c>
      <c r="F52" s="73">
        <f>'Risk Master'!$G52*-1+('Risk Master'!$G52*'Event Trigger'!$D52*(1-'Input Sheet year 2'!J53))</f>
        <v>200000</v>
      </c>
      <c r="G52" s="73">
        <f>'Risk Master'!$G52*-1+('Risk Master'!$G52*'Event Trigger'!$D52*(1-'Input Sheet year 2'!K53))</f>
        <v>200000</v>
      </c>
      <c r="H52" s="73">
        <f>'Risk Master'!$G52*-1+('Risk Master'!$G52*'Event Trigger'!$D52*(1-'Input Sheet year 2'!L53))</f>
        <v>200000</v>
      </c>
      <c r="I52" s="73">
        <f>'Risk Master'!$G52*-1+('Risk Master'!$G52*'Event Trigger'!$D52*(1-'Input Sheet year 2'!M53))</f>
        <v>200000</v>
      </c>
      <c r="J52" s="73">
        <f>'Risk Master'!$G52*-1+('Risk Master'!$G52*'Event Trigger'!$D52*(1-'Input Sheet year 2'!N53))</f>
        <v>200000</v>
      </c>
      <c r="K52" s="73">
        <f>'Risk Master'!$G52*-1+('Risk Master'!$G52*'Event Trigger'!$D52*(1-'Input Sheet year 2'!O53))</f>
        <v>200000</v>
      </c>
      <c r="L52" s="73">
        <f>'Risk Master'!$G52*-1+('Risk Master'!$G52*'Event Trigger'!$D52*(1-'Input Sheet year 2'!P53))</f>
        <v>200000</v>
      </c>
      <c r="M52" s="73">
        <f>'Risk Master'!$G52*-1+('Risk Master'!$G52*'Event Trigger'!$D52*(1-'Input Sheet year 2'!Q53))</f>
        <v>200000</v>
      </c>
      <c r="N52" s="88"/>
      <c r="O52" s="88">
        <f t="shared" si="0"/>
        <v>0</v>
      </c>
      <c r="P52" s="88">
        <f t="shared" si="1"/>
        <v>-200000</v>
      </c>
      <c r="Q52" s="88">
        <f t="shared" si="2"/>
        <v>-200000</v>
      </c>
      <c r="R52" s="88">
        <f t="shared" si="3"/>
        <v>0</v>
      </c>
      <c r="S52" s="88">
        <f t="shared" si="4"/>
        <v>0</v>
      </c>
      <c r="T52" s="88">
        <f t="shared" si="5"/>
        <v>0</v>
      </c>
      <c r="U52" s="88">
        <f t="shared" si="6"/>
        <v>0</v>
      </c>
      <c r="V52" s="88">
        <f t="shared" si="7"/>
        <v>-200000</v>
      </c>
      <c r="W52" s="88">
        <f t="shared" si="8"/>
        <v>0</v>
      </c>
      <c r="X52" s="88">
        <f t="shared" si="9"/>
        <v>0</v>
      </c>
      <c r="Z52" s="51" t="s">
        <v>215</v>
      </c>
      <c r="AA52" s="52">
        <f>IF(VLOOKUP($Z52,'Asset Master'!$A:$J,6,FALSE)*COUNTIF('Event Trigger'!$C:$C,'Year 1 Results'!$Z52)&gt;SUMIF('Event Trigger'!$C:$C,$Z52,D:D),0,VLOOKUP($Z52,'Asset Master'!$A:$J,6,FALSE))</f>
        <v>0</v>
      </c>
      <c r="AB52" s="52">
        <f>IF(VLOOKUP($Z52,'Asset Master'!$A:$J,6,FALSE)*COUNTIF('Event Trigger'!$C:$C,'Year 1 Results'!$Z52)&gt;SUMIF('Event Trigger'!$C:$C,$Z52,E:E),0,VLOOKUP($Z52,'Asset Master'!$A:$J,6,FALSE))</f>
        <v>0</v>
      </c>
      <c r="AC52" s="52">
        <f>IF(VLOOKUP($Z52,'Asset Master'!$A:$J,6,FALSE)*COUNTIF('Event Trigger'!$C:$C,'Year 1 Results'!$Z52)&gt;SUMIF('Event Trigger'!$C:$C,$Z52,F:F),0,VLOOKUP($Z52,'Asset Master'!$A:$J,6,FALSE))</f>
        <v>0</v>
      </c>
      <c r="AD52" s="52">
        <f>IF(VLOOKUP($Z52,'Asset Master'!$A:$J,6,FALSE)*COUNTIF('Event Trigger'!$C:$C,'Year 1 Results'!$Z52)&gt;SUMIF('Event Trigger'!$C:$C,$Z52,G:G),0,VLOOKUP($Z52,'Asset Master'!$A:$J,6,FALSE))</f>
        <v>0</v>
      </c>
      <c r="AE52" s="52">
        <f>IF(VLOOKUP($Z52,'Asset Master'!$A:$J,6,FALSE)*COUNTIF('Event Trigger'!$C:$C,'Year 1 Results'!$Z52)&gt;SUMIF('Event Trigger'!$C:$C,$Z52,H:H),0,VLOOKUP($Z52,'Asset Master'!$A:$J,6,FALSE))</f>
        <v>0</v>
      </c>
      <c r="AF52" s="52">
        <f>IF(VLOOKUP($Z52,'Asset Master'!$A:$J,6,FALSE)*COUNTIF('Event Trigger'!$C:$C,'Year 1 Results'!$Z52)&gt;SUMIF('Event Trigger'!$C:$C,$Z52,I:I),0,VLOOKUP($Z52,'Asset Master'!$A:$J,6,FALSE))</f>
        <v>0</v>
      </c>
      <c r="AG52" s="52">
        <f>IF(VLOOKUP($Z52,'Asset Master'!$A:$J,6,FALSE)*COUNTIF('Event Trigger'!$C:$C,'Year 1 Results'!$Z52)&gt;SUMIF('Event Trigger'!$C:$C,$Z52,J:J),0,VLOOKUP($Z52,'Asset Master'!$A:$J,6,FALSE))</f>
        <v>0</v>
      </c>
      <c r="AH52" s="52">
        <f>IF(VLOOKUP($Z52,'Asset Master'!$A:$J,6,FALSE)*COUNTIF('Event Trigger'!$C:$C,'Year 1 Results'!$Z52)&gt;SUMIF('Event Trigger'!$C:$C,$Z52,K:K),0,VLOOKUP($Z52,'Asset Master'!$A:$J,6,FALSE))</f>
        <v>0</v>
      </c>
      <c r="AI52" s="52">
        <f>IF(VLOOKUP($Z52,'Asset Master'!$A:$J,6,FALSE)*COUNTIF('Event Trigger'!$C:$C,'Year 1 Results'!$Z52)&gt;SUMIF('Event Trigger'!$C:$C,$Z52,L:L),0,VLOOKUP($Z52,'Asset Master'!$A:$J,6,FALSE))</f>
        <v>0</v>
      </c>
      <c r="AJ52" s="52">
        <f>IF(VLOOKUP($Z52,'Asset Master'!$A:$J,6,FALSE)*COUNTIF('Event Trigger'!$C:$C,'Year 1 Results'!$Z52)&gt;SUMIF('Event Trigger'!$C:$C,$Z52,M:M),0,VLOOKUP($Z52,'Asset Master'!$A:$J,6,FALSE))</f>
        <v>0</v>
      </c>
    </row>
    <row r="53" spans="1:36" x14ac:dyDescent="0.25">
      <c r="A53" s="37" t="str">
        <f>'Risk Master'!B53:B183&amp;"-"&amp;'Risk Master'!D53</f>
        <v>Typhoon-Mumbai</v>
      </c>
      <c r="B53" s="37" t="str">
        <f>'Input Sheet year 2'!B54</f>
        <v>Typhoon-Mumbai</v>
      </c>
      <c r="C53" s="29" t="str">
        <f>'Risk Master'!F53</f>
        <v>A13</v>
      </c>
      <c r="D53" s="73">
        <f>'Risk Master'!$G53*-1+('Risk Master'!$G53*'Event Trigger'!$D53*(1-'Input Sheet year 1'!H54))</f>
        <v>200000</v>
      </c>
      <c r="E53" s="73">
        <f>'Risk Master'!$G53*-1+('Risk Master'!$G53*'Event Trigger'!$D53*(1-'Input Sheet year 2'!I54))</f>
        <v>200000</v>
      </c>
      <c r="F53" s="73">
        <f>'Risk Master'!$G53*-1+('Risk Master'!$G53*'Event Trigger'!$D53*(1-'Input Sheet year 2'!J54))</f>
        <v>200000</v>
      </c>
      <c r="G53" s="73">
        <f>'Risk Master'!$G53*-1+('Risk Master'!$G53*'Event Trigger'!$D53*(1-'Input Sheet year 2'!K54))</f>
        <v>0</v>
      </c>
      <c r="H53" s="73">
        <f>'Risk Master'!$G53*-1+('Risk Master'!$G53*'Event Trigger'!$D53*(1-'Input Sheet year 2'!L54))</f>
        <v>200000</v>
      </c>
      <c r="I53" s="73">
        <f>'Risk Master'!$G53*-1+('Risk Master'!$G53*'Event Trigger'!$D53*(1-'Input Sheet year 2'!M54))</f>
        <v>0</v>
      </c>
      <c r="J53" s="73">
        <f>'Risk Master'!$G53*-1+('Risk Master'!$G53*'Event Trigger'!$D53*(1-'Input Sheet year 2'!N54))</f>
        <v>0</v>
      </c>
      <c r="K53" s="73">
        <f>'Risk Master'!$G53*-1+('Risk Master'!$G53*'Event Trigger'!$D53*(1-'Input Sheet year 2'!O54))</f>
        <v>200000</v>
      </c>
      <c r="L53" s="73">
        <f>'Risk Master'!$G53*-1+('Risk Master'!$G53*'Event Trigger'!$D53*(1-'Input Sheet year 2'!P54))</f>
        <v>0</v>
      </c>
      <c r="M53" s="73">
        <f>'Risk Master'!$G53*-1+('Risk Master'!$G53*'Event Trigger'!$D53*(1-'Input Sheet year 2'!Q54))</f>
        <v>0</v>
      </c>
      <c r="N53" s="88"/>
      <c r="O53" s="88">
        <f t="shared" si="0"/>
        <v>0</v>
      </c>
      <c r="P53" s="88">
        <f t="shared" si="1"/>
        <v>-200000</v>
      </c>
      <c r="Q53" s="88">
        <f t="shared" si="2"/>
        <v>-200000</v>
      </c>
      <c r="R53" s="88">
        <f t="shared" si="3"/>
        <v>0</v>
      </c>
      <c r="S53" s="88">
        <f t="shared" si="4"/>
        <v>0</v>
      </c>
      <c r="T53" s="88">
        <f t="shared" si="5"/>
        <v>0</v>
      </c>
      <c r="U53" s="88">
        <f t="shared" si="6"/>
        <v>0</v>
      </c>
      <c r="V53" s="88">
        <f t="shared" si="7"/>
        <v>-200000</v>
      </c>
      <c r="W53" s="88">
        <f t="shared" si="8"/>
        <v>0</v>
      </c>
      <c r="X53" s="88">
        <f t="shared" si="9"/>
        <v>0</v>
      </c>
      <c r="Z53" s="51" t="s">
        <v>216</v>
      </c>
      <c r="AA53" s="52">
        <f>IF(VLOOKUP($Z53,'Asset Master'!$A:$J,6,FALSE)*COUNTIF('Event Trigger'!$C:$C,'Year 1 Results'!$Z53)&gt;SUMIF('Event Trigger'!$C:$C,$Z53,D:D),0,VLOOKUP($Z53,'Asset Master'!$A:$J,6,FALSE))</f>
        <v>0</v>
      </c>
      <c r="AB53" s="52">
        <f>IF(VLOOKUP($Z53,'Asset Master'!$A:$J,6,FALSE)*COUNTIF('Event Trigger'!$C:$C,'Year 1 Results'!$Z53)&gt;SUMIF('Event Trigger'!$C:$C,$Z53,E:E),0,VLOOKUP($Z53,'Asset Master'!$A:$J,6,FALSE))</f>
        <v>0</v>
      </c>
      <c r="AC53" s="52">
        <f>IF(VLOOKUP($Z53,'Asset Master'!$A:$J,6,FALSE)*COUNTIF('Event Trigger'!$C:$C,'Year 1 Results'!$Z53)&gt;SUMIF('Event Trigger'!$C:$C,$Z53,F:F),0,VLOOKUP($Z53,'Asset Master'!$A:$J,6,FALSE))</f>
        <v>0</v>
      </c>
      <c r="AD53" s="52">
        <f>IF(VLOOKUP($Z53,'Asset Master'!$A:$J,6,FALSE)*COUNTIF('Event Trigger'!$C:$C,'Year 1 Results'!$Z53)&gt;SUMIF('Event Trigger'!$C:$C,$Z53,G:G),0,VLOOKUP($Z53,'Asset Master'!$A:$J,6,FALSE))</f>
        <v>0</v>
      </c>
      <c r="AE53" s="52">
        <f>IF(VLOOKUP($Z53,'Asset Master'!$A:$J,6,FALSE)*COUNTIF('Event Trigger'!$C:$C,'Year 1 Results'!$Z53)&gt;SUMIF('Event Trigger'!$C:$C,$Z53,H:H),0,VLOOKUP($Z53,'Asset Master'!$A:$J,6,FALSE))</f>
        <v>0</v>
      </c>
      <c r="AF53" s="52">
        <f>IF(VLOOKUP($Z53,'Asset Master'!$A:$J,6,FALSE)*COUNTIF('Event Trigger'!$C:$C,'Year 1 Results'!$Z53)&gt;SUMIF('Event Trigger'!$C:$C,$Z53,I:I),0,VLOOKUP($Z53,'Asset Master'!$A:$J,6,FALSE))</f>
        <v>0</v>
      </c>
      <c r="AG53" s="52">
        <f>IF(VLOOKUP($Z53,'Asset Master'!$A:$J,6,FALSE)*COUNTIF('Event Trigger'!$C:$C,'Year 1 Results'!$Z53)&gt;SUMIF('Event Trigger'!$C:$C,$Z53,J:J),0,VLOOKUP($Z53,'Asset Master'!$A:$J,6,FALSE))</f>
        <v>0</v>
      </c>
      <c r="AH53" s="52">
        <f>IF(VLOOKUP($Z53,'Asset Master'!$A:$J,6,FALSE)*COUNTIF('Event Trigger'!$C:$C,'Year 1 Results'!$Z53)&gt;SUMIF('Event Trigger'!$C:$C,$Z53,K:K),0,VLOOKUP($Z53,'Asset Master'!$A:$J,6,FALSE))</f>
        <v>0</v>
      </c>
      <c r="AI53" s="52">
        <f>IF(VLOOKUP($Z53,'Asset Master'!$A:$J,6,FALSE)*COUNTIF('Event Trigger'!$C:$C,'Year 1 Results'!$Z53)&gt;SUMIF('Event Trigger'!$C:$C,$Z53,L:L),0,VLOOKUP($Z53,'Asset Master'!$A:$J,6,FALSE))</f>
        <v>0</v>
      </c>
      <c r="AJ53" s="52">
        <f>IF(VLOOKUP($Z53,'Asset Master'!$A:$J,6,FALSE)*COUNTIF('Event Trigger'!$C:$C,'Year 1 Results'!$Z53)&gt;SUMIF('Event Trigger'!$C:$C,$Z53,M:M),0,VLOOKUP($Z53,'Asset Master'!$A:$J,6,FALSE))</f>
        <v>0</v>
      </c>
    </row>
    <row r="54" spans="1:36" ht="25.5" x14ac:dyDescent="0.25">
      <c r="A54" s="37" t="str">
        <f>'Risk Master'!B54:B183&amp;"-"&amp;'Risk Master'!D54</f>
        <v>Thunderstorms, Tornados &amp; Hail-Mumbai</v>
      </c>
      <c r="B54" s="37" t="str">
        <f>'Input Sheet year 2'!B55</f>
        <v>Thunderstorms, Tornados &amp; Hail-Mumbai</v>
      </c>
      <c r="C54" s="29" t="str">
        <f>'Risk Master'!F54</f>
        <v>A13</v>
      </c>
      <c r="D54" s="73">
        <f>'Risk Master'!$G54*-1+('Risk Master'!$G54*'Event Trigger'!$D54*(1-'Input Sheet year 1'!H55))</f>
        <v>200000</v>
      </c>
      <c r="E54" s="73">
        <f>'Risk Master'!$G54*-1+('Risk Master'!$G54*'Event Trigger'!$D54*(1-'Input Sheet year 2'!I55))</f>
        <v>200000</v>
      </c>
      <c r="F54" s="73">
        <f>'Risk Master'!$G54*-1+('Risk Master'!$G54*'Event Trigger'!$D54*(1-'Input Sheet year 2'!J55))</f>
        <v>200000</v>
      </c>
      <c r="G54" s="73">
        <f>'Risk Master'!$G54*-1+('Risk Master'!$G54*'Event Trigger'!$D54*(1-'Input Sheet year 2'!K55))</f>
        <v>200000</v>
      </c>
      <c r="H54" s="73">
        <f>'Risk Master'!$G54*-1+('Risk Master'!$G54*'Event Trigger'!$D54*(1-'Input Sheet year 2'!L55))</f>
        <v>200000</v>
      </c>
      <c r="I54" s="73">
        <f>'Risk Master'!$G54*-1+('Risk Master'!$G54*'Event Trigger'!$D54*(1-'Input Sheet year 2'!M55))</f>
        <v>200000</v>
      </c>
      <c r="J54" s="73">
        <f>'Risk Master'!$G54*-1+('Risk Master'!$G54*'Event Trigger'!$D54*(1-'Input Sheet year 2'!N55))</f>
        <v>200000</v>
      </c>
      <c r="K54" s="73">
        <f>'Risk Master'!$G54*-1+('Risk Master'!$G54*'Event Trigger'!$D54*(1-'Input Sheet year 2'!O55))</f>
        <v>200000</v>
      </c>
      <c r="L54" s="73">
        <f>'Risk Master'!$G54*-1+('Risk Master'!$G54*'Event Trigger'!$D54*(1-'Input Sheet year 2'!P55))</f>
        <v>200000</v>
      </c>
      <c r="M54" s="73">
        <f>'Risk Master'!$G54*-1+('Risk Master'!$G54*'Event Trigger'!$D54*(1-'Input Sheet year 2'!Q55))</f>
        <v>200000</v>
      </c>
      <c r="N54" s="88"/>
      <c r="O54" s="88">
        <f t="shared" si="0"/>
        <v>0</v>
      </c>
      <c r="P54" s="88">
        <f t="shared" si="1"/>
        <v>-200000</v>
      </c>
      <c r="Q54" s="88">
        <f t="shared" si="2"/>
        <v>-200000</v>
      </c>
      <c r="R54" s="88">
        <f t="shared" si="3"/>
        <v>0</v>
      </c>
      <c r="S54" s="88">
        <f t="shared" si="4"/>
        <v>0</v>
      </c>
      <c r="T54" s="88">
        <f t="shared" si="5"/>
        <v>0</v>
      </c>
      <c r="U54" s="88">
        <f t="shared" si="6"/>
        <v>0</v>
      </c>
      <c r="V54" s="88">
        <f t="shared" si="7"/>
        <v>-200000</v>
      </c>
      <c r="W54" s="88">
        <f t="shared" si="8"/>
        <v>0</v>
      </c>
      <c r="X54" s="88">
        <f t="shared" si="9"/>
        <v>0</v>
      </c>
      <c r="Z54" s="51" t="s">
        <v>217</v>
      </c>
      <c r="AA54" s="52">
        <f>IF(VLOOKUP($Z54,'Asset Master'!$A:$J,6,FALSE)*COUNTIF('Event Trigger'!$C:$C,'Year 1 Results'!$Z54)&gt;SUMIF('Event Trigger'!$C:$C,$Z54,D:D),0,VLOOKUP($Z54,'Asset Master'!$A:$J,6,FALSE))</f>
        <v>500000</v>
      </c>
      <c r="AB54" s="52">
        <f>IF(VLOOKUP($Z54,'Asset Master'!$A:$J,6,FALSE)*COUNTIF('Event Trigger'!$C:$C,'Year 1 Results'!$Z54)&gt;SUMIF('Event Trigger'!$C:$C,$Z54,E:E),0,VLOOKUP($Z54,'Asset Master'!$A:$J,6,FALSE))</f>
        <v>500000</v>
      </c>
      <c r="AC54" s="52">
        <f>IF(VLOOKUP($Z54,'Asset Master'!$A:$J,6,FALSE)*COUNTIF('Event Trigger'!$C:$C,'Year 1 Results'!$Z54)&gt;SUMIF('Event Trigger'!$C:$C,$Z54,F:F),0,VLOOKUP($Z54,'Asset Master'!$A:$J,6,FALSE))</f>
        <v>500000</v>
      </c>
      <c r="AD54" s="52">
        <f>IF(VLOOKUP($Z54,'Asset Master'!$A:$J,6,FALSE)*COUNTIF('Event Trigger'!$C:$C,'Year 1 Results'!$Z54)&gt;SUMIF('Event Trigger'!$C:$C,$Z54,G:G),0,VLOOKUP($Z54,'Asset Master'!$A:$J,6,FALSE))</f>
        <v>500000</v>
      </c>
      <c r="AE54" s="52">
        <f>IF(VLOOKUP($Z54,'Asset Master'!$A:$J,6,FALSE)*COUNTIF('Event Trigger'!$C:$C,'Year 1 Results'!$Z54)&gt;SUMIF('Event Trigger'!$C:$C,$Z54,H:H),0,VLOOKUP($Z54,'Asset Master'!$A:$J,6,FALSE))</f>
        <v>500000</v>
      </c>
      <c r="AF54" s="52">
        <f>IF(VLOOKUP($Z54,'Asset Master'!$A:$J,6,FALSE)*COUNTIF('Event Trigger'!$C:$C,'Year 1 Results'!$Z54)&gt;SUMIF('Event Trigger'!$C:$C,$Z54,I:I),0,VLOOKUP($Z54,'Asset Master'!$A:$J,6,FALSE))</f>
        <v>500000</v>
      </c>
      <c r="AG54" s="52">
        <f>IF(VLOOKUP($Z54,'Asset Master'!$A:$J,6,FALSE)*COUNTIF('Event Trigger'!$C:$C,'Year 1 Results'!$Z54)&gt;SUMIF('Event Trigger'!$C:$C,$Z54,J:J),0,VLOOKUP($Z54,'Asset Master'!$A:$J,6,FALSE))</f>
        <v>500000</v>
      </c>
      <c r="AH54" s="52">
        <f>IF(VLOOKUP($Z54,'Asset Master'!$A:$J,6,FALSE)*COUNTIF('Event Trigger'!$C:$C,'Year 1 Results'!$Z54)&gt;SUMIF('Event Trigger'!$C:$C,$Z54,K:K),0,VLOOKUP($Z54,'Asset Master'!$A:$J,6,FALSE))</f>
        <v>500000</v>
      </c>
      <c r="AI54" s="52">
        <f>IF(VLOOKUP($Z54,'Asset Master'!$A:$J,6,FALSE)*COUNTIF('Event Trigger'!$C:$C,'Year 1 Results'!$Z54)&gt;SUMIF('Event Trigger'!$C:$C,$Z54,L:L),0,VLOOKUP($Z54,'Asset Master'!$A:$J,6,FALSE))</f>
        <v>500000</v>
      </c>
      <c r="AJ54" s="52">
        <f>IF(VLOOKUP($Z54,'Asset Master'!$A:$J,6,FALSE)*COUNTIF('Event Trigger'!$C:$C,'Year 1 Results'!$Z54)&gt;SUMIF('Event Trigger'!$C:$C,$Z54,M:M),0,VLOOKUP($Z54,'Asset Master'!$A:$J,6,FALSE))</f>
        <v>500000</v>
      </c>
    </row>
    <row r="55" spans="1:36" x14ac:dyDescent="0.25">
      <c r="A55" s="37" t="str">
        <f>'Risk Master'!B55:B183&amp;"-"&amp;'Risk Master'!D55</f>
        <v>Tsunami-Mumbai</v>
      </c>
      <c r="B55" s="37" t="str">
        <f>'Input Sheet year 2'!B56</f>
        <v>Tsunami-Mumbai</v>
      </c>
      <c r="C55" s="29" t="str">
        <f>'Risk Master'!F55</f>
        <v>A13</v>
      </c>
      <c r="D55" s="73">
        <f>'Risk Master'!$G55*-1+('Risk Master'!$G55*'Event Trigger'!$D55*(1-'Input Sheet year 1'!H56))</f>
        <v>200000</v>
      </c>
      <c r="E55" s="73">
        <f>'Risk Master'!$G55*-1+('Risk Master'!$G55*'Event Trigger'!$D55*(1-'Input Sheet year 2'!I56))</f>
        <v>200000</v>
      </c>
      <c r="F55" s="73">
        <f>'Risk Master'!$G55*-1+('Risk Master'!$G55*'Event Trigger'!$D55*(1-'Input Sheet year 2'!J56))</f>
        <v>200000</v>
      </c>
      <c r="G55" s="73">
        <f>'Risk Master'!$G55*-1+('Risk Master'!$G55*'Event Trigger'!$D55*(1-'Input Sheet year 2'!K56))</f>
        <v>200000</v>
      </c>
      <c r="H55" s="73">
        <f>'Risk Master'!$G55*-1+('Risk Master'!$G55*'Event Trigger'!$D55*(1-'Input Sheet year 2'!L56))</f>
        <v>200000</v>
      </c>
      <c r="I55" s="73">
        <f>'Risk Master'!$G55*-1+('Risk Master'!$G55*'Event Trigger'!$D55*(1-'Input Sheet year 2'!M56))</f>
        <v>200000</v>
      </c>
      <c r="J55" s="73">
        <f>'Risk Master'!$G55*-1+('Risk Master'!$G55*'Event Trigger'!$D55*(1-'Input Sheet year 2'!N56))</f>
        <v>200000</v>
      </c>
      <c r="K55" s="73">
        <f>'Risk Master'!$G55*-1+('Risk Master'!$G55*'Event Trigger'!$D55*(1-'Input Sheet year 2'!O56))</f>
        <v>200000</v>
      </c>
      <c r="L55" s="73">
        <f>'Risk Master'!$G55*-1+('Risk Master'!$G55*'Event Trigger'!$D55*(1-'Input Sheet year 2'!P56))</f>
        <v>200000</v>
      </c>
      <c r="M55" s="73">
        <f>'Risk Master'!$G55*-1+('Risk Master'!$G55*'Event Trigger'!$D55*(1-'Input Sheet year 2'!Q56))</f>
        <v>200000</v>
      </c>
      <c r="N55" s="88"/>
      <c r="O55" s="88">
        <f t="shared" si="0"/>
        <v>0</v>
      </c>
      <c r="P55" s="88">
        <f t="shared" si="1"/>
        <v>-200000</v>
      </c>
      <c r="Q55" s="88">
        <f t="shared" si="2"/>
        <v>-200000</v>
      </c>
      <c r="R55" s="88">
        <f t="shared" si="3"/>
        <v>0</v>
      </c>
      <c r="S55" s="88">
        <f t="shared" si="4"/>
        <v>0</v>
      </c>
      <c r="T55" s="88">
        <f t="shared" si="5"/>
        <v>0</v>
      </c>
      <c r="U55" s="88">
        <f t="shared" si="6"/>
        <v>0</v>
      </c>
      <c r="V55" s="88">
        <f t="shared" si="7"/>
        <v>-200000</v>
      </c>
      <c r="W55" s="88">
        <f t="shared" si="8"/>
        <v>0</v>
      </c>
      <c r="X55" s="88">
        <f t="shared" si="9"/>
        <v>0</v>
      </c>
      <c r="Z55" s="51" t="s">
        <v>218</v>
      </c>
      <c r="AA55" s="52">
        <f>IF(VLOOKUP($Z55,'Asset Master'!$A:$J,6,FALSE)*COUNTIF('Event Trigger'!$C:$C,'Year 1 Results'!$Z55)&gt;SUMIF('Event Trigger'!$C:$C,$Z55,D:D),0,VLOOKUP($Z55,'Asset Master'!$A:$J,6,FALSE))</f>
        <v>300000</v>
      </c>
      <c r="AB55" s="52">
        <f>IF(VLOOKUP($Z55,'Asset Master'!$A:$J,6,FALSE)*COUNTIF('Event Trigger'!$C:$C,'Year 1 Results'!$Z55)&gt;SUMIF('Event Trigger'!$C:$C,$Z55,E:E),0,VLOOKUP($Z55,'Asset Master'!$A:$J,6,FALSE))</f>
        <v>300000</v>
      </c>
      <c r="AC55" s="52">
        <f>IF(VLOOKUP($Z55,'Asset Master'!$A:$J,6,FALSE)*COUNTIF('Event Trigger'!$C:$C,'Year 1 Results'!$Z55)&gt;SUMIF('Event Trigger'!$C:$C,$Z55,F:F),0,VLOOKUP($Z55,'Asset Master'!$A:$J,6,FALSE))</f>
        <v>300000</v>
      </c>
      <c r="AD55" s="52">
        <f>IF(VLOOKUP($Z55,'Asset Master'!$A:$J,6,FALSE)*COUNTIF('Event Trigger'!$C:$C,'Year 1 Results'!$Z55)&gt;SUMIF('Event Trigger'!$C:$C,$Z55,G:G),0,VLOOKUP($Z55,'Asset Master'!$A:$J,6,FALSE))</f>
        <v>300000</v>
      </c>
      <c r="AE55" s="52">
        <f>IF(VLOOKUP($Z55,'Asset Master'!$A:$J,6,FALSE)*COUNTIF('Event Trigger'!$C:$C,'Year 1 Results'!$Z55)&gt;SUMIF('Event Trigger'!$C:$C,$Z55,H:H),0,VLOOKUP($Z55,'Asset Master'!$A:$J,6,FALSE))</f>
        <v>300000</v>
      </c>
      <c r="AF55" s="52">
        <f>IF(VLOOKUP($Z55,'Asset Master'!$A:$J,6,FALSE)*COUNTIF('Event Trigger'!$C:$C,'Year 1 Results'!$Z55)&gt;SUMIF('Event Trigger'!$C:$C,$Z55,I:I),0,VLOOKUP($Z55,'Asset Master'!$A:$J,6,FALSE))</f>
        <v>300000</v>
      </c>
      <c r="AG55" s="52">
        <f>IF(VLOOKUP($Z55,'Asset Master'!$A:$J,6,FALSE)*COUNTIF('Event Trigger'!$C:$C,'Year 1 Results'!$Z55)&gt;SUMIF('Event Trigger'!$C:$C,$Z55,J:J),0,VLOOKUP($Z55,'Asset Master'!$A:$J,6,FALSE))</f>
        <v>300000</v>
      </c>
      <c r="AH55" s="52">
        <f>IF(VLOOKUP($Z55,'Asset Master'!$A:$J,6,FALSE)*COUNTIF('Event Trigger'!$C:$C,'Year 1 Results'!$Z55)&gt;SUMIF('Event Trigger'!$C:$C,$Z55,K:K),0,VLOOKUP($Z55,'Asset Master'!$A:$J,6,FALSE))</f>
        <v>300000</v>
      </c>
      <c r="AI55" s="52">
        <f>IF(VLOOKUP($Z55,'Asset Master'!$A:$J,6,FALSE)*COUNTIF('Event Trigger'!$C:$C,'Year 1 Results'!$Z55)&gt;SUMIF('Event Trigger'!$C:$C,$Z55,L:L),0,VLOOKUP($Z55,'Asset Master'!$A:$J,6,FALSE))</f>
        <v>300000</v>
      </c>
      <c r="AJ55" s="52">
        <f>IF(VLOOKUP($Z55,'Asset Master'!$A:$J,6,FALSE)*COUNTIF('Event Trigger'!$C:$C,'Year 1 Results'!$Z55)&gt;SUMIF('Event Trigger'!$C:$C,$Z55,M:M),0,VLOOKUP($Z55,'Asset Master'!$A:$J,6,FALSE))</f>
        <v>300000</v>
      </c>
    </row>
    <row r="56" spans="1:36" ht="25.5" x14ac:dyDescent="0.25">
      <c r="A56" s="37" t="str">
        <f>'Risk Master'!B56:B183&amp;"-"&amp;'Risk Master'!D56</f>
        <v>High tide and high rainfalls leading to large floods-Mumbai</v>
      </c>
      <c r="B56" s="37" t="str">
        <f>'Input Sheet year 2'!B57</f>
        <v>Flood-Mumbai</v>
      </c>
      <c r="C56" s="29" t="str">
        <f>'Risk Master'!F56</f>
        <v>A14</v>
      </c>
      <c r="D56" s="73">
        <f>'Risk Master'!$G56*-1+('Risk Master'!$G56*'Event Trigger'!$D56*(1-'Input Sheet year 1'!H57))</f>
        <v>300000</v>
      </c>
      <c r="E56" s="73">
        <f>'Risk Master'!$G56*-1+('Risk Master'!$G56*'Event Trigger'!$D56*(1-'Input Sheet year 2'!I57))</f>
        <v>300000</v>
      </c>
      <c r="F56" s="73">
        <f>'Risk Master'!$G56*-1+('Risk Master'!$G56*'Event Trigger'!$D56*(1-'Input Sheet year 2'!J57))</f>
        <v>300000</v>
      </c>
      <c r="G56" s="73">
        <f>'Risk Master'!$G56*-1+('Risk Master'!$G56*'Event Trigger'!$D56*(1-'Input Sheet year 2'!K57))</f>
        <v>300000</v>
      </c>
      <c r="H56" s="73">
        <f>'Risk Master'!$G56*-1+('Risk Master'!$G56*'Event Trigger'!$D56*(1-'Input Sheet year 2'!L57))</f>
        <v>300000</v>
      </c>
      <c r="I56" s="73">
        <f>'Risk Master'!$G56*-1+('Risk Master'!$G56*'Event Trigger'!$D56*(1-'Input Sheet year 2'!M57))</f>
        <v>300000</v>
      </c>
      <c r="J56" s="73">
        <f>'Risk Master'!$G56*-1+('Risk Master'!$G56*'Event Trigger'!$D56*(1-'Input Sheet year 2'!N57))</f>
        <v>300000</v>
      </c>
      <c r="K56" s="73">
        <f>'Risk Master'!$G56*-1+('Risk Master'!$G56*'Event Trigger'!$D56*(1-'Input Sheet year 2'!O57))</f>
        <v>300000</v>
      </c>
      <c r="L56" s="73">
        <f>'Risk Master'!$G56*-1+('Risk Master'!$G56*'Event Trigger'!$D56*(1-'Input Sheet year 2'!P57))</f>
        <v>300000</v>
      </c>
      <c r="M56" s="73">
        <f>'Risk Master'!$G56*-1+('Risk Master'!$G56*'Event Trigger'!$D56*(1-'Input Sheet year 2'!Q57))</f>
        <v>300000</v>
      </c>
      <c r="N56" s="88"/>
      <c r="O56" s="88">
        <f t="shared" si="0"/>
        <v>0</v>
      </c>
      <c r="P56" s="88">
        <f t="shared" si="1"/>
        <v>0</v>
      </c>
      <c r="Q56" s="88">
        <f t="shared" si="2"/>
        <v>-300000</v>
      </c>
      <c r="R56" s="88">
        <f t="shared" si="3"/>
        <v>0</v>
      </c>
      <c r="S56" s="88">
        <f t="shared" si="4"/>
        <v>0</v>
      </c>
      <c r="T56" s="88">
        <f t="shared" si="5"/>
        <v>0</v>
      </c>
      <c r="U56" s="88">
        <f t="shared" si="6"/>
        <v>0</v>
      </c>
      <c r="V56" s="88">
        <f t="shared" si="7"/>
        <v>0</v>
      </c>
      <c r="W56" s="88">
        <f t="shared" si="8"/>
        <v>0</v>
      </c>
      <c r="X56" s="88">
        <f t="shared" si="9"/>
        <v>0</v>
      </c>
      <c r="Z56" s="51" t="s">
        <v>219</v>
      </c>
      <c r="AA56" s="52">
        <f>IF(VLOOKUP($Z56,'Asset Master'!$A:$J,6,FALSE)*COUNTIF('Event Trigger'!$C:$C,'Year 1 Results'!$Z56)&gt;SUMIF('Event Trigger'!$C:$C,$Z56,D:D),0,VLOOKUP($Z56,'Asset Master'!$A:$J,6,FALSE))</f>
        <v>500000</v>
      </c>
      <c r="AB56" s="52">
        <f>IF(VLOOKUP($Z56,'Asset Master'!$A:$J,6,FALSE)*COUNTIF('Event Trigger'!$C:$C,'Year 1 Results'!$Z56)&gt;SUMIF('Event Trigger'!$C:$C,$Z56,E:E),0,VLOOKUP($Z56,'Asset Master'!$A:$J,6,FALSE))</f>
        <v>500000</v>
      </c>
      <c r="AC56" s="52">
        <f>IF(VLOOKUP($Z56,'Asset Master'!$A:$J,6,FALSE)*COUNTIF('Event Trigger'!$C:$C,'Year 1 Results'!$Z56)&gt;SUMIF('Event Trigger'!$C:$C,$Z56,F:F),0,VLOOKUP($Z56,'Asset Master'!$A:$J,6,FALSE))</f>
        <v>500000</v>
      </c>
      <c r="AD56" s="52">
        <f>IF(VLOOKUP($Z56,'Asset Master'!$A:$J,6,FALSE)*COUNTIF('Event Trigger'!$C:$C,'Year 1 Results'!$Z56)&gt;SUMIF('Event Trigger'!$C:$C,$Z56,G:G),0,VLOOKUP($Z56,'Asset Master'!$A:$J,6,FALSE))</f>
        <v>500000</v>
      </c>
      <c r="AE56" s="52">
        <f>IF(VLOOKUP($Z56,'Asset Master'!$A:$J,6,FALSE)*COUNTIF('Event Trigger'!$C:$C,'Year 1 Results'!$Z56)&gt;SUMIF('Event Trigger'!$C:$C,$Z56,H:H),0,VLOOKUP($Z56,'Asset Master'!$A:$J,6,FALSE))</f>
        <v>500000</v>
      </c>
      <c r="AF56" s="52">
        <f>IF(VLOOKUP($Z56,'Asset Master'!$A:$J,6,FALSE)*COUNTIF('Event Trigger'!$C:$C,'Year 1 Results'!$Z56)&gt;SUMIF('Event Trigger'!$C:$C,$Z56,I:I),0,VLOOKUP($Z56,'Asset Master'!$A:$J,6,FALSE))</f>
        <v>500000</v>
      </c>
      <c r="AG56" s="52">
        <f>IF(VLOOKUP($Z56,'Asset Master'!$A:$J,6,FALSE)*COUNTIF('Event Trigger'!$C:$C,'Year 1 Results'!$Z56)&gt;SUMIF('Event Trigger'!$C:$C,$Z56,J:J),0,VLOOKUP($Z56,'Asset Master'!$A:$J,6,FALSE))</f>
        <v>500000</v>
      </c>
      <c r="AH56" s="52">
        <f>IF(VLOOKUP($Z56,'Asset Master'!$A:$J,6,FALSE)*COUNTIF('Event Trigger'!$C:$C,'Year 1 Results'!$Z56)&gt;SUMIF('Event Trigger'!$C:$C,$Z56,K:K),0,VLOOKUP($Z56,'Asset Master'!$A:$J,6,FALSE))</f>
        <v>500000</v>
      </c>
      <c r="AI56" s="52">
        <f>IF(VLOOKUP($Z56,'Asset Master'!$A:$J,6,FALSE)*COUNTIF('Event Trigger'!$C:$C,'Year 1 Results'!$Z56)&gt;SUMIF('Event Trigger'!$C:$C,$Z56,L:L),0,VLOOKUP($Z56,'Asset Master'!$A:$J,6,FALSE))</f>
        <v>500000</v>
      </c>
      <c r="AJ56" s="52">
        <f>IF(VLOOKUP($Z56,'Asset Master'!$A:$J,6,FALSE)*COUNTIF('Event Trigger'!$C:$C,'Year 1 Results'!$Z56)&gt;SUMIF('Event Trigger'!$C:$C,$Z56,M:M),0,VLOOKUP($Z56,'Asset Master'!$A:$J,6,FALSE))</f>
        <v>500000</v>
      </c>
    </row>
    <row r="57" spans="1:36" x14ac:dyDescent="0.25">
      <c r="A57" s="37" t="str">
        <f>'Risk Master'!B57:B183&amp;"-"&amp;'Risk Master'!D57</f>
        <v>Earthquake-Mumbai</v>
      </c>
      <c r="B57" s="37" t="str">
        <f>'Input Sheet year 2'!B58</f>
        <v>Earthquake-Mumbai</v>
      </c>
      <c r="C57" s="29" t="str">
        <f>'Risk Master'!F57</f>
        <v>A14</v>
      </c>
      <c r="D57" s="73">
        <f>'Risk Master'!$G57*-1+('Risk Master'!$G57*'Event Trigger'!$D57*(1-'Input Sheet year 1'!H58))</f>
        <v>0</v>
      </c>
      <c r="E57" s="73">
        <f>'Risk Master'!$G57*-1+('Risk Master'!$G57*'Event Trigger'!$D57*(1-'Input Sheet year 2'!I58))</f>
        <v>0</v>
      </c>
      <c r="F57" s="73">
        <f>'Risk Master'!$G57*-1+('Risk Master'!$G57*'Event Trigger'!$D57*(1-'Input Sheet year 2'!J58))</f>
        <v>300000</v>
      </c>
      <c r="G57" s="73">
        <f>'Risk Master'!$G57*-1+('Risk Master'!$G57*'Event Trigger'!$D57*(1-'Input Sheet year 2'!K58))</f>
        <v>0</v>
      </c>
      <c r="H57" s="73">
        <f>'Risk Master'!$G57*-1+('Risk Master'!$G57*'Event Trigger'!$D57*(1-'Input Sheet year 2'!L58))</f>
        <v>0</v>
      </c>
      <c r="I57" s="73">
        <f>'Risk Master'!$G57*-1+('Risk Master'!$G57*'Event Trigger'!$D57*(1-'Input Sheet year 2'!M58))</f>
        <v>0</v>
      </c>
      <c r="J57" s="73">
        <f>'Risk Master'!$G57*-1+('Risk Master'!$G57*'Event Trigger'!$D57*(1-'Input Sheet year 2'!N58))</f>
        <v>0</v>
      </c>
      <c r="K57" s="73">
        <f>'Risk Master'!$G57*-1+('Risk Master'!$G57*'Event Trigger'!$D57*(1-'Input Sheet year 2'!O58))</f>
        <v>300000</v>
      </c>
      <c r="L57" s="73">
        <f>'Risk Master'!$G57*-1+('Risk Master'!$G57*'Event Trigger'!$D57*(1-'Input Sheet year 2'!P58))</f>
        <v>0</v>
      </c>
      <c r="M57" s="73">
        <f>'Risk Master'!$G57*-1+('Risk Master'!$G57*'Event Trigger'!$D57*(1-'Input Sheet year 2'!Q58))</f>
        <v>0</v>
      </c>
      <c r="N57" s="88"/>
      <c r="O57" s="88">
        <f t="shared" si="0"/>
        <v>0</v>
      </c>
      <c r="P57" s="88">
        <f t="shared" si="1"/>
        <v>0</v>
      </c>
      <c r="Q57" s="88">
        <f t="shared" si="2"/>
        <v>-300000</v>
      </c>
      <c r="R57" s="88">
        <f t="shared" si="3"/>
        <v>0</v>
      </c>
      <c r="S57" s="88">
        <f t="shared" si="4"/>
        <v>0</v>
      </c>
      <c r="T57" s="88">
        <f t="shared" si="5"/>
        <v>0</v>
      </c>
      <c r="U57" s="88">
        <f t="shared" si="6"/>
        <v>0</v>
      </c>
      <c r="V57" s="88">
        <f t="shared" si="7"/>
        <v>0</v>
      </c>
      <c r="W57" s="88">
        <f t="shared" si="8"/>
        <v>0</v>
      </c>
      <c r="X57" s="88">
        <f t="shared" si="9"/>
        <v>0</v>
      </c>
      <c r="Z57" s="51" t="s">
        <v>220</v>
      </c>
      <c r="AA57" s="52">
        <f>IF(VLOOKUP($Z57,'Asset Master'!$A:$J,6,FALSE)*COUNTIF('Event Trigger'!$C:$C,'Year 1 Results'!$Z57)&gt;SUMIF('Event Trigger'!$C:$C,$Z57,D:D),0,VLOOKUP($Z57,'Asset Master'!$A:$J,6,FALSE))</f>
        <v>0</v>
      </c>
      <c r="AB57" s="52">
        <f>IF(VLOOKUP($Z57,'Asset Master'!$A:$J,6,FALSE)*COUNTIF('Event Trigger'!$C:$C,'Year 1 Results'!$Z57)&gt;SUMIF('Event Trigger'!$C:$C,$Z57,E:E),0,VLOOKUP($Z57,'Asset Master'!$A:$J,6,FALSE))</f>
        <v>0</v>
      </c>
      <c r="AC57" s="52">
        <f>IF(VLOOKUP($Z57,'Asset Master'!$A:$J,6,FALSE)*COUNTIF('Event Trigger'!$C:$C,'Year 1 Results'!$Z57)&gt;SUMIF('Event Trigger'!$C:$C,$Z57,F:F),0,VLOOKUP($Z57,'Asset Master'!$A:$J,6,FALSE))</f>
        <v>0</v>
      </c>
      <c r="AD57" s="52">
        <f>IF(VLOOKUP($Z57,'Asset Master'!$A:$J,6,FALSE)*COUNTIF('Event Trigger'!$C:$C,'Year 1 Results'!$Z57)&gt;SUMIF('Event Trigger'!$C:$C,$Z57,G:G),0,VLOOKUP($Z57,'Asset Master'!$A:$J,6,FALSE))</f>
        <v>0</v>
      </c>
      <c r="AE57" s="52">
        <f>IF(VLOOKUP($Z57,'Asset Master'!$A:$J,6,FALSE)*COUNTIF('Event Trigger'!$C:$C,'Year 1 Results'!$Z57)&gt;SUMIF('Event Trigger'!$C:$C,$Z57,H:H),0,VLOOKUP($Z57,'Asset Master'!$A:$J,6,FALSE))</f>
        <v>0</v>
      </c>
      <c r="AF57" s="52">
        <f>IF(VLOOKUP($Z57,'Asset Master'!$A:$J,6,FALSE)*COUNTIF('Event Trigger'!$C:$C,'Year 1 Results'!$Z57)&gt;SUMIF('Event Trigger'!$C:$C,$Z57,I:I),0,VLOOKUP($Z57,'Asset Master'!$A:$J,6,FALSE))</f>
        <v>0</v>
      </c>
      <c r="AG57" s="52">
        <f>IF(VLOOKUP($Z57,'Asset Master'!$A:$J,6,FALSE)*COUNTIF('Event Trigger'!$C:$C,'Year 1 Results'!$Z57)&gt;SUMIF('Event Trigger'!$C:$C,$Z57,J:J),0,VLOOKUP($Z57,'Asset Master'!$A:$J,6,FALSE))</f>
        <v>0</v>
      </c>
      <c r="AH57" s="52">
        <f>IF(VLOOKUP($Z57,'Asset Master'!$A:$J,6,FALSE)*COUNTIF('Event Trigger'!$C:$C,'Year 1 Results'!$Z57)&gt;SUMIF('Event Trigger'!$C:$C,$Z57,K:K),0,VLOOKUP($Z57,'Asset Master'!$A:$J,6,FALSE))</f>
        <v>0</v>
      </c>
      <c r="AI57" s="52">
        <f>IF(VLOOKUP($Z57,'Asset Master'!$A:$J,6,FALSE)*COUNTIF('Event Trigger'!$C:$C,'Year 1 Results'!$Z57)&gt;SUMIF('Event Trigger'!$C:$C,$Z57,L:L),0,VLOOKUP($Z57,'Asset Master'!$A:$J,6,FALSE))</f>
        <v>0</v>
      </c>
      <c r="AJ57" s="52">
        <f>IF(VLOOKUP($Z57,'Asset Master'!$A:$J,6,FALSE)*COUNTIF('Event Trigger'!$C:$C,'Year 1 Results'!$Z57)&gt;SUMIF('Event Trigger'!$C:$C,$Z57,M:M),0,VLOOKUP($Z57,'Asset Master'!$A:$J,6,FALSE))</f>
        <v>0</v>
      </c>
    </row>
    <row r="58" spans="1:36" x14ac:dyDescent="0.25">
      <c r="A58" s="37" t="str">
        <f>'Risk Master'!B58:B183&amp;"-"&amp;'Risk Master'!D58</f>
        <v>Fire-Mumbai</v>
      </c>
      <c r="B58" s="37" t="str">
        <f>'Input Sheet year 2'!B59</f>
        <v>Fire-Mumbai</v>
      </c>
      <c r="C58" s="29" t="str">
        <f>'Risk Master'!F58</f>
        <v>A14</v>
      </c>
      <c r="D58" s="73">
        <f>'Risk Master'!$G58*-1+('Risk Master'!$G58*'Event Trigger'!$D58*(1-'Input Sheet year 1'!H59))</f>
        <v>300000</v>
      </c>
      <c r="E58" s="73">
        <f>'Risk Master'!$G58*-1+('Risk Master'!$G58*'Event Trigger'!$D58*(1-'Input Sheet year 2'!I59))</f>
        <v>300000</v>
      </c>
      <c r="F58" s="73">
        <f>'Risk Master'!$G58*-1+('Risk Master'!$G58*'Event Trigger'!$D58*(1-'Input Sheet year 2'!J59))</f>
        <v>300000</v>
      </c>
      <c r="G58" s="73">
        <f>'Risk Master'!$G58*-1+('Risk Master'!$G58*'Event Trigger'!$D58*(1-'Input Sheet year 2'!K59))</f>
        <v>300000</v>
      </c>
      <c r="H58" s="73">
        <f>'Risk Master'!$G58*-1+('Risk Master'!$G58*'Event Trigger'!$D58*(1-'Input Sheet year 2'!L59))</f>
        <v>300000</v>
      </c>
      <c r="I58" s="73">
        <f>'Risk Master'!$G58*-1+('Risk Master'!$G58*'Event Trigger'!$D58*(1-'Input Sheet year 2'!M59))</f>
        <v>300000</v>
      </c>
      <c r="J58" s="73">
        <f>'Risk Master'!$G58*-1+('Risk Master'!$G58*'Event Trigger'!$D58*(1-'Input Sheet year 2'!N59))</f>
        <v>300000</v>
      </c>
      <c r="K58" s="73">
        <f>'Risk Master'!$G58*-1+('Risk Master'!$G58*'Event Trigger'!$D58*(1-'Input Sheet year 2'!O59))</f>
        <v>300000</v>
      </c>
      <c r="L58" s="73">
        <f>'Risk Master'!$G58*-1+('Risk Master'!$G58*'Event Trigger'!$D58*(1-'Input Sheet year 2'!P59))</f>
        <v>300000</v>
      </c>
      <c r="M58" s="73">
        <f>'Risk Master'!$G58*-1+('Risk Master'!$G58*'Event Trigger'!$D58*(1-'Input Sheet year 2'!Q59))</f>
        <v>300000</v>
      </c>
      <c r="N58" s="88"/>
      <c r="O58" s="88">
        <f t="shared" si="0"/>
        <v>0</v>
      </c>
      <c r="P58" s="88">
        <f t="shared" si="1"/>
        <v>0</v>
      </c>
      <c r="Q58" s="88">
        <f t="shared" si="2"/>
        <v>-300000</v>
      </c>
      <c r="R58" s="88">
        <f t="shared" si="3"/>
        <v>0</v>
      </c>
      <c r="S58" s="88">
        <f t="shared" si="4"/>
        <v>0</v>
      </c>
      <c r="T58" s="88">
        <f t="shared" si="5"/>
        <v>0</v>
      </c>
      <c r="U58" s="88">
        <f t="shared" si="6"/>
        <v>0</v>
      </c>
      <c r="V58" s="88">
        <f t="shared" si="7"/>
        <v>0</v>
      </c>
      <c r="W58" s="88">
        <f t="shared" si="8"/>
        <v>0</v>
      </c>
      <c r="X58" s="88">
        <f t="shared" si="9"/>
        <v>0</v>
      </c>
      <c r="Z58" s="51" t="s">
        <v>221</v>
      </c>
      <c r="AA58" s="52">
        <f>IF(VLOOKUP($Z58,'Asset Master'!$A:$J,6,FALSE)*COUNTIF('Event Trigger'!$C:$C,'Year 1 Results'!$Z58)&gt;SUMIF('Event Trigger'!$C:$C,$Z58,D:D),0,VLOOKUP($Z58,'Asset Master'!$A:$J,6,FALSE))</f>
        <v>0</v>
      </c>
      <c r="AB58" s="52">
        <f>IF(VLOOKUP($Z58,'Asset Master'!$A:$J,6,FALSE)*COUNTIF('Event Trigger'!$C:$C,'Year 1 Results'!$Z58)&gt;SUMIF('Event Trigger'!$C:$C,$Z58,E:E),0,VLOOKUP($Z58,'Asset Master'!$A:$J,6,FALSE))</f>
        <v>0</v>
      </c>
      <c r="AC58" s="52">
        <f>IF(VLOOKUP($Z58,'Asset Master'!$A:$J,6,FALSE)*COUNTIF('Event Trigger'!$C:$C,'Year 1 Results'!$Z58)&gt;SUMIF('Event Trigger'!$C:$C,$Z58,F:F),0,VLOOKUP($Z58,'Asset Master'!$A:$J,6,FALSE))</f>
        <v>0</v>
      </c>
      <c r="AD58" s="52">
        <f>IF(VLOOKUP($Z58,'Asset Master'!$A:$J,6,FALSE)*COUNTIF('Event Trigger'!$C:$C,'Year 1 Results'!$Z58)&gt;SUMIF('Event Trigger'!$C:$C,$Z58,G:G),0,VLOOKUP($Z58,'Asset Master'!$A:$J,6,FALSE))</f>
        <v>0</v>
      </c>
      <c r="AE58" s="52">
        <f>IF(VLOOKUP($Z58,'Asset Master'!$A:$J,6,FALSE)*COUNTIF('Event Trigger'!$C:$C,'Year 1 Results'!$Z58)&gt;SUMIF('Event Trigger'!$C:$C,$Z58,H:H),0,VLOOKUP($Z58,'Asset Master'!$A:$J,6,FALSE))</f>
        <v>0</v>
      </c>
      <c r="AF58" s="52">
        <f>IF(VLOOKUP($Z58,'Asset Master'!$A:$J,6,FALSE)*COUNTIF('Event Trigger'!$C:$C,'Year 1 Results'!$Z58)&gt;SUMIF('Event Trigger'!$C:$C,$Z58,I:I),0,VLOOKUP($Z58,'Asset Master'!$A:$J,6,FALSE))</f>
        <v>0</v>
      </c>
      <c r="AG58" s="52">
        <f>IF(VLOOKUP($Z58,'Asset Master'!$A:$J,6,FALSE)*COUNTIF('Event Trigger'!$C:$C,'Year 1 Results'!$Z58)&gt;SUMIF('Event Trigger'!$C:$C,$Z58,J:J),0,VLOOKUP($Z58,'Asset Master'!$A:$J,6,FALSE))</f>
        <v>0</v>
      </c>
      <c r="AH58" s="52">
        <f>IF(VLOOKUP($Z58,'Asset Master'!$A:$J,6,FALSE)*COUNTIF('Event Trigger'!$C:$C,'Year 1 Results'!$Z58)&gt;SUMIF('Event Trigger'!$C:$C,$Z58,K:K),0,VLOOKUP($Z58,'Asset Master'!$A:$J,6,FALSE))</f>
        <v>0</v>
      </c>
      <c r="AI58" s="52">
        <f>IF(VLOOKUP($Z58,'Asset Master'!$A:$J,6,FALSE)*COUNTIF('Event Trigger'!$C:$C,'Year 1 Results'!$Z58)&gt;SUMIF('Event Trigger'!$C:$C,$Z58,L:L),0,VLOOKUP($Z58,'Asset Master'!$A:$J,6,FALSE))</f>
        <v>0</v>
      </c>
      <c r="AJ58" s="52">
        <f>IF(VLOOKUP($Z58,'Asset Master'!$A:$J,6,FALSE)*COUNTIF('Event Trigger'!$C:$C,'Year 1 Results'!$Z58)&gt;SUMIF('Event Trigger'!$C:$C,$Z58,M:M),0,VLOOKUP($Z58,'Asset Master'!$A:$J,6,FALSE))</f>
        <v>0</v>
      </c>
    </row>
    <row r="59" spans="1:36" x14ac:dyDescent="0.25">
      <c r="A59" s="37" t="str">
        <f>'Risk Master'!B59:B183&amp;"-"&amp;'Risk Master'!D59</f>
        <v>Typhoon-Mumbai</v>
      </c>
      <c r="B59" s="37" t="str">
        <f>'Input Sheet year 2'!B60</f>
        <v>Typhoon-Mumbai</v>
      </c>
      <c r="C59" s="29" t="str">
        <f>'Risk Master'!F59</f>
        <v>A14</v>
      </c>
      <c r="D59" s="73">
        <f>'Risk Master'!$G59*-1+('Risk Master'!$G59*'Event Trigger'!$D59*(1-'Input Sheet year 1'!H60))</f>
        <v>300000</v>
      </c>
      <c r="E59" s="73">
        <f>'Risk Master'!$G59*-1+('Risk Master'!$G59*'Event Trigger'!$D59*(1-'Input Sheet year 2'!I60))</f>
        <v>300000</v>
      </c>
      <c r="F59" s="73">
        <f>'Risk Master'!$G59*-1+('Risk Master'!$G59*'Event Trigger'!$D59*(1-'Input Sheet year 2'!J60))</f>
        <v>300000</v>
      </c>
      <c r="G59" s="73">
        <f>'Risk Master'!$G59*-1+('Risk Master'!$G59*'Event Trigger'!$D59*(1-'Input Sheet year 2'!K60))</f>
        <v>0</v>
      </c>
      <c r="H59" s="73">
        <f>'Risk Master'!$G59*-1+('Risk Master'!$G59*'Event Trigger'!$D59*(1-'Input Sheet year 2'!L60))</f>
        <v>0</v>
      </c>
      <c r="I59" s="73">
        <f>'Risk Master'!$G59*-1+('Risk Master'!$G59*'Event Trigger'!$D59*(1-'Input Sheet year 2'!M60))</f>
        <v>300000</v>
      </c>
      <c r="J59" s="73">
        <f>'Risk Master'!$G59*-1+('Risk Master'!$G59*'Event Trigger'!$D59*(1-'Input Sheet year 2'!N60))</f>
        <v>0</v>
      </c>
      <c r="K59" s="73">
        <f>'Risk Master'!$G59*-1+('Risk Master'!$G59*'Event Trigger'!$D59*(1-'Input Sheet year 2'!O60))</f>
        <v>0</v>
      </c>
      <c r="L59" s="73">
        <f>'Risk Master'!$G59*-1+('Risk Master'!$G59*'Event Trigger'!$D59*(1-'Input Sheet year 2'!P60))</f>
        <v>300000</v>
      </c>
      <c r="M59" s="73">
        <f>'Risk Master'!$G59*-1+('Risk Master'!$G59*'Event Trigger'!$D59*(1-'Input Sheet year 2'!Q60))</f>
        <v>0</v>
      </c>
      <c r="N59" s="88"/>
      <c r="O59" s="88">
        <f t="shared" si="0"/>
        <v>0</v>
      </c>
      <c r="P59" s="88">
        <f t="shared" si="1"/>
        <v>0</v>
      </c>
      <c r="Q59" s="88">
        <f t="shared" si="2"/>
        <v>-300000</v>
      </c>
      <c r="R59" s="88">
        <f t="shared" si="3"/>
        <v>0</v>
      </c>
      <c r="S59" s="88">
        <f t="shared" si="4"/>
        <v>0</v>
      </c>
      <c r="T59" s="88">
        <f t="shared" si="5"/>
        <v>0</v>
      </c>
      <c r="U59" s="88">
        <f t="shared" si="6"/>
        <v>0</v>
      </c>
      <c r="V59" s="88">
        <f t="shared" si="7"/>
        <v>0</v>
      </c>
      <c r="W59" s="88">
        <f t="shared" si="8"/>
        <v>0</v>
      </c>
      <c r="X59" s="88">
        <f t="shared" si="9"/>
        <v>0</v>
      </c>
      <c r="Z59" s="51" t="s">
        <v>222</v>
      </c>
      <c r="AA59" s="52">
        <f>IF(VLOOKUP($Z59,'Asset Master'!$A:$J,6,FALSE)*COUNTIF('Event Trigger'!$C:$C,'Year 1 Results'!$Z59)&gt;SUMIF('Event Trigger'!$C:$C,$Z59,D:D),0,VLOOKUP($Z59,'Asset Master'!$A:$J,6,FALSE))</f>
        <v>200000</v>
      </c>
      <c r="AB59" s="52">
        <f>IF(VLOOKUP($Z59,'Asset Master'!$A:$J,6,FALSE)*COUNTIF('Event Trigger'!$C:$C,'Year 1 Results'!$Z59)&gt;SUMIF('Event Trigger'!$C:$C,$Z59,E:E),0,VLOOKUP($Z59,'Asset Master'!$A:$J,6,FALSE))</f>
        <v>200000</v>
      </c>
      <c r="AC59" s="52">
        <f>IF(VLOOKUP($Z59,'Asset Master'!$A:$J,6,FALSE)*COUNTIF('Event Trigger'!$C:$C,'Year 1 Results'!$Z59)&gt;SUMIF('Event Trigger'!$C:$C,$Z59,F:F),0,VLOOKUP($Z59,'Asset Master'!$A:$J,6,FALSE))</f>
        <v>200000</v>
      </c>
      <c r="AD59" s="52">
        <f>IF(VLOOKUP($Z59,'Asset Master'!$A:$J,6,FALSE)*COUNTIF('Event Trigger'!$C:$C,'Year 1 Results'!$Z59)&gt;SUMIF('Event Trigger'!$C:$C,$Z59,G:G),0,VLOOKUP($Z59,'Asset Master'!$A:$J,6,FALSE))</f>
        <v>200000</v>
      </c>
      <c r="AE59" s="52">
        <f>IF(VLOOKUP($Z59,'Asset Master'!$A:$J,6,FALSE)*COUNTIF('Event Trigger'!$C:$C,'Year 1 Results'!$Z59)&gt;SUMIF('Event Trigger'!$C:$C,$Z59,H:H),0,VLOOKUP($Z59,'Asset Master'!$A:$J,6,FALSE))</f>
        <v>200000</v>
      </c>
      <c r="AF59" s="52">
        <f>IF(VLOOKUP($Z59,'Asset Master'!$A:$J,6,FALSE)*COUNTIF('Event Trigger'!$C:$C,'Year 1 Results'!$Z59)&gt;SUMIF('Event Trigger'!$C:$C,$Z59,I:I),0,VLOOKUP($Z59,'Asset Master'!$A:$J,6,FALSE))</f>
        <v>200000</v>
      </c>
      <c r="AG59" s="52">
        <f>IF(VLOOKUP($Z59,'Asset Master'!$A:$J,6,FALSE)*COUNTIF('Event Trigger'!$C:$C,'Year 1 Results'!$Z59)&gt;SUMIF('Event Trigger'!$C:$C,$Z59,J:J),0,VLOOKUP($Z59,'Asset Master'!$A:$J,6,FALSE))</f>
        <v>200000</v>
      </c>
      <c r="AH59" s="52">
        <f>IF(VLOOKUP($Z59,'Asset Master'!$A:$J,6,FALSE)*COUNTIF('Event Trigger'!$C:$C,'Year 1 Results'!$Z59)&gt;SUMIF('Event Trigger'!$C:$C,$Z59,K:K),0,VLOOKUP($Z59,'Asset Master'!$A:$J,6,FALSE))</f>
        <v>200000</v>
      </c>
      <c r="AI59" s="52">
        <f>IF(VLOOKUP($Z59,'Asset Master'!$A:$J,6,FALSE)*COUNTIF('Event Trigger'!$C:$C,'Year 1 Results'!$Z59)&gt;SUMIF('Event Trigger'!$C:$C,$Z59,L:L),0,VLOOKUP($Z59,'Asset Master'!$A:$J,6,FALSE))</f>
        <v>200000</v>
      </c>
      <c r="AJ59" s="52">
        <f>IF(VLOOKUP($Z59,'Asset Master'!$A:$J,6,FALSE)*COUNTIF('Event Trigger'!$C:$C,'Year 1 Results'!$Z59)&gt;SUMIF('Event Trigger'!$C:$C,$Z59,M:M),0,VLOOKUP($Z59,'Asset Master'!$A:$J,6,FALSE))</f>
        <v>200000</v>
      </c>
    </row>
    <row r="60" spans="1:36" ht="25.5" x14ac:dyDescent="0.25">
      <c r="A60" s="37" t="str">
        <f>'Risk Master'!B60:B183&amp;"-"&amp;'Risk Master'!D60</f>
        <v>Thunderstorms, Tornados &amp; Hail-Mumbai</v>
      </c>
      <c r="B60" s="37" t="str">
        <f>'Input Sheet year 2'!B61</f>
        <v>Thunderstorms, Tornados &amp; Hail-Mumbai</v>
      </c>
      <c r="C60" s="29" t="str">
        <f>'Risk Master'!F60</f>
        <v>A14</v>
      </c>
      <c r="D60" s="73">
        <f>'Risk Master'!$G60*-1+('Risk Master'!$G60*'Event Trigger'!$D60*(1-'Input Sheet year 1'!H61))</f>
        <v>300000</v>
      </c>
      <c r="E60" s="73">
        <f>'Risk Master'!$G60*-1+('Risk Master'!$G60*'Event Trigger'!$D60*(1-'Input Sheet year 2'!I61))</f>
        <v>300000</v>
      </c>
      <c r="F60" s="73">
        <f>'Risk Master'!$G60*-1+('Risk Master'!$G60*'Event Trigger'!$D60*(1-'Input Sheet year 2'!J61))</f>
        <v>300000</v>
      </c>
      <c r="G60" s="73">
        <f>'Risk Master'!$G60*-1+('Risk Master'!$G60*'Event Trigger'!$D60*(1-'Input Sheet year 2'!K61))</f>
        <v>300000</v>
      </c>
      <c r="H60" s="73">
        <f>'Risk Master'!$G60*-1+('Risk Master'!$G60*'Event Trigger'!$D60*(1-'Input Sheet year 2'!L61))</f>
        <v>300000</v>
      </c>
      <c r="I60" s="73">
        <f>'Risk Master'!$G60*-1+('Risk Master'!$G60*'Event Trigger'!$D60*(1-'Input Sheet year 2'!M61))</f>
        <v>300000</v>
      </c>
      <c r="J60" s="73">
        <f>'Risk Master'!$G60*-1+('Risk Master'!$G60*'Event Trigger'!$D60*(1-'Input Sheet year 2'!N61))</f>
        <v>300000</v>
      </c>
      <c r="K60" s="73">
        <f>'Risk Master'!$G60*-1+('Risk Master'!$G60*'Event Trigger'!$D60*(1-'Input Sheet year 2'!O61))</f>
        <v>300000</v>
      </c>
      <c r="L60" s="73">
        <f>'Risk Master'!$G60*-1+('Risk Master'!$G60*'Event Trigger'!$D60*(1-'Input Sheet year 2'!P61))</f>
        <v>300000</v>
      </c>
      <c r="M60" s="73">
        <f>'Risk Master'!$G60*-1+('Risk Master'!$G60*'Event Trigger'!$D60*(1-'Input Sheet year 2'!Q61))</f>
        <v>300000</v>
      </c>
      <c r="N60" s="88"/>
      <c r="O60" s="88">
        <f t="shared" si="0"/>
        <v>0</v>
      </c>
      <c r="P60" s="88">
        <f t="shared" si="1"/>
        <v>0</v>
      </c>
      <c r="Q60" s="88">
        <f t="shared" si="2"/>
        <v>-300000</v>
      </c>
      <c r="R60" s="88">
        <f t="shared" si="3"/>
        <v>0</v>
      </c>
      <c r="S60" s="88">
        <f t="shared" si="4"/>
        <v>0</v>
      </c>
      <c r="T60" s="88">
        <f t="shared" si="5"/>
        <v>0</v>
      </c>
      <c r="U60" s="88">
        <f t="shared" si="6"/>
        <v>0</v>
      </c>
      <c r="V60" s="88">
        <f t="shared" si="7"/>
        <v>0</v>
      </c>
      <c r="W60" s="88">
        <f t="shared" si="8"/>
        <v>0</v>
      </c>
      <c r="X60" s="88">
        <f t="shared" si="9"/>
        <v>0</v>
      </c>
      <c r="Z60" s="51" t="s">
        <v>223</v>
      </c>
      <c r="AA60" s="52">
        <f>IF(VLOOKUP($Z60,'Asset Master'!$A:$J,6,FALSE)*COUNTIF('Event Trigger'!$C:$C,'Year 1 Results'!$Z60)&gt;SUMIF('Event Trigger'!$C:$C,$Z60,D:D),0,VLOOKUP($Z60,'Asset Master'!$A:$J,6,FALSE))</f>
        <v>0</v>
      </c>
      <c r="AB60" s="52">
        <f>IF(VLOOKUP($Z60,'Asset Master'!$A:$J,6,FALSE)*COUNTIF('Event Trigger'!$C:$C,'Year 1 Results'!$Z60)&gt;SUMIF('Event Trigger'!$C:$C,$Z60,E:E),0,VLOOKUP($Z60,'Asset Master'!$A:$J,6,FALSE))</f>
        <v>0</v>
      </c>
      <c r="AC60" s="52">
        <f>IF(VLOOKUP($Z60,'Asset Master'!$A:$J,6,FALSE)*COUNTIF('Event Trigger'!$C:$C,'Year 1 Results'!$Z60)&gt;SUMIF('Event Trigger'!$C:$C,$Z60,F:F),0,VLOOKUP($Z60,'Asset Master'!$A:$J,6,FALSE))</f>
        <v>0</v>
      </c>
      <c r="AD60" s="52">
        <f>IF(VLOOKUP($Z60,'Asset Master'!$A:$J,6,FALSE)*COUNTIF('Event Trigger'!$C:$C,'Year 1 Results'!$Z60)&gt;SUMIF('Event Trigger'!$C:$C,$Z60,G:G),0,VLOOKUP($Z60,'Asset Master'!$A:$J,6,FALSE))</f>
        <v>0</v>
      </c>
      <c r="AE60" s="52">
        <f>IF(VLOOKUP($Z60,'Asset Master'!$A:$J,6,FALSE)*COUNTIF('Event Trigger'!$C:$C,'Year 1 Results'!$Z60)&gt;SUMIF('Event Trigger'!$C:$C,$Z60,H:H),0,VLOOKUP($Z60,'Asset Master'!$A:$J,6,FALSE))</f>
        <v>0</v>
      </c>
      <c r="AF60" s="52">
        <f>IF(VLOOKUP($Z60,'Asset Master'!$A:$J,6,FALSE)*COUNTIF('Event Trigger'!$C:$C,'Year 1 Results'!$Z60)&gt;SUMIF('Event Trigger'!$C:$C,$Z60,I:I),0,VLOOKUP($Z60,'Asset Master'!$A:$J,6,FALSE))</f>
        <v>0</v>
      </c>
      <c r="AG60" s="52">
        <f>IF(VLOOKUP($Z60,'Asset Master'!$A:$J,6,FALSE)*COUNTIF('Event Trigger'!$C:$C,'Year 1 Results'!$Z60)&gt;SUMIF('Event Trigger'!$C:$C,$Z60,J:J),0,VLOOKUP($Z60,'Asset Master'!$A:$J,6,FALSE))</f>
        <v>0</v>
      </c>
      <c r="AH60" s="52">
        <f>IF(VLOOKUP($Z60,'Asset Master'!$A:$J,6,FALSE)*COUNTIF('Event Trigger'!$C:$C,'Year 1 Results'!$Z60)&gt;SUMIF('Event Trigger'!$C:$C,$Z60,K:K),0,VLOOKUP($Z60,'Asset Master'!$A:$J,6,FALSE))</f>
        <v>0</v>
      </c>
      <c r="AI60" s="52">
        <f>IF(VLOOKUP($Z60,'Asset Master'!$A:$J,6,FALSE)*COUNTIF('Event Trigger'!$C:$C,'Year 1 Results'!$Z60)&gt;SUMIF('Event Trigger'!$C:$C,$Z60,L:L),0,VLOOKUP($Z60,'Asset Master'!$A:$J,6,FALSE))</f>
        <v>0</v>
      </c>
      <c r="AJ60" s="52">
        <f>IF(VLOOKUP($Z60,'Asset Master'!$A:$J,6,FALSE)*COUNTIF('Event Trigger'!$C:$C,'Year 1 Results'!$Z60)&gt;SUMIF('Event Trigger'!$C:$C,$Z60,M:M),0,VLOOKUP($Z60,'Asset Master'!$A:$J,6,FALSE))</f>
        <v>0</v>
      </c>
    </row>
    <row r="61" spans="1:36" x14ac:dyDescent="0.25">
      <c r="A61" s="37" t="str">
        <f>'Risk Master'!B61:B183&amp;"-"&amp;'Risk Master'!D61</f>
        <v>Tsunami-Mumbai</v>
      </c>
      <c r="B61" s="37" t="str">
        <f>'Input Sheet year 2'!B62</f>
        <v>Tsunami-Mumbai</v>
      </c>
      <c r="C61" s="29" t="str">
        <f>'Risk Master'!F61</f>
        <v>A14</v>
      </c>
      <c r="D61" s="73">
        <f>'Risk Master'!$G61*-1+('Risk Master'!$G61*'Event Trigger'!$D61*(1-'Input Sheet year 1'!H62))</f>
        <v>300000</v>
      </c>
      <c r="E61" s="73">
        <f>'Risk Master'!$G61*-1+('Risk Master'!$G61*'Event Trigger'!$D61*(1-'Input Sheet year 2'!I62))</f>
        <v>300000</v>
      </c>
      <c r="F61" s="73">
        <f>'Risk Master'!$G61*-1+('Risk Master'!$G61*'Event Trigger'!$D61*(1-'Input Sheet year 2'!J62))</f>
        <v>300000</v>
      </c>
      <c r="G61" s="73">
        <f>'Risk Master'!$G61*-1+('Risk Master'!$G61*'Event Trigger'!$D61*(1-'Input Sheet year 2'!K62))</f>
        <v>300000</v>
      </c>
      <c r="H61" s="73">
        <f>'Risk Master'!$G61*-1+('Risk Master'!$G61*'Event Trigger'!$D61*(1-'Input Sheet year 2'!L62))</f>
        <v>300000</v>
      </c>
      <c r="I61" s="73">
        <f>'Risk Master'!$G61*-1+('Risk Master'!$G61*'Event Trigger'!$D61*(1-'Input Sheet year 2'!M62))</f>
        <v>300000</v>
      </c>
      <c r="J61" s="73">
        <f>'Risk Master'!$G61*-1+('Risk Master'!$G61*'Event Trigger'!$D61*(1-'Input Sheet year 2'!N62))</f>
        <v>300000</v>
      </c>
      <c r="K61" s="73">
        <f>'Risk Master'!$G61*-1+('Risk Master'!$G61*'Event Trigger'!$D61*(1-'Input Sheet year 2'!O62))</f>
        <v>300000</v>
      </c>
      <c r="L61" s="73">
        <f>'Risk Master'!$G61*-1+('Risk Master'!$G61*'Event Trigger'!$D61*(1-'Input Sheet year 2'!P62))</f>
        <v>300000</v>
      </c>
      <c r="M61" s="73">
        <f>'Risk Master'!$G61*-1+('Risk Master'!$G61*'Event Trigger'!$D61*(1-'Input Sheet year 2'!Q62))</f>
        <v>300000</v>
      </c>
      <c r="N61" s="88"/>
      <c r="O61" s="88">
        <f t="shared" si="0"/>
        <v>0</v>
      </c>
      <c r="P61" s="88">
        <f t="shared" si="1"/>
        <v>0</v>
      </c>
      <c r="Q61" s="88">
        <f t="shared" si="2"/>
        <v>-300000</v>
      </c>
      <c r="R61" s="88">
        <f t="shared" si="3"/>
        <v>0</v>
      </c>
      <c r="S61" s="88">
        <f t="shared" si="4"/>
        <v>0</v>
      </c>
      <c r="T61" s="88">
        <f t="shared" si="5"/>
        <v>0</v>
      </c>
      <c r="U61" s="88">
        <f t="shared" si="6"/>
        <v>0</v>
      </c>
      <c r="V61" s="88">
        <f t="shared" si="7"/>
        <v>0</v>
      </c>
      <c r="W61" s="88">
        <f t="shared" si="8"/>
        <v>0</v>
      </c>
      <c r="X61" s="88">
        <f t="shared" si="9"/>
        <v>0</v>
      </c>
      <c r="Z61" s="51" t="s">
        <v>224</v>
      </c>
      <c r="AA61" s="52">
        <f>IF(VLOOKUP($Z61,'Asset Master'!$A:$J,6,FALSE)*COUNTIF('Event Trigger'!$C:$C,'Year 1 Results'!$Z61)&gt;SUMIF('Event Trigger'!$C:$C,$Z61,D:D),0,VLOOKUP($Z61,'Asset Master'!$A:$J,6,FALSE))</f>
        <v>400000</v>
      </c>
      <c r="AB61" s="52">
        <f>IF(VLOOKUP($Z61,'Asset Master'!$A:$J,6,FALSE)*COUNTIF('Event Trigger'!$C:$C,'Year 1 Results'!$Z61)&gt;SUMIF('Event Trigger'!$C:$C,$Z61,E:E),0,VLOOKUP($Z61,'Asset Master'!$A:$J,6,FALSE))</f>
        <v>400000</v>
      </c>
      <c r="AC61" s="52">
        <f>IF(VLOOKUP($Z61,'Asset Master'!$A:$J,6,FALSE)*COUNTIF('Event Trigger'!$C:$C,'Year 1 Results'!$Z61)&gt;SUMIF('Event Trigger'!$C:$C,$Z61,F:F),0,VLOOKUP($Z61,'Asset Master'!$A:$J,6,FALSE))</f>
        <v>400000</v>
      </c>
      <c r="AD61" s="52">
        <f>IF(VLOOKUP($Z61,'Asset Master'!$A:$J,6,FALSE)*COUNTIF('Event Trigger'!$C:$C,'Year 1 Results'!$Z61)&gt;SUMIF('Event Trigger'!$C:$C,$Z61,G:G),0,VLOOKUP($Z61,'Asset Master'!$A:$J,6,FALSE))</f>
        <v>400000</v>
      </c>
      <c r="AE61" s="52">
        <f>IF(VLOOKUP($Z61,'Asset Master'!$A:$J,6,FALSE)*COUNTIF('Event Trigger'!$C:$C,'Year 1 Results'!$Z61)&gt;SUMIF('Event Trigger'!$C:$C,$Z61,H:H),0,VLOOKUP($Z61,'Asset Master'!$A:$J,6,FALSE))</f>
        <v>400000</v>
      </c>
      <c r="AF61" s="52">
        <f>IF(VLOOKUP($Z61,'Asset Master'!$A:$J,6,FALSE)*COUNTIF('Event Trigger'!$C:$C,'Year 1 Results'!$Z61)&gt;SUMIF('Event Trigger'!$C:$C,$Z61,I:I),0,VLOOKUP($Z61,'Asset Master'!$A:$J,6,FALSE))</f>
        <v>400000</v>
      </c>
      <c r="AG61" s="52">
        <f>IF(VLOOKUP($Z61,'Asset Master'!$A:$J,6,FALSE)*COUNTIF('Event Trigger'!$C:$C,'Year 1 Results'!$Z61)&gt;SUMIF('Event Trigger'!$C:$C,$Z61,J:J),0,VLOOKUP($Z61,'Asset Master'!$A:$J,6,FALSE))</f>
        <v>400000</v>
      </c>
      <c r="AH61" s="52">
        <f>IF(VLOOKUP($Z61,'Asset Master'!$A:$J,6,FALSE)*COUNTIF('Event Trigger'!$C:$C,'Year 1 Results'!$Z61)&gt;SUMIF('Event Trigger'!$C:$C,$Z61,K:K),0,VLOOKUP($Z61,'Asset Master'!$A:$J,6,FALSE))</f>
        <v>400000</v>
      </c>
      <c r="AI61" s="52">
        <f>IF(VLOOKUP($Z61,'Asset Master'!$A:$J,6,FALSE)*COUNTIF('Event Trigger'!$C:$C,'Year 1 Results'!$Z61)&gt;SUMIF('Event Trigger'!$C:$C,$Z61,L:L),0,VLOOKUP($Z61,'Asset Master'!$A:$J,6,FALSE))</f>
        <v>400000</v>
      </c>
      <c r="AJ61" s="52">
        <f>IF(VLOOKUP($Z61,'Asset Master'!$A:$J,6,FALSE)*COUNTIF('Event Trigger'!$C:$C,'Year 1 Results'!$Z61)&gt;SUMIF('Event Trigger'!$C:$C,$Z61,M:M),0,VLOOKUP($Z61,'Asset Master'!$A:$J,6,FALSE))</f>
        <v>400000</v>
      </c>
    </row>
    <row r="62" spans="1:36" ht="25.5" x14ac:dyDescent="0.25">
      <c r="A62" s="37" t="str">
        <f>'Risk Master'!B62:B183&amp;"-"&amp;'Risk Master'!D62</f>
        <v>High tide and high rainfalls leading to large floods-Mumbai</v>
      </c>
      <c r="B62" s="37" t="str">
        <f>'Input Sheet year 2'!B63</f>
        <v>Flood-Mumbai</v>
      </c>
      <c r="C62" s="29" t="str">
        <f>'Risk Master'!F62</f>
        <v>A15</v>
      </c>
      <c r="D62" s="73">
        <f>'Risk Master'!$G62*-1+('Risk Master'!$G62*'Event Trigger'!$D62*(1-'Input Sheet year 1'!H63))</f>
        <v>200000</v>
      </c>
      <c r="E62" s="73">
        <f>'Risk Master'!$G62*-1+('Risk Master'!$G62*'Event Trigger'!$D62*(1-'Input Sheet year 2'!I63))</f>
        <v>200000</v>
      </c>
      <c r="F62" s="73">
        <f>'Risk Master'!$G62*-1+('Risk Master'!$G62*'Event Trigger'!$D62*(1-'Input Sheet year 2'!J63))</f>
        <v>200000</v>
      </c>
      <c r="G62" s="73">
        <f>'Risk Master'!$G62*-1+('Risk Master'!$G62*'Event Trigger'!$D62*(1-'Input Sheet year 2'!K63))</f>
        <v>200000</v>
      </c>
      <c r="H62" s="73">
        <f>'Risk Master'!$G62*-1+('Risk Master'!$G62*'Event Trigger'!$D62*(1-'Input Sheet year 2'!L63))</f>
        <v>200000</v>
      </c>
      <c r="I62" s="73">
        <f>'Risk Master'!$G62*-1+('Risk Master'!$G62*'Event Trigger'!$D62*(1-'Input Sheet year 2'!M63))</f>
        <v>200000</v>
      </c>
      <c r="J62" s="73">
        <f>'Risk Master'!$G62*-1+('Risk Master'!$G62*'Event Trigger'!$D62*(1-'Input Sheet year 2'!N63))</f>
        <v>200000</v>
      </c>
      <c r="K62" s="73">
        <f>'Risk Master'!$G62*-1+('Risk Master'!$G62*'Event Trigger'!$D62*(1-'Input Sheet year 2'!O63))</f>
        <v>200000</v>
      </c>
      <c r="L62" s="73">
        <f>'Risk Master'!$G62*-1+('Risk Master'!$G62*'Event Trigger'!$D62*(1-'Input Sheet year 2'!P63))</f>
        <v>200000</v>
      </c>
      <c r="M62" s="73">
        <f>'Risk Master'!$G62*-1+('Risk Master'!$G62*'Event Trigger'!$D62*(1-'Input Sheet year 2'!Q63))</f>
        <v>200000</v>
      </c>
      <c r="N62" s="88"/>
      <c r="O62" s="88">
        <f t="shared" si="0"/>
        <v>0</v>
      </c>
      <c r="P62" s="88">
        <f t="shared" si="1"/>
        <v>0</v>
      </c>
      <c r="Q62" s="88">
        <f t="shared" si="2"/>
        <v>0</v>
      </c>
      <c r="R62" s="88">
        <f t="shared" si="3"/>
        <v>0</v>
      </c>
      <c r="S62" s="88">
        <f t="shared" si="4"/>
        <v>0</v>
      </c>
      <c r="T62" s="88">
        <f t="shared" si="5"/>
        <v>0</v>
      </c>
      <c r="U62" s="88">
        <f t="shared" si="6"/>
        <v>0</v>
      </c>
      <c r="V62" s="88">
        <f t="shared" si="7"/>
        <v>0</v>
      </c>
      <c r="W62" s="88">
        <f t="shared" si="8"/>
        <v>0</v>
      </c>
      <c r="X62" s="88">
        <f t="shared" si="9"/>
        <v>0</v>
      </c>
      <c r="Z62" s="51" t="s">
        <v>225</v>
      </c>
      <c r="AA62" s="52">
        <f>IF(VLOOKUP($Z62,'Asset Master'!$A:$J,6,FALSE)*COUNTIF('Event Trigger'!$C:$C,'Year 1 Results'!$Z62)&gt;SUMIF('Event Trigger'!$C:$C,$Z62,D:D),0,VLOOKUP($Z62,'Asset Master'!$A:$J,6,FALSE))</f>
        <v>0</v>
      </c>
      <c r="AB62" s="52">
        <f>IF(VLOOKUP($Z62,'Asset Master'!$A:$J,6,FALSE)*COUNTIF('Event Trigger'!$C:$C,'Year 1 Results'!$Z62)&gt;SUMIF('Event Trigger'!$C:$C,$Z62,E:E),0,VLOOKUP($Z62,'Asset Master'!$A:$J,6,FALSE))</f>
        <v>0</v>
      </c>
      <c r="AC62" s="52">
        <f>IF(VLOOKUP($Z62,'Asset Master'!$A:$J,6,FALSE)*COUNTIF('Event Trigger'!$C:$C,'Year 1 Results'!$Z62)&gt;SUMIF('Event Trigger'!$C:$C,$Z62,F:F),0,VLOOKUP($Z62,'Asset Master'!$A:$J,6,FALSE))</f>
        <v>0</v>
      </c>
      <c r="AD62" s="52">
        <f>IF(VLOOKUP($Z62,'Asset Master'!$A:$J,6,FALSE)*COUNTIF('Event Trigger'!$C:$C,'Year 1 Results'!$Z62)&gt;SUMIF('Event Trigger'!$C:$C,$Z62,G:G),0,VLOOKUP($Z62,'Asset Master'!$A:$J,6,FALSE))</f>
        <v>0</v>
      </c>
      <c r="AE62" s="52">
        <f>IF(VLOOKUP($Z62,'Asset Master'!$A:$J,6,FALSE)*COUNTIF('Event Trigger'!$C:$C,'Year 1 Results'!$Z62)&gt;SUMIF('Event Trigger'!$C:$C,$Z62,H:H),0,VLOOKUP($Z62,'Asset Master'!$A:$J,6,FALSE))</f>
        <v>0</v>
      </c>
      <c r="AF62" s="52">
        <f>IF(VLOOKUP($Z62,'Asset Master'!$A:$J,6,FALSE)*COUNTIF('Event Trigger'!$C:$C,'Year 1 Results'!$Z62)&gt;SUMIF('Event Trigger'!$C:$C,$Z62,I:I),0,VLOOKUP($Z62,'Asset Master'!$A:$J,6,FALSE))</f>
        <v>0</v>
      </c>
      <c r="AG62" s="52">
        <f>IF(VLOOKUP($Z62,'Asset Master'!$A:$J,6,FALSE)*COUNTIF('Event Trigger'!$C:$C,'Year 1 Results'!$Z62)&gt;SUMIF('Event Trigger'!$C:$C,$Z62,J:J),0,VLOOKUP($Z62,'Asset Master'!$A:$J,6,FALSE))</f>
        <v>0</v>
      </c>
      <c r="AH62" s="52">
        <f>IF(VLOOKUP($Z62,'Asset Master'!$A:$J,6,FALSE)*COUNTIF('Event Trigger'!$C:$C,'Year 1 Results'!$Z62)&gt;SUMIF('Event Trigger'!$C:$C,$Z62,K:K),0,VLOOKUP($Z62,'Asset Master'!$A:$J,6,FALSE))</f>
        <v>0</v>
      </c>
      <c r="AI62" s="52">
        <f>IF(VLOOKUP($Z62,'Asset Master'!$A:$J,6,FALSE)*COUNTIF('Event Trigger'!$C:$C,'Year 1 Results'!$Z62)&gt;SUMIF('Event Trigger'!$C:$C,$Z62,L:L),0,VLOOKUP($Z62,'Asset Master'!$A:$J,6,FALSE))</f>
        <v>0</v>
      </c>
      <c r="AJ62" s="52">
        <f>IF(VLOOKUP($Z62,'Asset Master'!$A:$J,6,FALSE)*COUNTIF('Event Trigger'!$C:$C,'Year 1 Results'!$Z62)&gt;SUMIF('Event Trigger'!$C:$C,$Z62,M:M),0,VLOOKUP($Z62,'Asset Master'!$A:$J,6,FALSE))</f>
        <v>0</v>
      </c>
    </row>
    <row r="63" spans="1:36" x14ac:dyDescent="0.25">
      <c r="A63" s="37" t="str">
        <f>'Risk Master'!B63:B183&amp;"-"&amp;'Risk Master'!D63</f>
        <v>Earthquake-Mumbai</v>
      </c>
      <c r="B63" s="37" t="str">
        <f>'Input Sheet year 2'!B64</f>
        <v>Earthquake-Mumbai</v>
      </c>
      <c r="C63" s="29" t="str">
        <f>'Risk Master'!F63</f>
        <v>A15</v>
      </c>
      <c r="D63" s="73">
        <f>'Risk Master'!$G63*-1+('Risk Master'!$G63*'Event Trigger'!$D63*(1-'Input Sheet year 1'!H64))</f>
        <v>200000</v>
      </c>
      <c r="E63" s="73">
        <f>'Risk Master'!$G63*-1+('Risk Master'!$G63*'Event Trigger'!$D63*(1-'Input Sheet year 2'!I64))</f>
        <v>0</v>
      </c>
      <c r="F63" s="73">
        <f>'Risk Master'!$G63*-1+('Risk Master'!$G63*'Event Trigger'!$D63*(1-'Input Sheet year 2'!J64))</f>
        <v>0</v>
      </c>
      <c r="G63" s="73">
        <f>'Risk Master'!$G63*-1+('Risk Master'!$G63*'Event Trigger'!$D63*(1-'Input Sheet year 2'!K64))</f>
        <v>0</v>
      </c>
      <c r="H63" s="73">
        <f>'Risk Master'!$G63*-1+('Risk Master'!$G63*'Event Trigger'!$D63*(1-'Input Sheet year 2'!L64))</f>
        <v>0</v>
      </c>
      <c r="I63" s="73">
        <f>'Risk Master'!$G63*-1+('Risk Master'!$G63*'Event Trigger'!$D63*(1-'Input Sheet year 2'!M64))</f>
        <v>200000</v>
      </c>
      <c r="J63" s="73">
        <f>'Risk Master'!$G63*-1+('Risk Master'!$G63*'Event Trigger'!$D63*(1-'Input Sheet year 2'!N64))</f>
        <v>0</v>
      </c>
      <c r="K63" s="73">
        <f>'Risk Master'!$G63*-1+('Risk Master'!$G63*'Event Trigger'!$D63*(1-'Input Sheet year 2'!O64))</f>
        <v>0</v>
      </c>
      <c r="L63" s="73">
        <f>'Risk Master'!$G63*-1+('Risk Master'!$G63*'Event Trigger'!$D63*(1-'Input Sheet year 2'!P64))</f>
        <v>200000</v>
      </c>
      <c r="M63" s="73">
        <f>'Risk Master'!$G63*-1+('Risk Master'!$G63*'Event Trigger'!$D63*(1-'Input Sheet year 2'!Q64))</f>
        <v>200000</v>
      </c>
      <c r="N63" s="88"/>
      <c r="O63" s="88">
        <f t="shared" si="0"/>
        <v>0</v>
      </c>
      <c r="P63" s="88">
        <f t="shared" si="1"/>
        <v>0</v>
      </c>
      <c r="Q63" s="88">
        <f t="shared" si="2"/>
        <v>0</v>
      </c>
      <c r="R63" s="88">
        <f t="shared" si="3"/>
        <v>0</v>
      </c>
      <c r="S63" s="88">
        <f t="shared" si="4"/>
        <v>0</v>
      </c>
      <c r="T63" s="88">
        <f t="shared" si="5"/>
        <v>0</v>
      </c>
      <c r="U63" s="88">
        <f t="shared" si="6"/>
        <v>0</v>
      </c>
      <c r="V63" s="88">
        <f t="shared" si="7"/>
        <v>0</v>
      </c>
      <c r="W63" s="88">
        <f t="shared" si="8"/>
        <v>0</v>
      </c>
      <c r="X63" s="88">
        <f t="shared" si="9"/>
        <v>0</v>
      </c>
      <c r="Z63" s="51" t="s">
        <v>226</v>
      </c>
      <c r="AA63" s="52">
        <f>IF(VLOOKUP($Z63,'Asset Master'!$A:$J,6,FALSE)*COUNTIF('Event Trigger'!$C:$C,'Year 1 Results'!$Z63)&gt;SUMIF('Event Trigger'!$C:$C,$Z63,D:D),0,VLOOKUP($Z63,'Asset Master'!$A:$J,6,FALSE))</f>
        <v>0</v>
      </c>
      <c r="AB63" s="52">
        <f>IF(VLOOKUP($Z63,'Asset Master'!$A:$J,6,FALSE)*COUNTIF('Event Trigger'!$C:$C,'Year 1 Results'!$Z63)&gt;SUMIF('Event Trigger'!$C:$C,$Z63,E:E),0,VLOOKUP($Z63,'Asset Master'!$A:$J,6,FALSE))</f>
        <v>0</v>
      </c>
      <c r="AC63" s="52">
        <f>IF(VLOOKUP($Z63,'Asset Master'!$A:$J,6,FALSE)*COUNTIF('Event Trigger'!$C:$C,'Year 1 Results'!$Z63)&gt;SUMIF('Event Trigger'!$C:$C,$Z63,F:F),0,VLOOKUP($Z63,'Asset Master'!$A:$J,6,FALSE))</f>
        <v>0</v>
      </c>
      <c r="AD63" s="52">
        <f>IF(VLOOKUP($Z63,'Asset Master'!$A:$J,6,FALSE)*COUNTIF('Event Trigger'!$C:$C,'Year 1 Results'!$Z63)&gt;SUMIF('Event Trigger'!$C:$C,$Z63,G:G),0,VLOOKUP($Z63,'Asset Master'!$A:$J,6,FALSE))</f>
        <v>0</v>
      </c>
      <c r="AE63" s="52">
        <f>IF(VLOOKUP($Z63,'Asset Master'!$A:$J,6,FALSE)*COUNTIF('Event Trigger'!$C:$C,'Year 1 Results'!$Z63)&gt;SUMIF('Event Trigger'!$C:$C,$Z63,H:H),0,VLOOKUP($Z63,'Asset Master'!$A:$J,6,FALSE))</f>
        <v>0</v>
      </c>
      <c r="AF63" s="52">
        <f>IF(VLOOKUP($Z63,'Asset Master'!$A:$J,6,FALSE)*COUNTIF('Event Trigger'!$C:$C,'Year 1 Results'!$Z63)&gt;SUMIF('Event Trigger'!$C:$C,$Z63,I:I),0,VLOOKUP($Z63,'Asset Master'!$A:$J,6,FALSE))</f>
        <v>0</v>
      </c>
      <c r="AG63" s="52">
        <f>IF(VLOOKUP($Z63,'Asset Master'!$A:$J,6,FALSE)*COUNTIF('Event Trigger'!$C:$C,'Year 1 Results'!$Z63)&gt;SUMIF('Event Trigger'!$C:$C,$Z63,J:J),0,VLOOKUP($Z63,'Asset Master'!$A:$J,6,FALSE))</f>
        <v>0</v>
      </c>
      <c r="AH63" s="52">
        <f>IF(VLOOKUP($Z63,'Asset Master'!$A:$J,6,FALSE)*COUNTIF('Event Trigger'!$C:$C,'Year 1 Results'!$Z63)&gt;SUMIF('Event Trigger'!$C:$C,$Z63,K:K),0,VLOOKUP($Z63,'Asset Master'!$A:$J,6,FALSE))</f>
        <v>0</v>
      </c>
      <c r="AI63" s="52">
        <f>IF(VLOOKUP($Z63,'Asset Master'!$A:$J,6,FALSE)*COUNTIF('Event Trigger'!$C:$C,'Year 1 Results'!$Z63)&gt;SUMIF('Event Trigger'!$C:$C,$Z63,L:L),0,VLOOKUP($Z63,'Asset Master'!$A:$J,6,FALSE))</f>
        <v>0</v>
      </c>
      <c r="AJ63" s="52">
        <f>IF(VLOOKUP($Z63,'Asset Master'!$A:$J,6,FALSE)*COUNTIF('Event Trigger'!$C:$C,'Year 1 Results'!$Z63)&gt;SUMIF('Event Trigger'!$C:$C,$Z63,M:M),0,VLOOKUP($Z63,'Asset Master'!$A:$J,6,FALSE))</f>
        <v>0</v>
      </c>
    </row>
    <row r="64" spans="1:36" x14ac:dyDescent="0.25">
      <c r="A64" s="37" t="str">
        <f>'Risk Master'!B64:B183&amp;"-"&amp;'Risk Master'!D64</f>
        <v>Fire-Mumbai</v>
      </c>
      <c r="B64" s="37" t="str">
        <f>'Input Sheet year 2'!B65</f>
        <v>Fire-Mumbai</v>
      </c>
      <c r="C64" s="29" t="str">
        <f>'Risk Master'!F64</f>
        <v>A15</v>
      </c>
      <c r="D64" s="73">
        <f>'Risk Master'!$G64*-1+('Risk Master'!$G64*'Event Trigger'!$D64*(1-'Input Sheet year 1'!H65))</f>
        <v>200000</v>
      </c>
      <c r="E64" s="73">
        <f>'Risk Master'!$G64*-1+('Risk Master'!$G64*'Event Trigger'!$D64*(1-'Input Sheet year 2'!I65))</f>
        <v>200000</v>
      </c>
      <c r="F64" s="73">
        <f>'Risk Master'!$G64*-1+('Risk Master'!$G64*'Event Trigger'!$D64*(1-'Input Sheet year 2'!J65))</f>
        <v>200000</v>
      </c>
      <c r="G64" s="73">
        <f>'Risk Master'!$G64*-1+('Risk Master'!$G64*'Event Trigger'!$D64*(1-'Input Sheet year 2'!K65))</f>
        <v>200000</v>
      </c>
      <c r="H64" s="73">
        <f>'Risk Master'!$G64*-1+('Risk Master'!$G64*'Event Trigger'!$D64*(1-'Input Sheet year 2'!L65))</f>
        <v>200000</v>
      </c>
      <c r="I64" s="73">
        <f>'Risk Master'!$G64*-1+('Risk Master'!$G64*'Event Trigger'!$D64*(1-'Input Sheet year 2'!M65))</f>
        <v>200000</v>
      </c>
      <c r="J64" s="73">
        <f>'Risk Master'!$G64*-1+('Risk Master'!$G64*'Event Trigger'!$D64*(1-'Input Sheet year 2'!N65))</f>
        <v>200000</v>
      </c>
      <c r="K64" s="73">
        <f>'Risk Master'!$G64*-1+('Risk Master'!$G64*'Event Trigger'!$D64*(1-'Input Sheet year 2'!O65))</f>
        <v>200000</v>
      </c>
      <c r="L64" s="73">
        <f>'Risk Master'!$G64*-1+('Risk Master'!$G64*'Event Trigger'!$D64*(1-'Input Sheet year 2'!P65))</f>
        <v>200000</v>
      </c>
      <c r="M64" s="73">
        <f>'Risk Master'!$G64*-1+('Risk Master'!$G64*'Event Trigger'!$D64*(1-'Input Sheet year 2'!Q65))</f>
        <v>200000</v>
      </c>
      <c r="N64" s="88"/>
      <c r="O64" s="88">
        <f t="shared" si="0"/>
        <v>0</v>
      </c>
      <c r="P64" s="88">
        <f t="shared" si="1"/>
        <v>0</v>
      </c>
      <c r="Q64" s="88">
        <f t="shared" si="2"/>
        <v>0</v>
      </c>
      <c r="R64" s="88">
        <f t="shared" si="3"/>
        <v>0</v>
      </c>
      <c r="S64" s="88">
        <f t="shared" si="4"/>
        <v>0</v>
      </c>
      <c r="T64" s="88">
        <f t="shared" si="5"/>
        <v>0</v>
      </c>
      <c r="U64" s="88">
        <f t="shared" si="6"/>
        <v>0</v>
      </c>
      <c r="V64" s="88">
        <f t="shared" si="7"/>
        <v>0</v>
      </c>
      <c r="W64" s="88">
        <f t="shared" si="8"/>
        <v>0</v>
      </c>
      <c r="X64" s="88">
        <f t="shared" si="9"/>
        <v>0</v>
      </c>
      <c r="Z64" s="51" t="s">
        <v>227</v>
      </c>
      <c r="AA64" s="52">
        <f>IF(VLOOKUP($Z64,'Asset Master'!$A:$J,6,FALSE)*COUNTIF('Event Trigger'!$C:$C,'Year 1 Results'!$Z64)&gt;SUMIF('Event Trigger'!$C:$C,$Z64,D:D),0,VLOOKUP($Z64,'Asset Master'!$A:$J,6,FALSE))</f>
        <v>0</v>
      </c>
      <c r="AB64" s="52">
        <f>IF(VLOOKUP($Z64,'Asset Master'!$A:$J,6,FALSE)*COUNTIF('Event Trigger'!$C:$C,'Year 1 Results'!$Z64)&gt;SUMIF('Event Trigger'!$C:$C,$Z64,E:E),0,VLOOKUP($Z64,'Asset Master'!$A:$J,6,FALSE))</f>
        <v>0</v>
      </c>
      <c r="AC64" s="52">
        <f>IF(VLOOKUP($Z64,'Asset Master'!$A:$J,6,FALSE)*COUNTIF('Event Trigger'!$C:$C,'Year 1 Results'!$Z64)&gt;SUMIF('Event Trigger'!$C:$C,$Z64,F:F),0,VLOOKUP($Z64,'Asset Master'!$A:$J,6,FALSE))</f>
        <v>0</v>
      </c>
      <c r="AD64" s="52">
        <f>IF(VLOOKUP($Z64,'Asset Master'!$A:$J,6,FALSE)*COUNTIF('Event Trigger'!$C:$C,'Year 1 Results'!$Z64)&gt;SUMIF('Event Trigger'!$C:$C,$Z64,G:G),0,VLOOKUP($Z64,'Asset Master'!$A:$J,6,FALSE))</f>
        <v>0</v>
      </c>
      <c r="AE64" s="52">
        <f>IF(VLOOKUP($Z64,'Asset Master'!$A:$J,6,FALSE)*COUNTIF('Event Trigger'!$C:$C,'Year 1 Results'!$Z64)&gt;SUMIF('Event Trigger'!$C:$C,$Z64,H:H),0,VLOOKUP($Z64,'Asset Master'!$A:$J,6,FALSE))</f>
        <v>0</v>
      </c>
      <c r="AF64" s="52">
        <f>IF(VLOOKUP($Z64,'Asset Master'!$A:$J,6,FALSE)*COUNTIF('Event Trigger'!$C:$C,'Year 1 Results'!$Z64)&gt;SUMIF('Event Trigger'!$C:$C,$Z64,I:I),0,VLOOKUP($Z64,'Asset Master'!$A:$J,6,FALSE))</f>
        <v>0</v>
      </c>
      <c r="AG64" s="52">
        <f>IF(VLOOKUP($Z64,'Asset Master'!$A:$J,6,FALSE)*COUNTIF('Event Trigger'!$C:$C,'Year 1 Results'!$Z64)&gt;SUMIF('Event Trigger'!$C:$C,$Z64,J:J),0,VLOOKUP($Z64,'Asset Master'!$A:$J,6,FALSE))</f>
        <v>0</v>
      </c>
      <c r="AH64" s="52">
        <f>IF(VLOOKUP($Z64,'Asset Master'!$A:$J,6,FALSE)*COUNTIF('Event Trigger'!$C:$C,'Year 1 Results'!$Z64)&gt;SUMIF('Event Trigger'!$C:$C,$Z64,K:K),0,VLOOKUP($Z64,'Asset Master'!$A:$J,6,FALSE))</f>
        <v>0</v>
      </c>
      <c r="AI64" s="52">
        <f>IF(VLOOKUP($Z64,'Asset Master'!$A:$J,6,FALSE)*COUNTIF('Event Trigger'!$C:$C,'Year 1 Results'!$Z64)&gt;SUMIF('Event Trigger'!$C:$C,$Z64,L:L),0,VLOOKUP($Z64,'Asset Master'!$A:$J,6,FALSE))</f>
        <v>0</v>
      </c>
      <c r="AJ64" s="52">
        <f>IF(VLOOKUP($Z64,'Asset Master'!$A:$J,6,FALSE)*COUNTIF('Event Trigger'!$C:$C,'Year 1 Results'!$Z64)&gt;SUMIF('Event Trigger'!$C:$C,$Z64,M:M),0,VLOOKUP($Z64,'Asset Master'!$A:$J,6,FALSE))</f>
        <v>0</v>
      </c>
    </row>
    <row r="65" spans="1:36" x14ac:dyDescent="0.25">
      <c r="A65" s="37" t="str">
        <f>'Risk Master'!B65:B183&amp;"-"&amp;'Risk Master'!D65</f>
        <v>Typhoon-Mumbai</v>
      </c>
      <c r="B65" s="37" t="str">
        <f>'Input Sheet year 2'!B66</f>
        <v>Typhoon-Mumbai</v>
      </c>
      <c r="C65" s="29" t="str">
        <f>'Risk Master'!F65</f>
        <v>A15</v>
      </c>
      <c r="D65" s="73">
        <f>'Risk Master'!$G65*-1+('Risk Master'!$G65*'Event Trigger'!$D65*(1-'Input Sheet year 1'!H66))</f>
        <v>0</v>
      </c>
      <c r="E65" s="73">
        <f>'Risk Master'!$G65*-1+('Risk Master'!$G65*'Event Trigger'!$D65*(1-'Input Sheet year 2'!I66))</f>
        <v>0</v>
      </c>
      <c r="F65" s="73">
        <f>'Risk Master'!$G65*-1+('Risk Master'!$G65*'Event Trigger'!$D65*(1-'Input Sheet year 2'!J66))</f>
        <v>0</v>
      </c>
      <c r="G65" s="73">
        <f>'Risk Master'!$G65*-1+('Risk Master'!$G65*'Event Trigger'!$D65*(1-'Input Sheet year 2'!K66))</f>
        <v>0</v>
      </c>
      <c r="H65" s="73">
        <f>'Risk Master'!$G65*-1+('Risk Master'!$G65*'Event Trigger'!$D65*(1-'Input Sheet year 2'!L66))</f>
        <v>0</v>
      </c>
      <c r="I65" s="73">
        <f>'Risk Master'!$G65*-1+('Risk Master'!$G65*'Event Trigger'!$D65*(1-'Input Sheet year 2'!M66))</f>
        <v>0</v>
      </c>
      <c r="J65" s="73">
        <f>'Risk Master'!$G65*-1+('Risk Master'!$G65*'Event Trigger'!$D65*(1-'Input Sheet year 2'!N66))</f>
        <v>200000</v>
      </c>
      <c r="K65" s="73">
        <f>'Risk Master'!$G65*-1+('Risk Master'!$G65*'Event Trigger'!$D65*(1-'Input Sheet year 2'!O66))</f>
        <v>0</v>
      </c>
      <c r="L65" s="73">
        <f>'Risk Master'!$G65*-1+('Risk Master'!$G65*'Event Trigger'!$D65*(1-'Input Sheet year 2'!P66))</f>
        <v>0</v>
      </c>
      <c r="M65" s="73">
        <f>'Risk Master'!$G65*-1+('Risk Master'!$G65*'Event Trigger'!$D65*(1-'Input Sheet year 2'!Q66))</f>
        <v>0</v>
      </c>
      <c r="N65" s="88"/>
      <c r="O65" s="88">
        <f t="shared" si="0"/>
        <v>0</v>
      </c>
      <c r="P65" s="88">
        <f t="shared" si="1"/>
        <v>0</v>
      </c>
      <c r="Q65" s="88">
        <f t="shared" si="2"/>
        <v>0</v>
      </c>
      <c r="R65" s="88">
        <f t="shared" si="3"/>
        <v>0</v>
      </c>
      <c r="S65" s="88">
        <f t="shared" si="4"/>
        <v>0</v>
      </c>
      <c r="T65" s="88">
        <f t="shared" si="5"/>
        <v>0</v>
      </c>
      <c r="U65" s="88">
        <f t="shared" si="6"/>
        <v>0</v>
      </c>
      <c r="V65" s="88">
        <f t="shared" si="7"/>
        <v>0</v>
      </c>
      <c r="W65" s="88">
        <f t="shared" si="8"/>
        <v>0</v>
      </c>
      <c r="X65" s="88">
        <f t="shared" si="9"/>
        <v>0</v>
      </c>
      <c r="Z65" s="51" t="s">
        <v>228</v>
      </c>
      <c r="AA65" s="52">
        <f>IF(VLOOKUP($Z65,'Asset Master'!$A:$J,6,FALSE)*COUNTIF('Event Trigger'!$C:$C,'Year 1 Results'!$Z65)&gt;SUMIF('Event Trigger'!$C:$C,$Z65,D:D),0,VLOOKUP($Z65,'Asset Master'!$A:$J,6,FALSE))</f>
        <v>1000000</v>
      </c>
      <c r="AB65" s="52">
        <f>IF(VLOOKUP($Z65,'Asset Master'!$A:$J,6,FALSE)*COUNTIF('Event Trigger'!$C:$C,'Year 1 Results'!$Z65)&gt;SUMIF('Event Trigger'!$C:$C,$Z65,E:E),0,VLOOKUP($Z65,'Asset Master'!$A:$J,6,FALSE))</f>
        <v>1000000</v>
      </c>
      <c r="AC65" s="52">
        <f>IF(VLOOKUP($Z65,'Asset Master'!$A:$J,6,FALSE)*COUNTIF('Event Trigger'!$C:$C,'Year 1 Results'!$Z65)&gt;SUMIF('Event Trigger'!$C:$C,$Z65,F:F),0,VLOOKUP($Z65,'Asset Master'!$A:$J,6,FALSE))</f>
        <v>1000000</v>
      </c>
      <c r="AD65" s="52">
        <f>IF(VLOOKUP($Z65,'Asset Master'!$A:$J,6,FALSE)*COUNTIF('Event Trigger'!$C:$C,'Year 1 Results'!$Z65)&gt;SUMIF('Event Trigger'!$C:$C,$Z65,G:G),0,VLOOKUP($Z65,'Asset Master'!$A:$J,6,FALSE))</f>
        <v>1000000</v>
      </c>
      <c r="AE65" s="52">
        <f>IF(VLOOKUP($Z65,'Asset Master'!$A:$J,6,FALSE)*COUNTIF('Event Trigger'!$C:$C,'Year 1 Results'!$Z65)&gt;SUMIF('Event Trigger'!$C:$C,$Z65,H:H),0,VLOOKUP($Z65,'Asset Master'!$A:$J,6,FALSE))</f>
        <v>1000000</v>
      </c>
      <c r="AF65" s="52">
        <f>IF(VLOOKUP($Z65,'Asset Master'!$A:$J,6,FALSE)*COUNTIF('Event Trigger'!$C:$C,'Year 1 Results'!$Z65)&gt;SUMIF('Event Trigger'!$C:$C,$Z65,I:I),0,VLOOKUP($Z65,'Asset Master'!$A:$J,6,FALSE))</f>
        <v>1000000</v>
      </c>
      <c r="AG65" s="52">
        <f>IF(VLOOKUP($Z65,'Asset Master'!$A:$J,6,FALSE)*COUNTIF('Event Trigger'!$C:$C,'Year 1 Results'!$Z65)&gt;SUMIF('Event Trigger'!$C:$C,$Z65,J:J),0,VLOOKUP($Z65,'Asset Master'!$A:$J,6,FALSE))</f>
        <v>1000000</v>
      </c>
      <c r="AH65" s="52">
        <f>IF(VLOOKUP($Z65,'Asset Master'!$A:$J,6,FALSE)*COUNTIF('Event Trigger'!$C:$C,'Year 1 Results'!$Z65)&gt;SUMIF('Event Trigger'!$C:$C,$Z65,K:K),0,VLOOKUP($Z65,'Asset Master'!$A:$J,6,FALSE))</f>
        <v>1000000</v>
      </c>
      <c r="AI65" s="52">
        <f>IF(VLOOKUP($Z65,'Asset Master'!$A:$J,6,FALSE)*COUNTIF('Event Trigger'!$C:$C,'Year 1 Results'!$Z65)&gt;SUMIF('Event Trigger'!$C:$C,$Z65,L:L),0,VLOOKUP($Z65,'Asset Master'!$A:$J,6,FALSE))</f>
        <v>1000000</v>
      </c>
      <c r="AJ65" s="52">
        <f>IF(VLOOKUP($Z65,'Asset Master'!$A:$J,6,FALSE)*COUNTIF('Event Trigger'!$C:$C,'Year 1 Results'!$Z65)&gt;SUMIF('Event Trigger'!$C:$C,$Z65,M:M),0,VLOOKUP($Z65,'Asset Master'!$A:$J,6,FALSE))</f>
        <v>1000000</v>
      </c>
    </row>
    <row r="66" spans="1:36" ht="25.5" x14ac:dyDescent="0.25">
      <c r="A66" s="37" t="str">
        <f>'Risk Master'!B66:B183&amp;"-"&amp;'Risk Master'!D66</f>
        <v>Thunderstorms, Tornados &amp; Hail-Mumbai</v>
      </c>
      <c r="B66" s="37" t="str">
        <f>'Input Sheet year 2'!B67</f>
        <v>Thunderstorms, Tornados &amp; Hail-Mumbai</v>
      </c>
      <c r="C66" s="29" t="str">
        <f>'Risk Master'!F66</f>
        <v>A15</v>
      </c>
      <c r="D66" s="73">
        <f>'Risk Master'!$G66*-1+('Risk Master'!$G66*'Event Trigger'!$D66*(1-'Input Sheet year 1'!H67))</f>
        <v>200000</v>
      </c>
      <c r="E66" s="73">
        <f>'Risk Master'!$G66*-1+('Risk Master'!$G66*'Event Trigger'!$D66*(1-'Input Sheet year 2'!I67))</f>
        <v>200000</v>
      </c>
      <c r="F66" s="73">
        <f>'Risk Master'!$G66*-1+('Risk Master'!$G66*'Event Trigger'!$D66*(1-'Input Sheet year 2'!J67))</f>
        <v>200000</v>
      </c>
      <c r="G66" s="73">
        <f>'Risk Master'!$G66*-1+('Risk Master'!$G66*'Event Trigger'!$D66*(1-'Input Sheet year 2'!K67))</f>
        <v>200000</v>
      </c>
      <c r="H66" s="73">
        <f>'Risk Master'!$G66*-1+('Risk Master'!$G66*'Event Trigger'!$D66*(1-'Input Sheet year 2'!L67))</f>
        <v>200000</v>
      </c>
      <c r="I66" s="73">
        <f>'Risk Master'!$G66*-1+('Risk Master'!$G66*'Event Trigger'!$D66*(1-'Input Sheet year 2'!M67))</f>
        <v>200000</v>
      </c>
      <c r="J66" s="73">
        <f>'Risk Master'!$G66*-1+('Risk Master'!$G66*'Event Trigger'!$D66*(1-'Input Sheet year 2'!N67))</f>
        <v>200000</v>
      </c>
      <c r="K66" s="73">
        <f>'Risk Master'!$G66*-1+('Risk Master'!$G66*'Event Trigger'!$D66*(1-'Input Sheet year 2'!O67))</f>
        <v>200000</v>
      </c>
      <c r="L66" s="73">
        <f>'Risk Master'!$G66*-1+('Risk Master'!$G66*'Event Trigger'!$D66*(1-'Input Sheet year 2'!P67))</f>
        <v>200000</v>
      </c>
      <c r="M66" s="73">
        <f>'Risk Master'!$G66*-1+('Risk Master'!$G66*'Event Trigger'!$D66*(1-'Input Sheet year 2'!Q67))</f>
        <v>200000</v>
      </c>
      <c r="N66" s="88"/>
      <c r="O66" s="88">
        <f t="shared" si="0"/>
        <v>0</v>
      </c>
      <c r="P66" s="88">
        <f t="shared" si="1"/>
        <v>0</v>
      </c>
      <c r="Q66" s="88">
        <f t="shared" si="2"/>
        <v>0</v>
      </c>
      <c r="R66" s="88">
        <f t="shared" si="3"/>
        <v>0</v>
      </c>
      <c r="S66" s="88">
        <f t="shared" si="4"/>
        <v>0</v>
      </c>
      <c r="T66" s="88">
        <f t="shared" si="5"/>
        <v>0</v>
      </c>
      <c r="U66" s="88">
        <f t="shared" si="6"/>
        <v>0</v>
      </c>
      <c r="V66" s="88">
        <f t="shared" si="7"/>
        <v>0</v>
      </c>
      <c r="W66" s="88">
        <f t="shared" si="8"/>
        <v>0</v>
      </c>
      <c r="X66" s="88">
        <f t="shared" si="9"/>
        <v>0</v>
      </c>
      <c r="Z66" s="51" t="s">
        <v>229</v>
      </c>
      <c r="AA66" s="52">
        <f>IF(VLOOKUP($Z66,'Asset Master'!$A:$J,6,FALSE)*COUNTIF('Event Trigger'!$C:$C,'Year 1 Results'!$Z66)&gt;SUMIF('Event Trigger'!$C:$C,$Z66,D:D),0,VLOOKUP($Z66,'Asset Master'!$A:$J,6,FALSE))</f>
        <v>0</v>
      </c>
      <c r="AB66" s="52">
        <f>IF(VLOOKUP($Z66,'Asset Master'!$A:$J,6,FALSE)*COUNTIF('Event Trigger'!$C:$C,'Year 1 Results'!$Z66)&gt;SUMIF('Event Trigger'!$C:$C,$Z66,E:E),0,VLOOKUP($Z66,'Asset Master'!$A:$J,6,FALSE))</f>
        <v>0</v>
      </c>
      <c r="AC66" s="52">
        <f>IF(VLOOKUP($Z66,'Asset Master'!$A:$J,6,FALSE)*COUNTIF('Event Trigger'!$C:$C,'Year 1 Results'!$Z66)&gt;SUMIF('Event Trigger'!$C:$C,$Z66,F:F),0,VLOOKUP($Z66,'Asset Master'!$A:$J,6,FALSE))</f>
        <v>0</v>
      </c>
      <c r="AD66" s="52">
        <f>IF(VLOOKUP($Z66,'Asset Master'!$A:$J,6,FALSE)*COUNTIF('Event Trigger'!$C:$C,'Year 1 Results'!$Z66)&gt;SUMIF('Event Trigger'!$C:$C,$Z66,G:G),0,VLOOKUP($Z66,'Asset Master'!$A:$J,6,FALSE))</f>
        <v>0</v>
      </c>
      <c r="AE66" s="52">
        <f>IF(VLOOKUP($Z66,'Asset Master'!$A:$J,6,FALSE)*COUNTIF('Event Trigger'!$C:$C,'Year 1 Results'!$Z66)&gt;SUMIF('Event Trigger'!$C:$C,$Z66,H:H),0,VLOOKUP($Z66,'Asset Master'!$A:$J,6,FALSE))</f>
        <v>0</v>
      </c>
      <c r="AF66" s="52">
        <f>IF(VLOOKUP($Z66,'Asset Master'!$A:$J,6,FALSE)*COUNTIF('Event Trigger'!$C:$C,'Year 1 Results'!$Z66)&gt;SUMIF('Event Trigger'!$C:$C,$Z66,I:I),0,VLOOKUP($Z66,'Asset Master'!$A:$J,6,FALSE))</f>
        <v>0</v>
      </c>
      <c r="AG66" s="52">
        <f>IF(VLOOKUP($Z66,'Asset Master'!$A:$J,6,FALSE)*COUNTIF('Event Trigger'!$C:$C,'Year 1 Results'!$Z66)&gt;SUMIF('Event Trigger'!$C:$C,$Z66,J:J),0,VLOOKUP($Z66,'Asset Master'!$A:$J,6,FALSE))</f>
        <v>0</v>
      </c>
      <c r="AH66" s="52">
        <f>IF(VLOOKUP($Z66,'Asset Master'!$A:$J,6,FALSE)*COUNTIF('Event Trigger'!$C:$C,'Year 1 Results'!$Z66)&gt;SUMIF('Event Trigger'!$C:$C,$Z66,K:K),0,VLOOKUP($Z66,'Asset Master'!$A:$J,6,FALSE))</f>
        <v>0</v>
      </c>
      <c r="AI66" s="52">
        <f>IF(VLOOKUP($Z66,'Asset Master'!$A:$J,6,FALSE)*COUNTIF('Event Trigger'!$C:$C,'Year 1 Results'!$Z66)&gt;SUMIF('Event Trigger'!$C:$C,$Z66,L:L),0,VLOOKUP($Z66,'Asset Master'!$A:$J,6,FALSE))</f>
        <v>0</v>
      </c>
      <c r="AJ66" s="52">
        <f>IF(VLOOKUP($Z66,'Asset Master'!$A:$J,6,FALSE)*COUNTIF('Event Trigger'!$C:$C,'Year 1 Results'!$Z66)&gt;SUMIF('Event Trigger'!$C:$C,$Z66,M:M),0,VLOOKUP($Z66,'Asset Master'!$A:$J,6,FALSE))</f>
        <v>0</v>
      </c>
    </row>
    <row r="67" spans="1:36" x14ac:dyDescent="0.25">
      <c r="A67" s="37" t="str">
        <f>'Risk Master'!B67:B183&amp;"-"&amp;'Risk Master'!D67</f>
        <v>Tsunami-Mumbai</v>
      </c>
      <c r="B67" s="37" t="str">
        <f>'Input Sheet year 2'!B68</f>
        <v>Tsunami-Mumbai</v>
      </c>
      <c r="C67" s="29" t="str">
        <f>'Risk Master'!F67</f>
        <v>A15</v>
      </c>
      <c r="D67" s="73">
        <f>'Risk Master'!$G67*-1+('Risk Master'!$G67*'Event Trigger'!$D67*(1-'Input Sheet year 1'!H68))</f>
        <v>200000</v>
      </c>
      <c r="E67" s="73">
        <f>'Risk Master'!$G67*-1+('Risk Master'!$G67*'Event Trigger'!$D67*(1-'Input Sheet year 2'!I68))</f>
        <v>200000</v>
      </c>
      <c r="F67" s="73">
        <f>'Risk Master'!$G67*-1+('Risk Master'!$G67*'Event Trigger'!$D67*(1-'Input Sheet year 2'!J68))</f>
        <v>200000</v>
      </c>
      <c r="G67" s="73">
        <f>'Risk Master'!$G67*-1+('Risk Master'!$G67*'Event Trigger'!$D67*(1-'Input Sheet year 2'!K68))</f>
        <v>200000</v>
      </c>
      <c r="H67" s="73">
        <f>'Risk Master'!$G67*-1+('Risk Master'!$G67*'Event Trigger'!$D67*(1-'Input Sheet year 2'!L68))</f>
        <v>200000</v>
      </c>
      <c r="I67" s="73">
        <f>'Risk Master'!$G67*-1+('Risk Master'!$G67*'Event Trigger'!$D67*(1-'Input Sheet year 2'!M68))</f>
        <v>200000</v>
      </c>
      <c r="J67" s="73">
        <f>'Risk Master'!$G67*-1+('Risk Master'!$G67*'Event Trigger'!$D67*(1-'Input Sheet year 2'!N68))</f>
        <v>200000</v>
      </c>
      <c r="K67" s="73">
        <f>'Risk Master'!$G67*-1+('Risk Master'!$G67*'Event Trigger'!$D67*(1-'Input Sheet year 2'!O68))</f>
        <v>200000</v>
      </c>
      <c r="L67" s="73">
        <f>'Risk Master'!$G67*-1+('Risk Master'!$G67*'Event Trigger'!$D67*(1-'Input Sheet year 2'!P68))</f>
        <v>200000</v>
      </c>
      <c r="M67" s="73">
        <f>'Risk Master'!$G67*-1+('Risk Master'!$G67*'Event Trigger'!$D67*(1-'Input Sheet year 2'!Q68))</f>
        <v>200000</v>
      </c>
      <c r="N67" s="88"/>
      <c r="O67" s="88">
        <f t="shared" ref="O67:O130" si="10">VLOOKUP(C67,$Z:$AJ,2,FALSE)*-1</f>
        <v>0</v>
      </c>
      <c r="P67" s="88">
        <f t="shared" ref="P67:P130" si="11">VLOOKUP($C67,$Z:$AJ,3,FALSE)*-1</f>
        <v>0</v>
      </c>
      <c r="Q67" s="88">
        <f t="shared" ref="Q67:Q130" si="12">VLOOKUP($C67,$Z:$AJ,4,FALSE)*-1</f>
        <v>0</v>
      </c>
      <c r="R67" s="88">
        <f t="shared" ref="R67:R130" si="13">VLOOKUP($C67,$Z:$AJ,5,FALSE)*-1</f>
        <v>0</v>
      </c>
      <c r="S67" s="88">
        <f t="shared" ref="S67:S130" si="14">VLOOKUP($C67,$Z:$AJ,6,FALSE)*-1</f>
        <v>0</v>
      </c>
      <c r="T67" s="88">
        <f t="shared" ref="T67:T130" si="15">VLOOKUP($C67,$Z:$AJ,7,FALSE)*-1</f>
        <v>0</v>
      </c>
      <c r="U67" s="88">
        <f t="shared" ref="U67:U130" si="16">VLOOKUP($C67,$Z:$AJ,8,FALSE)*-1</f>
        <v>0</v>
      </c>
      <c r="V67" s="88">
        <f t="shared" ref="V67:V130" si="17">VLOOKUP($C67,$Z:$AJ,9,FALSE)*-1</f>
        <v>0</v>
      </c>
      <c r="W67" s="88">
        <f t="shared" ref="W67:W130" si="18">VLOOKUP($C67,$Z:$AJ,10,FALSE)*-1</f>
        <v>0</v>
      </c>
      <c r="X67" s="88">
        <f t="shared" ref="X67:X130" si="19">VLOOKUP($C67,$Z:$AJ,11,FALSE)*-1</f>
        <v>0</v>
      </c>
      <c r="Z67" s="51" t="s">
        <v>230</v>
      </c>
      <c r="AA67" s="52">
        <f>IF(VLOOKUP($Z67,'Asset Master'!$A:$J,6,FALSE)*COUNTIF('Event Trigger'!$C:$C,'Year 1 Results'!$Z67)&gt;SUMIF('Event Trigger'!$C:$C,$Z67,D:D),0,VLOOKUP($Z67,'Asset Master'!$A:$J,6,FALSE))</f>
        <v>0</v>
      </c>
      <c r="AB67" s="52">
        <f>IF(VLOOKUP($Z67,'Asset Master'!$A:$J,6,FALSE)*COUNTIF('Event Trigger'!$C:$C,'Year 1 Results'!$Z67)&gt;SUMIF('Event Trigger'!$C:$C,$Z67,E:E),0,VLOOKUP($Z67,'Asset Master'!$A:$J,6,FALSE))</f>
        <v>0</v>
      </c>
      <c r="AC67" s="52">
        <f>IF(VLOOKUP($Z67,'Asset Master'!$A:$J,6,FALSE)*COUNTIF('Event Trigger'!$C:$C,'Year 1 Results'!$Z67)&gt;SUMIF('Event Trigger'!$C:$C,$Z67,F:F),0,VLOOKUP($Z67,'Asset Master'!$A:$J,6,FALSE))</f>
        <v>0</v>
      </c>
      <c r="AD67" s="52">
        <f>IF(VLOOKUP($Z67,'Asset Master'!$A:$J,6,FALSE)*COUNTIF('Event Trigger'!$C:$C,'Year 1 Results'!$Z67)&gt;SUMIF('Event Trigger'!$C:$C,$Z67,G:G),0,VLOOKUP($Z67,'Asset Master'!$A:$J,6,FALSE))</f>
        <v>0</v>
      </c>
      <c r="AE67" s="52">
        <f>IF(VLOOKUP($Z67,'Asset Master'!$A:$J,6,FALSE)*COUNTIF('Event Trigger'!$C:$C,'Year 1 Results'!$Z67)&gt;SUMIF('Event Trigger'!$C:$C,$Z67,H:H),0,VLOOKUP($Z67,'Asset Master'!$A:$J,6,FALSE))</f>
        <v>0</v>
      </c>
      <c r="AF67" s="52">
        <f>IF(VLOOKUP($Z67,'Asset Master'!$A:$J,6,FALSE)*COUNTIF('Event Trigger'!$C:$C,'Year 1 Results'!$Z67)&gt;SUMIF('Event Trigger'!$C:$C,$Z67,I:I),0,VLOOKUP($Z67,'Asset Master'!$A:$J,6,FALSE))</f>
        <v>0</v>
      </c>
      <c r="AG67" s="52">
        <f>IF(VLOOKUP($Z67,'Asset Master'!$A:$J,6,FALSE)*COUNTIF('Event Trigger'!$C:$C,'Year 1 Results'!$Z67)&gt;SUMIF('Event Trigger'!$C:$C,$Z67,J:J),0,VLOOKUP($Z67,'Asset Master'!$A:$J,6,FALSE))</f>
        <v>0</v>
      </c>
      <c r="AH67" s="52">
        <f>IF(VLOOKUP($Z67,'Asset Master'!$A:$J,6,FALSE)*COUNTIF('Event Trigger'!$C:$C,'Year 1 Results'!$Z67)&gt;SUMIF('Event Trigger'!$C:$C,$Z67,K:K),0,VLOOKUP($Z67,'Asset Master'!$A:$J,6,FALSE))</f>
        <v>0</v>
      </c>
      <c r="AI67" s="52">
        <f>IF(VLOOKUP($Z67,'Asset Master'!$A:$J,6,FALSE)*COUNTIF('Event Trigger'!$C:$C,'Year 1 Results'!$Z67)&gt;SUMIF('Event Trigger'!$C:$C,$Z67,L:L),0,VLOOKUP($Z67,'Asset Master'!$A:$J,6,FALSE))</f>
        <v>0</v>
      </c>
      <c r="AJ67" s="52">
        <f>IF(VLOOKUP($Z67,'Asset Master'!$A:$J,6,FALSE)*COUNTIF('Event Trigger'!$C:$C,'Year 1 Results'!$Z67)&gt;SUMIF('Event Trigger'!$C:$C,$Z67,M:M),0,VLOOKUP($Z67,'Asset Master'!$A:$J,6,FALSE))</f>
        <v>0</v>
      </c>
    </row>
    <row r="68" spans="1:36" x14ac:dyDescent="0.25">
      <c r="A68" s="37" t="str">
        <f>'Risk Master'!B68:B183&amp;"-"&amp;'Risk Master'!D68</f>
        <v>Hurricane-Typhoon -Germany</v>
      </c>
      <c r="B68" s="37" t="str">
        <f>'Input Sheet year 2'!B69</f>
        <v>Hurricane-Typhoon -Germany</v>
      </c>
      <c r="C68" s="29" t="str">
        <f>'Risk Master'!F68</f>
        <v>A16</v>
      </c>
      <c r="D68" s="73">
        <f>'Risk Master'!$G68*-1+('Risk Master'!$G68*'Event Trigger'!$D68*(1-'Input Sheet year 1'!H69))</f>
        <v>300000</v>
      </c>
      <c r="E68" s="73">
        <f>'Risk Master'!$G68*-1+('Risk Master'!$G68*'Event Trigger'!$D68*(1-'Input Sheet year 2'!I69))</f>
        <v>300000</v>
      </c>
      <c r="F68" s="73">
        <f>'Risk Master'!$G68*-1+('Risk Master'!$G68*'Event Trigger'!$D68*(1-'Input Sheet year 2'!J69))</f>
        <v>300000</v>
      </c>
      <c r="G68" s="73">
        <f>'Risk Master'!$G68*-1+('Risk Master'!$G68*'Event Trigger'!$D68*(1-'Input Sheet year 2'!K69))</f>
        <v>300000</v>
      </c>
      <c r="H68" s="73">
        <f>'Risk Master'!$G68*-1+('Risk Master'!$G68*'Event Trigger'!$D68*(1-'Input Sheet year 2'!L69))</f>
        <v>300000</v>
      </c>
      <c r="I68" s="73">
        <f>'Risk Master'!$G68*-1+('Risk Master'!$G68*'Event Trigger'!$D68*(1-'Input Sheet year 2'!M69))</f>
        <v>300000</v>
      </c>
      <c r="J68" s="73">
        <f>'Risk Master'!$G68*-1+('Risk Master'!$G68*'Event Trigger'!$D68*(1-'Input Sheet year 2'!N69))</f>
        <v>300000</v>
      </c>
      <c r="K68" s="73">
        <f>'Risk Master'!$G68*-1+('Risk Master'!$G68*'Event Trigger'!$D68*(1-'Input Sheet year 2'!O69))</f>
        <v>300000</v>
      </c>
      <c r="L68" s="73">
        <f>'Risk Master'!$G68*-1+('Risk Master'!$G68*'Event Trigger'!$D68*(1-'Input Sheet year 2'!P69))</f>
        <v>300000</v>
      </c>
      <c r="M68" s="73">
        <f>'Risk Master'!$G68*-1+('Risk Master'!$G68*'Event Trigger'!$D68*(1-'Input Sheet year 2'!Q69))</f>
        <v>300000</v>
      </c>
      <c r="N68" s="88"/>
      <c r="O68" s="88">
        <f t="shared" si="10"/>
        <v>-300000</v>
      </c>
      <c r="P68" s="88">
        <f t="shared" si="11"/>
        <v>-300000</v>
      </c>
      <c r="Q68" s="88">
        <f t="shared" si="12"/>
        <v>-300000</v>
      </c>
      <c r="R68" s="88">
        <f t="shared" si="13"/>
        <v>-300000</v>
      </c>
      <c r="S68" s="88">
        <f t="shared" si="14"/>
        <v>-300000</v>
      </c>
      <c r="T68" s="88">
        <f t="shared" si="15"/>
        <v>-300000</v>
      </c>
      <c r="U68" s="88">
        <f t="shared" si="16"/>
        <v>-300000</v>
      </c>
      <c r="V68" s="88">
        <f t="shared" si="17"/>
        <v>-300000</v>
      </c>
      <c r="W68" s="88">
        <f t="shared" si="18"/>
        <v>-300000</v>
      </c>
      <c r="X68" s="88">
        <f t="shared" si="19"/>
        <v>-300000</v>
      </c>
      <c r="Z68" s="51" t="s">
        <v>231</v>
      </c>
      <c r="AA68" s="52">
        <f>IF(VLOOKUP($Z68,'Asset Master'!$A:$J,6,FALSE)*COUNTIF('Event Trigger'!$C:$C,'Year 1 Results'!$Z68)&gt;SUMIF('Event Trigger'!$C:$C,$Z68,D:D),0,VLOOKUP($Z68,'Asset Master'!$A:$J,6,FALSE))</f>
        <v>1100000</v>
      </c>
      <c r="AB68" s="52">
        <f>IF(VLOOKUP($Z68,'Asset Master'!$A:$J,6,FALSE)*COUNTIF('Event Trigger'!$C:$C,'Year 1 Results'!$Z68)&gt;SUMIF('Event Trigger'!$C:$C,$Z68,E:E),0,VLOOKUP($Z68,'Asset Master'!$A:$J,6,FALSE))</f>
        <v>1100000</v>
      </c>
      <c r="AC68" s="52">
        <f>IF(VLOOKUP($Z68,'Asset Master'!$A:$J,6,FALSE)*COUNTIF('Event Trigger'!$C:$C,'Year 1 Results'!$Z68)&gt;SUMIF('Event Trigger'!$C:$C,$Z68,F:F),0,VLOOKUP($Z68,'Asset Master'!$A:$J,6,FALSE))</f>
        <v>1100000</v>
      </c>
      <c r="AD68" s="52">
        <f>IF(VLOOKUP($Z68,'Asset Master'!$A:$J,6,FALSE)*COUNTIF('Event Trigger'!$C:$C,'Year 1 Results'!$Z68)&gt;SUMIF('Event Trigger'!$C:$C,$Z68,G:G),0,VLOOKUP($Z68,'Asset Master'!$A:$J,6,FALSE))</f>
        <v>1100000</v>
      </c>
      <c r="AE68" s="52">
        <f>IF(VLOOKUP($Z68,'Asset Master'!$A:$J,6,FALSE)*COUNTIF('Event Trigger'!$C:$C,'Year 1 Results'!$Z68)&gt;SUMIF('Event Trigger'!$C:$C,$Z68,H:H),0,VLOOKUP($Z68,'Asset Master'!$A:$J,6,FALSE))</f>
        <v>1100000</v>
      </c>
      <c r="AF68" s="52">
        <f>IF(VLOOKUP($Z68,'Asset Master'!$A:$J,6,FALSE)*COUNTIF('Event Trigger'!$C:$C,'Year 1 Results'!$Z68)&gt;SUMIF('Event Trigger'!$C:$C,$Z68,I:I),0,VLOOKUP($Z68,'Asset Master'!$A:$J,6,FALSE))</f>
        <v>1100000</v>
      </c>
      <c r="AG68" s="52">
        <f>IF(VLOOKUP($Z68,'Asset Master'!$A:$J,6,FALSE)*COUNTIF('Event Trigger'!$C:$C,'Year 1 Results'!$Z68)&gt;SUMIF('Event Trigger'!$C:$C,$Z68,J:J),0,VLOOKUP($Z68,'Asset Master'!$A:$J,6,FALSE))</f>
        <v>1100000</v>
      </c>
      <c r="AH68" s="52">
        <f>IF(VLOOKUP($Z68,'Asset Master'!$A:$J,6,FALSE)*COUNTIF('Event Trigger'!$C:$C,'Year 1 Results'!$Z68)&gt;SUMIF('Event Trigger'!$C:$C,$Z68,K:K),0,VLOOKUP($Z68,'Asset Master'!$A:$J,6,FALSE))</f>
        <v>1100000</v>
      </c>
      <c r="AI68" s="52">
        <f>IF(VLOOKUP($Z68,'Asset Master'!$A:$J,6,FALSE)*COUNTIF('Event Trigger'!$C:$C,'Year 1 Results'!$Z68)&gt;SUMIF('Event Trigger'!$C:$C,$Z68,L:L),0,VLOOKUP($Z68,'Asset Master'!$A:$J,6,FALSE))</f>
        <v>1100000</v>
      </c>
      <c r="AJ68" s="52">
        <f>IF(VLOOKUP($Z68,'Asset Master'!$A:$J,6,FALSE)*COUNTIF('Event Trigger'!$C:$C,'Year 1 Results'!$Z68)&gt;SUMIF('Event Trigger'!$C:$C,$Z68,M:M),0,VLOOKUP($Z68,'Asset Master'!$A:$J,6,FALSE))</f>
        <v>1100000</v>
      </c>
    </row>
    <row r="69" spans="1:36" x14ac:dyDescent="0.25">
      <c r="A69" s="37" t="str">
        <f>'Risk Master'!B69:B183&amp;"-"&amp;'Risk Master'!D69</f>
        <v>Earthquake-Germany</v>
      </c>
      <c r="B69" s="37" t="str">
        <f>'Input Sheet year 2'!B70</f>
        <v>Earthquake-Germany</v>
      </c>
      <c r="C69" s="29" t="str">
        <f>'Risk Master'!F69</f>
        <v>A16</v>
      </c>
      <c r="D69" s="73">
        <f>'Risk Master'!$G69*-1+('Risk Master'!$G69*'Event Trigger'!$D69*(1-'Input Sheet year 1'!H70))</f>
        <v>300000</v>
      </c>
      <c r="E69" s="73">
        <f>'Risk Master'!$G69*-1+('Risk Master'!$G69*'Event Trigger'!$D69*(1-'Input Sheet year 2'!I70))</f>
        <v>300000</v>
      </c>
      <c r="F69" s="73">
        <f>'Risk Master'!$G69*-1+('Risk Master'!$G69*'Event Trigger'!$D69*(1-'Input Sheet year 2'!J70))</f>
        <v>300000</v>
      </c>
      <c r="G69" s="73">
        <f>'Risk Master'!$G69*-1+('Risk Master'!$G69*'Event Trigger'!$D69*(1-'Input Sheet year 2'!K70))</f>
        <v>300000</v>
      </c>
      <c r="H69" s="73">
        <f>'Risk Master'!$G69*-1+('Risk Master'!$G69*'Event Trigger'!$D69*(1-'Input Sheet year 2'!L70))</f>
        <v>300000</v>
      </c>
      <c r="I69" s="73">
        <f>'Risk Master'!$G69*-1+('Risk Master'!$G69*'Event Trigger'!$D69*(1-'Input Sheet year 2'!M70))</f>
        <v>300000</v>
      </c>
      <c r="J69" s="73">
        <f>'Risk Master'!$G69*-1+('Risk Master'!$G69*'Event Trigger'!$D69*(1-'Input Sheet year 2'!N70))</f>
        <v>300000</v>
      </c>
      <c r="K69" s="73">
        <f>'Risk Master'!$G69*-1+('Risk Master'!$G69*'Event Trigger'!$D69*(1-'Input Sheet year 2'!O70))</f>
        <v>300000</v>
      </c>
      <c r="L69" s="73">
        <f>'Risk Master'!$G69*-1+('Risk Master'!$G69*'Event Trigger'!$D69*(1-'Input Sheet year 2'!P70))</f>
        <v>300000</v>
      </c>
      <c r="M69" s="73">
        <f>'Risk Master'!$G69*-1+('Risk Master'!$G69*'Event Trigger'!$D69*(1-'Input Sheet year 2'!Q70))</f>
        <v>300000</v>
      </c>
      <c r="N69" s="88"/>
      <c r="O69" s="88">
        <f t="shared" si="10"/>
        <v>-300000</v>
      </c>
      <c r="P69" s="88">
        <f t="shared" si="11"/>
        <v>-300000</v>
      </c>
      <c r="Q69" s="88">
        <f t="shared" si="12"/>
        <v>-300000</v>
      </c>
      <c r="R69" s="88">
        <f t="shared" si="13"/>
        <v>-300000</v>
      </c>
      <c r="S69" s="88">
        <f t="shared" si="14"/>
        <v>-300000</v>
      </c>
      <c r="T69" s="88">
        <f t="shared" si="15"/>
        <v>-300000</v>
      </c>
      <c r="U69" s="88">
        <f t="shared" si="16"/>
        <v>-300000</v>
      </c>
      <c r="V69" s="88">
        <f t="shared" si="17"/>
        <v>-300000</v>
      </c>
      <c r="W69" s="88">
        <f t="shared" si="18"/>
        <v>-300000</v>
      </c>
      <c r="X69" s="88">
        <f t="shared" si="19"/>
        <v>-300000</v>
      </c>
      <c r="Z69" s="51" t="s">
        <v>232</v>
      </c>
      <c r="AA69" s="52">
        <f>IF(VLOOKUP($Z69,'Asset Master'!$A:$J,6,FALSE)*COUNTIF('Event Trigger'!$C:$C,'Year 1 Results'!$Z69)&gt;SUMIF('Event Trigger'!$C:$C,$Z69,D:D),0,VLOOKUP($Z69,'Asset Master'!$A:$J,6,FALSE))</f>
        <v>300000</v>
      </c>
      <c r="AB69" s="52">
        <f>IF(VLOOKUP($Z69,'Asset Master'!$A:$J,6,FALSE)*COUNTIF('Event Trigger'!$C:$C,'Year 1 Results'!$Z69)&gt;SUMIF('Event Trigger'!$C:$C,$Z69,E:E),0,VLOOKUP($Z69,'Asset Master'!$A:$J,6,FALSE))</f>
        <v>300000</v>
      </c>
      <c r="AC69" s="52">
        <f>IF(VLOOKUP($Z69,'Asset Master'!$A:$J,6,FALSE)*COUNTIF('Event Trigger'!$C:$C,'Year 1 Results'!$Z69)&gt;SUMIF('Event Trigger'!$C:$C,$Z69,F:F),0,VLOOKUP($Z69,'Asset Master'!$A:$J,6,FALSE))</f>
        <v>300000</v>
      </c>
      <c r="AD69" s="52">
        <f>IF(VLOOKUP($Z69,'Asset Master'!$A:$J,6,FALSE)*COUNTIF('Event Trigger'!$C:$C,'Year 1 Results'!$Z69)&gt;SUMIF('Event Trigger'!$C:$C,$Z69,G:G),0,VLOOKUP($Z69,'Asset Master'!$A:$J,6,FALSE))</f>
        <v>300000</v>
      </c>
      <c r="AE69" s="52">
        <f>IF(VLOOKUP($Z69,'Asset Master'!$A:$J,6,FALSE)*COUNTIF('Event Trigger'!$C:$C,'Year 1 Results'!$Z69)&gt;SUMIF('Event Trigger'!$C:$C,$Z69,H:H),0,VLOOKUP($Z69,'Asset Master'!$A:$J,6,FALSE))</f>
        <v>300000</v>
      </c>
      <c r="AF69" s="52">
        <f>IF(VLOOKUP($Z69,'Asset Master'!$A:$J,6,FALSE)*COUNTIF('Event Trigger'!$C:$C,'Year 1 Results'!$Z69)&gt;SUMIF('Event Trigger'!$C:$C,$Z69,I:I),0,VLOOKUP($Z69,'Asset Master'!$A:$J,6,FALSE))</f>
        <v>300000</v>
      </c>
      <c r="AG69" s="52">
        <f>IF(VLOOKUP($Z69,'Asset Master'!$A:$J,6,FALSE)*COUNTIF('Event Trigger'!$C:$C,'Year 1 Results'!$Z69)&gt;SUMIF('Event Trigger'!$C:$C,$Z69,J:J),0,VLOOKUP($Z69,'Asset Master'!$A:$J,6,FALSE))</f>
        <v>300000</v>
      </c>
      <c r="AH69" s="52">
        <f>IF(VLOOKUP($Z69,'Asset Master'!$A:$J,6,FALSE)*COUNTIF('Event Trigger'!$C:$C,'Year 1 Results'!$Z69)&gt;SUMIF('Event Trigger'!$C:$C,$Z69,K:K),0,VLOOKUP($Z69,'Asset Master'!$A:$J,6,FALSE))</f>
        <v>300000</v>
      </c>
      <c r="AI69" s="52">
        <f>IF(VLOOKUP($Z69,'Asset Master'!$A:$J,6,FALSE)*COUNTIF('Event Trigger'!$C:$C,'Year 1 Results'!$Z69)&gt;SUMIF('Event Trigger'!$C:$C,$Z69,L:L),0,VLOOKUP($Z69,'Asset Master'!$A:$J,6,FALSE))</f>
        <v>300000</v>
      </c>
      <c r="AJ69" s="52">
        <f>IF(VLOOKUP($Z69,'Asset Master'!$A:$J,6,FALSE)*COUNTIF('Event Trigger'!$C:$C,'Year 1 Results'!$Z69)&gt;SUMIF('Event Trigger'!$C:$C,$Z69,M:M),0,VLOOKUP($Z69,'Asset Master'!$A:$J,6,FALSE))</f>
        <v>300000</v>
      </c>
    </row>
    <row r="70" spans="1:36" x14ac:dyDescent="0.25">
      <c r="A70" s="37" t="str">
        <f>'Risk Master'!B70:B183&amp;"-"&amp;'Risk Master'!D70</f>
        <v>Fire-Germany</v>
      </c>
      <c r="B70" s="37" t="str">
        <f>'Input Sheet year 2'!B71</f>
        <v>Fire-Germany</v>
      </c>
      <c r="C70" s="29" t="str">
        <f>'Risk Master'!F70</f>
        <v>A16</v>
      </c>
      <c r="D70" s="73">
        <f>'Risk Master'!$G70*-1+('Risk Master'!$G70*'Event Trigger'!$D70*(1-'Input Sheet year 1'!H71))</f>
        <v>300000</v>
      </c>
      <c r="E70" s="73">
        <f>'Risk Master'!$G70*-1+('Risk Master'!$G70*'Event Trigger'!$D70*(1-'Input Sheet year 2'!I71))</f>
        <v>300000</v>
      </c>
      <c r="F70" s="73">
        <f>'Risk Master'!$G70*-1+('Risk Master'!$G70*'Event Trigger'!$D70*(1-'Input Sheet year 2'!J71))</f>
        <v>300000</v>
      </c>
      <c r="G70" s="73">
        <f>'Risk Master'!$G70*-1+('Risk Master'!$G70*'Event Trigger'!$D70*(1-'Input Sheet year 2'!K71))</f>
        <v>300000</v>
      </c>
      <c r="H70" s="73">
        <f>'Risk Master'!$G70*-1+('Risk Master'!$G70*'Event Trigger'!$D70*(1-'Input Sheet year 2'!L71))</f>
        <v>300000</v>
      </c>
      <c r="I70" s="73">
        <f>'Risk Master'!$G70*-1+('Risk Master'!$G70*'Event Trigger'!$D70*(1-'Input Sheet year 2'!M71))</f>
        <v>300000</v>
      </c>
      <c r="J70" s="73">
        <f>'Risk Master'!$G70*-1+('Risk Master'!$G70*'Event Trigger'!$D70*(1-'Input Sheet year 2'!N71))</f>
        <v>300000</v>
      </c>
      <c r="K70" s="73">
        <f>'Risk Master'!$G70*-1+('Risk Master'!$G70*'Event Trigger'!$D70*(1-'Input Sheet year 2'!O71))</f>
        <v>300000</v>
      </c>
      <c r="L70" s="73">
        <f>'Risk Master'!$G70*-1+('Risk Master'!$G70*'Event Trigger'!$D70*(1-'Input Sheet year 2'!P71))</f>
        <v>300000</v>
      </c>
      <c r="M70" s="73">
        <f>'Risk Master'!$G70*-1+('Risk Master'!$G70*'Event Trigger'!$D70*(1-'Input Sheet year 2'!Q71))</f>
        <v>300000</v>
      </c>
      <c r="N70" s="88"/>
      <c r="O70" s="88">
        <f t="shared" si="10"/>
        <v>-300000</v>
      </c>
      <c r="P70" s="88">
        <f t="shared" si="11"/>
        <v>-300000</v>
      </c>
      <c r="Q70" s="88">
        <f t="shared" si="12"/>
        <v>-300000</v>
      </c>
      <c r="R70" s="88">
        <f t="shared" si="13"/>
        <v>-300000</v>
      </c>
      <c r="S70" s="88">
        <f t="shared" si="14"/>
        <v>-300000</v>
      </c>
      <c r="T70" s="88">
        <f t="shared" si="15"/>
        <v>-300000</v>
      </c>
      <c r="U70" s="88">
        <f t="shared" si="16"/>
        <v>-300000</v>
      </c>
      <c r="V70" s="88">
        <f t="shared" si="17"/>
        <v>-300000</v>
      </c>
      <c r="W70" s="88">
        <f t="shared" si="18"/>
        <v>-300000</v>
      </c>
      <c r="X70" s="88">
        <f t="shared" si="19"/>
        <v>-300000</v>
      </c>
      <c r="Z70" s="51" t="s">
        <v>233</v>
      </c>
      <c r="AA70" s="52">
        <f>IF(VLOOKUP($Z70,'Asset Master'!$A:$J,6,FALSE)*COUNTIF('Event Trigger'!$C:$C,'Year 1 Results'!$Z70)&gt;SUMIF('Event Trigger'!$C:$C,$Z70,D:D),0,VLOOKUP($Z70,'Asset Master'!$A:$J,6,FALSE))</f>
        <v>300000</v>
      </c>
      <c r="AB70" s="52">
        <f>IF(VLOOKUP($Z70,'Asset Master'!$A:$J,6,FALSE)*COUNTIF('Event Trigger'!$C:$C,'Year 1 Results'!$Z70)&gt;SUMIF('Event Trigger'!$C:$C,$Z70,E:E),0,VLOOKUP($Z70,'Asset Master'!$A:$J,6,FALSE))</f>
        <v>300000</v>
      </c>
      <c r="AC70" s="52">
        <f>IF(VLOOKUP($Z70,'Asset Master'!$A:$J,6,FALSE)*COUNTIF('Event Trigger'!$C:$C,'Year 1 Results'!$Z70)&gt;SUMIF('Event Trigger'!$C:$C,$Z70,F:F),0,VLOOKUP($Z70,'Asset Master'!$A:$J,6,FALSE))</f>
        <v>300000</v>
      </c>
      <c r="AD70" s="52">
        <f>IF(VLOOKUP($Z70,'Asset Master'!$A:$J,6,FALSE)*COUNTIF('Event Trigger'!$C:$C,'Year 1 Results'!$Z70)&gt;SUMIF('Event Trigger'!$C:$C,$Z70,G:G),0,VLOOKUP($Z70,'Asset Master'!$A:$J,6,FALSE))</f>
        <v>300000</v>
      </c>
      <c r="AE70" s="52">
        <f>IF(VLOOKUP($Z70,'Asset Master'!$A:$J,6,FALSE)*COUNTIF('Event Trigger'!$C:$C,'Year 1 Results'!$Z70)&gt;SUMIF('Event Trigger'!$C:$C,$Z70,H:H),0,VLOOKUP($Z70,'Asset Master'!$A:$J,6,FALSE))</f>
        <v>300000</v>
      </c>
      <c r="AF70" s="52">
        <f>IF(VLOOKUP($Z70,'Asset Master'!$A:$J,6,FALSE)*COUNTIF('Event Trigger'!$C:$C,'Year 1 Results'!$Z70)&gt;SUMIF('Event Trigger'!$C:$C,$Z70,I:I),0,VLOOKUP($Z70,'Asset Master'!$A:$J,6,FALSE))</f>
        <v>300000</v>
      </c>
      <c r="AG70" s="52">
        <f>IF(VLOOKUP($Z70,'Asset Master'!$A:$J,6,FALSE)*COUNTIF('Event Trigger'!$C:$C,'Year 1 Results'!$Z70)&gt;SUMIF('Event Trigger'!$C:$C,$Z70,J:J),0,VLOOKUP($Z70,'Asset Master'!$A:$J,6,FALSE))</f>
        <v>300000</v>
      </c>
      <c r="AH70" s="52">
        <f>IF(VLOOKUP($Z70,'Asset Master'!$A:$J,6,FALSE)*COUNTIF('Event Trigger'!$C:$C,'Year 1 Results'!$Z70)&gt;SUMIF('Event Trigger'!$C:$C,$Z70,K:K),0,VLOOKUP($Z70,'Asset Master'!$A:$J,6,FALSE))</f>
        <v>300000</v>
      </c>
      <c r="AI70" s="52">
        <f>IF(VLOOKUP($Z70,'Asset Master'!$A:$J,6,FALSE)*COUNTIF('Event Trigger'!$C:$C,'Year 1 Results'!$Z70)&gt;SUMIF('Event Trigger'!$C:$C,$Z70,L:L),0,VLOOKUP($Z70,'Asset Master'!$A:$J,6,FALSE))</f>
        <v>300000</v>
      </c>
      <c r="AJ70" s="52">
        <f>IF(VLOOKUP($Z70,'Asset Master'!$A:$J,6,FALSE)*COUNTIF('Event Trigger'!$C:$C,'Year 1 Results'!$Z70)&gt;SUMIF('Event Trigger'!$C:$C,$Z70,M:M),0,VLOOKUP($Z70,'Asset Master'!$A:$J,6,FALSE))</f>
        <v>300000</v>
      </c>
    </row>
    <row r="71" spans="1:36" ht="25.5" x14ac:dyDescent="0.25">
      <c r="A71" s="37" t="str">
        <f>'Risk Master'!B71:B183&amp;"-"&amp;'Risk Master'!D71</f>
        <v>Thunderstorms, Tornados &amp; Hail-Germany</v>
      </c>
      <c r="B71" s="37" t="str">
        <f>'Input Sheet year 2'!B72</f>
        <v>Thunderstorms, Tornados &amp; Hail-Germany</v>
      </c>
      <c r="C71" s="29" t="str">
        <f>'Risk Master'!F71</f>
        <v>A16</v>
      </c>
      <c r="D71" s="73">
        <f>'Risk Master'!$G71*-1+('Risk Master'!$G71*'Event Trigger'!$D71*(1-'Input Sheet year 1'!H72))</f>
        <v>300000</v>
      </c>
      <c r="E71" s="73">
        <f>'Risk Master'!$G71*-1+('Risk Master'!$G71*'Event Trigger'!$D71*(1-'Input Sheet year 2'!I72))</f>
        <v>300000</v>
      </c>
      <c r="F71" s="73">
        <f>'Risk Master'!$G71*-1+('Risk Master'!$G71*'Event Trigger'!$D71*(1-'Input Sheet year 2'!J72))</f>
        <v>300000</v>
      </c>
      <c r="G71" s="73">
        <f>'Risk Master'!$G71*-1+('Risk Master'!$G71*'Event Trigger'!$D71*(1-'Input Sheet year 2'!K72))</f>
        <v>300000</v>
      </c>
      <c r="H71" s="73">
        <f>'Risk Master'!$G71*-1+('Risk Master'!$G71*'Event Trigger'!$D71*(1-'Input Sheet year 2'!L72))</f>
        <v>300000</v>
      </c>
      <c r="I71" s="73">
        <f>'Risk Master'!$G71*-1+('Risk Master'!$G71*'Event Trigger'!$D71*(1-'Input Sheet year 2'!M72))</f>
        <v>300000</v>
      </c>
      <c r="J71" s="73">
        <f>'Risk Master'!$G71*-1+('Risk Master'!$G71*'Event Trigger'!$D71*(1-'Input Sheet year 2'!N72))</f>
        <v>300000</v>
      </c>
      <c r="K71" s="73">
        <f>'Risk Master'!$G71*-1+('Risk Master'!$G71*'Event Trigger'!$D71*(1-'Input Sheet year 2'!O72))</f>
        <v>300000</v>
      </c>
      <c r="L71" s="73">
        <f>'Risk Master'!$G71*-1+('Risk Master'!$G71*'Event Trigger'!$D71*(1-'Input Sheet year 2'!P72))</f>
        <v>300000</v>
      </c>
      <c r="M71" s="73">
        <f>'Risk Master'!$G71*-1+('Risk Master'!$G71*'Event Trigger'!$D71*(1-'Input Sheet year 2'!Q72))</f>
        <v>300000</v>
      </c>
      <c r="N71" s="88"/>
      <c r="O71" s="88">
        <f t="shared" si="10"/>
        <v>-300000</v>
      </c>
      <c r="P71" s="88">
        <f t="shared" si="11"/>
        <v>-300000</v>
      </c>
      <c r="Q71" s="88">
        <f t="shared" si="12"/>
        <v>-300000</v>
      </c>
      <c r="R71" s="88">
        <f t="shared" si="13"/>
        <v>-300000</v>
      </c>
      <c r="S71" s="88">
        <f t="shared" si="14"/>
        <v>-300000</v>
      </c>
      <c r="T71" s="88">
        <f t="shared" si="15"/>
        <v>-300000</v>
      </c>
      <c r="U71" s="88">
        <f t="shared" si="16"/>
        <v>-300000</v>
      </c>
      <c r="V71" s="88">
        <f t="shared" si="17"/>
        <v>-300000</v>
      </c>
      <c r="W71" s="88">
        <f t="shared" si="18"/>
        <v>-300000</v>
      </c>
      <c r="X71" s="88">
        <f t="shared" si="19"/>
        <v>-300000</v>
      </c>
      <c r="Z71" s="51" t="s">
        <v>234</v>
      </c>
      <c r="AA71" s="52">
        <f>IF(VLOOKUP($Z71,'Asset Master'!$A:$J,6,FALSE)*COUNTIF('Event Trigger'!$C:$C,'Year 1 Results'!$Z71)&gt;SUMIF('Event Trigger'!$C:$C,$Z71,D:D),0,VLOOKUP($Z71,'Asset Master'!$A:$J,6,FALSE))</f>
        <v>0</v>
      </c>
      <c r="AB71" s="52">
        <f>IF(VLOOKUP($Z71,'Asset Master'!$A:$J,6,FALSE)*COUNTIF('Event Trigger'!$C:$C,'Year 1 Results'!$Z71)&gt;SUMIF('Event Trigger'!$C:$C,$Z71,E:E),0,VLOOKUP($Z71,'Asset Master'!$A:$J,6,FALSE))</f>
        <v>0</v>
      </c>
      <c r="AC71" s="52">
        <f>IF(VLOOKUP($Z71,'Asset Master'!$A:$J,6,FALSE)*COUNTIF('Event Trigger'!$C:$C,'Year 1 Results'!$Z71)&gt;SUMIF('Event Trigger'!$C:$C,$Z71,F:F),0,VLOOKUP($Z71,'Asset Master'!$A:$J,6,FALSE))</f>
        <v>0</v>
      </c>
      <c r="AD71" s="52">
        <f>IF(VLOOKUP($Z71,'Asset Master'!$A:$J,6,FALSE)*COUNTIF('Event Trigger'!$C:$C,'Year 1 Results'!$Z71)&gt;SUMIF('Event Trigger'!$C:$C,$Z71,G:G),0,VLOOKUP($Z71,'Asset Master'!$A:$J,6,FALSE))</f>
        <v>0</v>
      </c>
      <c r="AE71" s="52">
        <f>IF(VLOOKUP($Z71,'Asset Master'!$A:$J,6,FALSE)*COUNTIF('Event Trigger'!$C:$C,'Year 1 Results'!$Z71)&gt;SUMIF('Event Trigger'!$C:$C,$Z71,H:H),0,VLOOKUP($Z71,'Asset Master'!$A:$J,6,FALSE))</f>
        <v>0</v>
      </c>
      <c r="AF71" s="52">
        <f>IF(VLOOKUP($Z71,'Asset Master'!$A:$J,6,FALSE)*COUNTIF('Event Trigger'!$C:$C,'Year 1 Results'!$Z71)&gt;SUMIF('Event Trigger'!$C:$C,$Z71,I:I),0,VLOOKUP($Z71,'Asset Master'!$A:$J,6,FALSE))</f>
        <v>0</v>
      </c>
      <c r="AG71" s="52">
        <f>IF(VLOOKUP($Z71,'Asset Master'!$A:$J,6,FALSE)*COUNTIF('Event Trigger'!$C:$C,'Year 1 Results'!$Z71)&gt;SUMIF('Event Trigger'!$C:$C,$Z71,J:J),0,VLOOKUP($Z71,'Asset Master'!$A:$J,6,FALSE))</f>
        <v>0</v>
      </c>
      <c r="AH71" s="52">
        <f>IF(VLOOKUP($Z71,'Asset Master'!$A:$J,6,FALSE)*COUNTIF('Event Trigger'!$C:$C,'Year 1 Results'!$Z71)&gt;SUMIF('Event Trigger'!$C:$C,$Z71,K:K),0,VLOOKUP($Z71,'Asset Master'!$A:$J,6,FALSE))</f>
        <v>0</v>
      </c>
      <c r="AI71" s="52">
        <f>IF(VLOOKUP($Z71,'Asset Master'!$A:$J,6,FALSE)*COUNTIF('Event Trigger'!$C:$C,'Year 1 Results'!$Z71)&gt;SUMIF('Event Trigger'!$C:$C,$Z71,L:L),0,VLOOKUP($Z71,'Asset Master'!$A:$J,6,FALSE))</f>
        <v>0</v>
      </c>
      <c r="AJ71" s="52">
        <f>IF(VLOOKUP($Z71,'Asset Master'!$A:$J,6,FALSE)*COUNTIF('Event Trigger'!$C:$C,'Year 1 Results'!$Z71)&gt;SUMIF('Event Trigger'!$C:$C,$Z71,M:M),0,VLOOKUP($Z71,'Asset Master'!$A:$J,6,FALSE))</f>
        <v>0</v>
      </c>
    </row>
    <row r="72" spans="1:36" x14ac:dyDescent="0.25">
      <c r="A72" s="37" t="str">
        <f>'Risk Master'!B71:B183&amp;"-"&amp;'Risk Master'!D72</f>
        <v>Hurricane-Typhoon -Germany</v>
      </c>
      <c r="B72" s="37" t="str">
        <f>'Input Sheet year 2'!B73</f>
        <v>Hurricane-Typhoon -Germany</v>
      </c>
      <c r="C72" s="29" t="str">
        <f>'Risk Master'!F72</f>
        <v>A19</v>
      </c>
      <c r="D72" s="73">
        <f>'Risk Master'!$G72*-1+('Risk Master'!$G72*'Event Trigger'!$D72*(1-'Input Sheet year 1'!H73))</f>
        <v>500000</v>
      </c>
      <c r="E72" s="73">
        <f>'Risk Master'!$G72*-1+('Risk Master'!$G72*'Event Trigger'!$D72*(1-'Input Sheet year 2'!I73))</f>
        <v>500000</v>
      </c>
      <c r="F72" s="73">
        <f>'Risk Master'!$G72*-1+('Risk Master'!$G72*'Event Trigger'!$D72*(1-'Input Sheet year 2'!J73))</f>
        <v>500000</v>
      </c>
      <c r="G72" s="73">
        <f>'Risk Master'!$G72*-1+('Risk Master'!$G72*'Event Trigger'!$D72*(1-'Input Sheet year 2'!K73))</f>
        <v>500000</v>
      </c>
      <c r="H72" s="73">
        <f>'Risk Master'!$G72*-1+('Risk Master'!$G72*'Event Trigger'!$D72*(1-'Input Sheet year 2'!L73))</f>
        <v>500000</v>
      </c>
      <c r="I72" s="73">
        <f>'Risk Master'!$G72*-1+('Risk Master'!$G72*'Event Trigger'!$D72*(1-'Input Sheet year 2'!M73))</f>
        <v>500000</v>
      </c>
      <c r="J72" s="73">
        <f>'Risk Master'!$G72*-1+('Risk Master'!$G72*'Event Trigger'!$D72*(1-'Input Sheet year 2'!N73))</f>
        <v>500000</v>
      </c>
      <c r="K72" s="73">
        <f>'Risk Master'!$G72*-1+('Risk Master'!$G72*'Event Trigger'!$D72*(1-'Input Sheet year 2'!O73))</f>
        <v>500000</v>
      </c>
      <c r="L72" s="73">
        <f>'Risk Master'!$G72*-1+('Risk Master'!$G72*'Event Trigger'!$D72*(1-'Input Sheet year 2'!P73))</f>
        <v>500000</v>
      </c>
      <c r="M72" s="73">
        <f>'Risk Master'!$G72*-1+('Risk Master'!$G72*'Event Trigger'!$D72*(1-'Input Sheet year 2'!Q73))</f>
        <v>500000</v>
      </c>
      <c r="N72" s="88"/>
      <c r="O72" s="88">
        <f t="shared" si="10"/>
        <v>-500000</v>
      </c>
      <c r="P72" s="88">
        <f t="shared" si="11"/>
        <v>-500000</v>
      </c>
      <c r="Q72" s="88">
        <f t="shared" si="12"/>
        <v>-500000</v>
      </c>
      <c r="R72" s="88">
        <f t="shared" si="13"/>
        <v>-500000</v>
      </c>
      <c r="S72" s="88">
        <f t="shared" si="14"/>
        <v>-500000</v>
      </c>
      <c r="T72" s="88">
        <f t="shared" si="15"/>
        <v>-500000</v>
      </c>
      <c r="U72" s="88">
        <f t="shared" si="16"/>
        <v>-500000</v>
      </c>
      <c r="V72" s="88">
        <f t="shared" si="17"/>
        <v>-500000</v>
      </c>
      <c r="W72" s="88">
        <f t="shared" si="18"/>
        <v>-500000</v>
      </c>
      <c r="X72" s="88">
        <f t="shared" si="19"/>
        <v>-500000</v>
      </c>
      <c r="Z72" s="51" t="s">
        <v>235</v>
      </c>
      <c r="AA72" s="52">
        <f>IF(VLOOKUP($Z72,'Asset Master'!$A:$J,6,FALSE)*COUNTIF('Event Trigger'!$C:$C,'Year 1 Results'!$Z72)&gt;SUMIF('Event Trigger'!$C:$C,$Z72,D:D),0,VLOOKUP($Z72,'Asset Master'!$A:$J,6,FALSE))</f>
        <v>1000000</v>
      </c>
      <c r="AB72" s="52">
        <f>IF(VLOOKUP($Z72,'Asset Master'!$A:$J,6,FALSE)*COUNTIF('Event Trigger'!$C:$C,'Year 1 Results'!$Z72)&gt;SUMIF('Event Trigger'!$C:$C,$Z72,E:E),0,VLOOKUP($Z72,'Asset Master'!$A:$J,6,FALSE))</f>
        <v>1000000</v>
      </c>
      <c r="AC72" s="52">
        <f>IF(VLOOKUP($Z72,'Asset Master'!$A:$J,6,FALSE)*COUNTIF('Event Trigger'!$C:$C,'Year 1 Results'!$Z72)&gt;SUMIF('Event Trigger'!$C:$C,$Z72,F:F),0,VLOOKUP($Z72,'Asset Master'!$A:$J,6,FALSE))</f>
        <v>1000000</v>
      </c>
      <c r="AD72" s="52">
        <f>IF(VLOOKUP($Z72,'Asset Master'!$A:$J,6,FALSE)*COUNTIF('Event Trigger'!$C:$C,'Year 1 Results'!$Z72)&gt;SUMIF('Event Trigger'!$C:$C,$Z72,G:G),0,VLOOKUP($Z72,'Asset Master'!$A:$J,6,FALSE))</f>
        <v>1000000</v>
      </c>
      <c r="AE72" s="52">
        <f>IF(VLOOKUP($Z72,'Asset Master'!$A:$J,6,FALSE)*COUNTIF('Event Trigger'!$C:$C,'Year 1 Results'!$Z72)&gt;SUMIF('Event Trigger'!$C:$C,$Z72,H:H),0,VLOOKUP($Z72,'Asset Master'!$A:$J,6,FALSE))</f>
        <v>1000000</v>
      </c>
      <c r="AF72" s="52">
        <f>IF(VLOOKUP($Z72,'Asset Master'!$A:$J,6,FALSE)*COUNTIF('Event Trigger'!$C:$C,'Year 1 Results'!$Z72)&gt;SUMIF('Event Trigger'!$C:$C,$Z72,I:I),0,VLOOKUP($Z72,'Asset Master'!$A:$J,6,FALSE))</f>
        <v>1000000</v>
      </c>
      <c r="AG72" s="52">
        <f>IF(VLOOKUP($Z72,'Asset Master'!$A:$J,6,FALSE)*COUNTIF('Event Trigger'!$C:$C,'Year 1 Results'!$Z72)&gt;SUMIF('Event Trigger'!$C:$C,$Z72,J:J),0,VLOOKUP($Z72,'Asset Master'!$A:$J,6,FALSE))</f>
        <v>1000000</v>
      </c>
      <c r="AH72" s="52">
        <f>IF(VLOOKUP($Z72,'Asset Master'!$A:$J,6,FALSE)*COUNTIF('Event Trigger'!$C:$C,'Year 1 Results'!$Z72)&gt;SUMIF('Event Trigger'!$C:$C,$Z72,K:K),0,VLOOKUP($Z72,'Asset Master'!$A:$J,6,FALSE))</f>
        <v>1000000</v>
      </c>
      <c r="AI72" s="52">
        <f>IF(VLOOKUP($Z72,'Asset Master'!$A:$J,6,FALSE)*COUNTIF('Event Trigger'!$C:$C,'Year 1 Results'!$Z72)&gt;SUMIF('Event Trigger'!$C:$C,$Z72,L:L),0,VLOOKUP($Z72,'Asset Master'!$A:$J,6,FALSE))</f>
        <v>1000000</v>
      </c>
      <c r="AJ72" s="52">
        <f>IF(VLOOKUP($Z72,'Asset Master'!$A:$J,6,FALSE)*COUNTIF('Event Trigger'!$C:$C,'Year 1 Results'!$Z72)&gt;SUMIF('Event Trigger'!$C:$C,$Z72,M:M),0,VLOOKUP($Z72,'Asset Master'!$A:$J,6,FALSE))</f>
        <v>1000000</v>
      </c>
    </row>
    <row r="73" spans="1:36" x14ac:dyDescent="0.25">
      <c r="A73" s="37" t="str">
        <f>'Risk Master'!B73:B183&amp;"-"&amp;'Risk Master'!D73</f>
        <v>Earthquake-Germany</v>
      </c>
      <c r="B73" s="37" t="str">
        <f>'Input Sheet year 2'!B74</f>
        <v>Earthquake-Germany</v>
      </c>
      <c r="C73" s="29" t="str">
        <f>'Risk Master'!F73</f>
        <v>A19</v>
      </c>
      <c r="D73" s="73">
        <f>'Risk Master'!$G73*-1+('Risk Master'!$G73*'Event Trigger'!$D73*(1-'Input Sheet year 1'!H74))</f>
        <v>500000</v>
      </c>
      <c r="E73" s="73">
        <f>'Risk Master'!$G73*-1+('Risk Master'!$G73*'Event Trigger'!$D73*(1-'Input Sheet year 2'!I74))</f>
        <v>500000</v>
      </c>
      <c r="F73" s="73">
        <f>'Risk Master'!$G73*-1+('Risk Master'!$G73*'Event Trigger'!$D73*(1-'Input Sheet year 2'!J74))</f>
        <v>500000</v>
      </c>
      <c r="G73" s="73">
        <f>'Risk Master'!$G73*-1+('Risk Master'!$G73*'Event Trigger'!$D73*(1-'Input Sheet year 2'!K74))</f>
        <v>500000</v>
      </c>
      <c r="H73" s="73">
        <f>'Risk Master'!$G73*-1+('Risk Master'!$G73*'Event Trigger'!$D73*(1-'Input Sheet year 2'!L74))</f>
        <v>500000</v>
      </c>
      <c r="I73" s="73">
        <f>'Risk Master'!$G73*-1+('Risk Master'!$G73*'Event Trigger'!$D73*(1-'Input Sheet year 2'!M74))</f>
        <v>500000</v>
      </c>
      <c r="J73" s="73">
        <f>'Risk Master'!$G73*-1+('Risk Master'!$G73*'Event Trigger'!$D73*(1-'Input Sheet year 2'!N74))</f>
        <v>500000</v>
      </c>
      <c r="K73" s="73">
        <f>'Risk Master'!$G73*-1+('Risk Master'!$G73*'Event Trigger'!$D73*(1-'Input Sheet year 2'!O74))</f>
        <v>500000</v>
      </c>
      <c r="L73" s="73">
        <f>'Risk Master'!$G73*-1+('Risk Master'!$G73*'Event Trigger'!$D73*(1-'Input Sheet year 2'!P74))</f>
        <v>500000</v>
      </c>
      <c r="M73" s="73">
        <f>'Risk Master'!$G73*-1+('Risk Master'!$G73*'Event Trigger'!$D73*(1-'Input Sheet year 2'!Q74))</f>
        <v>500000</v>
      </c>
      <c r="N73" s="88"/>
      <c r="O73" s="88">
        <f t="shared" si="10"/>
        <v>-500000</v>
      </c>
      <c r="P73" s="88">
        <f t="shared" si="11"/>
        <v>-500000</v>
      </c>
      <c r="Q73" s="88">
        <f t="shared" si="12"/>
        <v>-500000</v>
      </c>
      <c r="R73" s="88">
        <f t="shared" si="13"/>
        <v>-500000</v>
      </c>
      <c r="S73" s="88">
        <f t="shared" si="14"/>
        <v>-500000</v>
      </c>
      <c r="T73" s="88">
        <f t="shared" si="15"/>
        <v>-500000</v>
      </c>
      <c r="U73" s="88">
        <f t="shared" si="16"/>
        <v>-500000</v>
      </c>
      <c r="V73" s="88">
        <f t="shared" si="17"/>
        <v>-500000</v>
      </c>
      <c r="W73" s="88">
        <f t="shared" si="18"/>
        <v>-500000</v>
      </c>
      <c r="X73" s="88">
        <f t="shared" si="19"/>
        <v>-500000</v>
      </c>
      <c r="Z73" s="51" t="s">
        <v>236</v>
      </c>
      <c r="AA73" s="52">
        <f>IF(VLOOKUP($Z73,'Asset Master'!$A:$J,6,FALSE)*COUNTIF('Event Trigger'!$C:$C,'Year 1 Results'!$Z73)&gt;SUMIF('Event Trigger'!$C:$C,$Z73,D:D),0,VLOOKUP($Z73,'Asset Master'!$A:$J,6,FALSE))</f>
        <v>500000</v>
      </c>
      <c r="AB73" s="52">
        <f>IF(VLOOKUP($Z73,'Asset Master'!$A:$J,6,FALSE)*COUNTIF('Event Trigger'!$C:$C,'Year 1 Results'!$Z73)&gt;SUMIF('Event Trigger'!$C:$C,$Z73,E:E),0,VLOOKUP($Z73,'Asset Master'!$A:$J,6,FALSE))</f>
        <v>500000</v>
      </c>
      <c r="AC73" s="52">
        <f>IF(VLOOKUP($Z73,'Asset Master'!$A:$J,6,FALSE)*COUNTIF('Event Trigger'!$C:$C,'Year 1 Results'!$Z73)&gt;SUMIF('Event Trigger'!$C:$C,$Z73,F:F),0,VLOOKUP($Z73,'Asset Master'!$A:$J,6,FALSE))</f>
        <v>500000</v>
      </c>
      <c r="AD73" s="52">
        <f>IF(VLOOKUP($Z73,'Asset Master'!$A:$J,6,FALSE)*COUNTIF('Event Trigger'!$C:$C,'Year 1 Results'!$Z73)&gt;SUMIF('Event Trigger'!$C:$C,$Z73,G:G),0,VLOOKUP($Z73,'Asset Master'!$A:$J,6,FALSE))</f>
        <v>500000</v>
      </c>
      <c r="AE73" s="52">
        <f>IF(VLOOKUP($Z73,'Asset Master'!$A:$J,6,FALSE)*COUNTIF('Event Trigger'!$C:$C,'Year 1 Results'!$Z73)&gt;SUMIF('Event Trigger'!$C:$C,$Z73,H:H),0,VLOOKUP($Z73,'Asset Master'!$A:$J,6,FALSE))</f>
        <v>500000</v>
      </c>
      <c r="AF73" s="52">
        <f>IF(VLOOKUP($Z73,'Asset Master'!$A:$J,6,FALSE)*COUNTIF('Event Trigger'!$C:$C,'Year 1 Results'!$Z73)&gt;SUMIF('Event Trigger'!$C:$C,$Z73,I:I),0,VLOOKUP($Z73,'Asset Master'!$A:$J,6,FALSE))</f>
        <v>500000</v>
      </c>
      <c r="AG73" s="52">
        <f>IF(VLOOKUP($Z73,'Asset Master'!$A:$J,6,FALSE)*COUNTIF('Event Trigger'!$C:$C,'Year 1 Results'!$Z73)&gt;SUMIF('Event Trigger'!$C:$C,$Z73,J:J),0,VLOOKUP($Z73,'Asset Master'!$A:$J,6,FALSE))</f>
        <v>500000</v>
      </c>
      <c r="AH73" s="52">
        <f>IF(VLOOKUP($Z73,'Asset Master'!$A:$J,6,FALSE)*COUNTIF('Event Trigger'!$C:$C,'Year 1 Results'!$Z73)&gt;SUMIF('Event Trigger'!$C:$C,$Z73,K:K),0,VLOOKUP($Z73,'Asset Master'!$A:$J,6,FALSE))</f>
        <v>500000</v>
      </c>
      <c r="AI73" s="52">
        <f>IF(VLOOKUP($Z73,'Asset Master'!$A:$J,6,FALSE)*COUNTIF('Event Trigger'!$C:$C,'Year 1 Results'!$Z73)&gt;SUMIF('Event Trigger'!$C:$C,$Z73,L:L),0,VLOOKUP($Z73,'Asset Master'!$A:$J,6,FALSE))</f>
        <v>500000</v>
      </c>
      <c r="AJ73" s="52">
        <f>IF(VLOOKUP($Z73,'Asset Master'!$A:$J,6,FALSE)*COUNTIF('Event Trigger'!$C:$C,'Year 1 Results'!$Z73)&gt;SUMIF('Event Trigger'!$C:$C,$Z73,M:M),0,VLOOKUP($Z73,'Asset Master'!$A:$J,6,FALSE))</f>
        <v>500000</v>
      </c>
    </row>
    <row r="74" spans="1:36" x14ac:dyDescent="0.25">
      <c r="A74" s="37" t="str">
        <f>'Risk Master'!B74:B183&amp;"-"&amp;'Risk Master'!D74</f>
        <v>Fire-Germany</v>
      </c>
      <c r="B74" s="37" t="str">
        <f>'Input Sheet year 2'!B75</f>
        <v>Fire-Germany</v>
      </c>
      <c r="C74" s="29" t="str">
        <f>'Risk Master'!F74</f>
        <v>A19</v>
      </c>
      <c r="D74" s="73">
        <f>'Risk Master'!$G74*-1+('Risk Master'!$G74*'Event Trigger'!$D74*(1-'Input Sheet year 1'!H75))</f>
        <v>500000</v>
      </c>
      <c r="E74" s="73">
        <f>'Risk Master'!$G74*-1+('Risk Master'!$G74*'Event Trigger'!$D74*(1-'Input Sheet year 2'!I75))</f>
        <v>500000</v>
      </c>
      <c r="F74" s="73">
        <f>'Risk Master'!$G74*-1+('Risk Master'!$G74*'Event Trigger'!$D74*(1-'Input Sheet year 2'!J75))</f>
        <v>500000</v>
      </c>
      <c r="G74" s="73">
        <f>'Risk Master'!$G74*-1+('Risk Master'!$G74*'Event Trigger'!$D74*(1-'Input Sheet year 2'!K75))</f>
        <v>500000</v>
      </c>
      <c r="H74" s="73">
        <f>'Risk Master'!$G74*-1+('Risk Master'!$G74*'Event Trigger'!$D74*(1-'Input Sheet year 2'!L75))</f>
        <v>500000</v>
      </c>
      <c r="I74" s="73">
        <f>'Risk Master'!$G74*-1+('Risk Master'!$G74*'Event Trigger'!$D74*(1-'Input Sheet year 2'!M75))</f>
        <v>500000</v>
      </c>
      <c r="J74" s="73">
        <f>'Risk Master'!$G74*-1+('Risk Master'!$G74*'Event Trigger'!$D74*(1-'Input Sheet year 2'!N75))</f>
        <v>500000</v>
      </c>
      <c r="K74" s="73">
        <f>'Risk Master'!$G74*-1+('Risk Master'!$G74*'Event Trigger'!$D74*(1-'Input Sheet year 2'!O75))</f>
        <v>500000</v>
      </c>
      <c r="L74" s="73">
        <f>'Risk Master'!$G74*-1+('Risk Master'!$G74*'Event Trigger'!$D74*(1-'Input Sheet year 2'!P75))</f>
        <v>500000</v>
      </c>
      <c r="M74" s="73">
        <f>'Risk Master'!$G74*-1+('Risk Master'!$G74*'Event Trigger'!$D74*(1-'Input Sheet year 2'!Q75))</f>
        <v>500000</v>
      </c>
      <c r="N74" s="88"/>
      <c r="O74" s="88">
        <f t="shared" si="10"/>
        <v>-500000</v>
      </c>
      <c r="P74" s="88">
        <f t="shared" si="11"/>
        <v>-500000</v>
      </c>
      <c r="Q74" s="88">
        <f t="shared" si="12"/>
        <v>-500000</v>
      </c>
      <c r="R74" s="88">
        <f t="shared" si="13"/>
        <v>-500000</v>
      </c>
      <c r="S74" s="88">
        <f t="shared" si="14"/>
        <v>-500000</v>
      </c>
      <c r="T74" s="88">
        <f t="shared" si="15"/>
        <v>-500000</v>
      </c>
      <c r="U74" s="88">
        <f t="shared" si="16"/>
        <v>-500000</v>
      </c>
      <c r="V74" s="88">
        <f t="shared" si="17"/>
        <v>-500000</v>
      </c>
      <c r="W74" s="88">
        <f t="shared" si="18"/>
        <v>-500000</v>
      </c>
      <c r="X74" s="88">
        <f t="shared" si="19"/>
        <v>-500000</v>
      </c>
      <c r="Z74" s="51" t="s">
        <v>237</v>
      </c>
      <c r="AA74" s="52">
        <f>IF(VLOOKUP($Z74,'Asset Master'!$A:$J,6,FALSE)*COUNTIF('Event Trigger'!$C:$C,'Year 1 Results'!$Z74)&gt;SUMIF('Event Trigger'!$C:$C,$Z74,D:D),0,VLOOKUP($Z74,'Asset Master'!$A:$J,6,FALSE))</f>
        <v>200000</v>
      </c>
      <c r="AB74" s="52">
        <f>IF(VLOOKUP($Z74,'Asset Master'!$A:$J,6,FALSE)*COUNTIF('Event Trigger'!$C:$C,'Year 1 Results'!$Z74)&gt;SUMIF('Event Trigger'!$C:$C,$Z74,E:E),0,VLOOKUP($Z74,'Asset Master'!$A:$J,6,FALSE))</f>
        <v>200000</v>
      </c>
      <c r="AC74" s="52">
        <f>IF(VLOOKUP($Z74,'Asset Master'!$A:$J,6,FALSE)*COUNTIF('Event Trigger'!$C:$C,'Year 1 Results'!$Z74)&gt;SUMIF('Event Trigger'!$C:$C,$Z74,F:F),0,VLOOKUP($Z74,'Asset Master'!$A:$J,6,FALSE))</f>
        <v>200000</v>
      </c>
      <c r="AD74" s="52">
        <f>IF(VLOOKUP($Z74,'Asset Master'!$A:$J,6,FALSE)*COUNTIF('Event Trigger'!$C:$C,'Year 1 Results'!$Z74)&gt;SUMIF('Event Trigger'!$C:$C,$Z74,G:G),0,VLOOKUP($Z74,'Asset Master'!$A:$J,6,FALSE))</f>
        <v>200000</v>
      </c>
      <c r="AE74" s="52">
        <f>IF(VLOOKUP($Z74,'Asset Master'!$A:$J,6,FALSE)*COUNTIF('Event Trigger'!$C:$C,'Year 1 Results'!$Z74)&gt;SUMIF('Event Trigger'!$C:$C,$Z74,H:H),0,VLOOKUP($Z74,'Asset Master'!$A:$J,6,FALSE))</f>
        <v>200000</v>
      </c>
      <c r="AF74" s="52">
        <f>IF(VLOOKUP($Z74,'Asset Master'!$A:$J,6,FALSE)*COUNTIF('Event Trigger'!$C:$C,'Year 1 Results'!$Z74)&gt;SUMIF('Event Trigger'!$C:$C,$Z74,I:I),0,VLOOKUP($Z74,'Asset Master'!$A:$J,6,FALSE))</f>
        <v>200000</v>
      </c>
      <c r="AG74" s="52">
        <f>IF(VLOOKUP($Z74,'Asset Master'!$A:$J,6,FALSE)*COUNTIF('Event Trigger'!$C:$C,'Year 1 Results'!$Z74)&gt;SUMIF('Event Trigger'!$C:$C,$Z74,J:J),0,VLOOKUP($Z74,'Asset Master'!$A:$J,6,FALSE))</f>
        <v>200000</v>
      </c>
      <c r="AH74" s="52">
        <f>IF(VLOOKUP($Z74,'Asset Master'!$A:$J,6,FALSE)*COUNTIF('Event Trigger'!$C:$C,'Year 1 Results'!$Z74)&gt;SUMIF('Event Trigger'!$C:$C,$Z74,K:K),0,VLOOKUP($Z74,'Asset Master'!$A:$J,6,FALSE))</f>
        <v>200000</v>
      </c>
      <c r="AI74" s="52">
        <f>IF(VLOOKUP($Z74,'Asset Master'!$A:$J,6,FALSE)*COUNTIF('Event Trigger'!$C:$C,'Year 1 Results'!$Z74)&gt;SUMIF('Event Trigger'!$C:$C,$Z74,L:L),0,VLOOKUP($Z74,'Asset Master'!$A:$J,6,FALSE))</f>
        <v>200000</v>
      </c>
      <c r="AJ74" s="52">
        <f>IF(VLOOKUP($Z74,'Asset Master'!$A:$J,6,FALSE)*COUNTIF('Event Trigger'!$C:$C,'Year 1 Results'!$Z74)&gt;SUMIF('Event Trigger'!$C:$C,$Z74,M:M),0,VLOOKUP($Z74,'Asset Master'!$A:$J,6,FALSE))</f>
        <v>200000</v>
      </c>
    </row>
    <row r="75" spans="1:36" ht="25.5" x14ac:dyDescent="0.25">
      <c r="A75" s="37" t="str">
        <f>'Risk Master'!B75:B183&amp;"-"&amp;'Risk Master'!D75</f>
        <v>Thunderstorms, Tornados &amp; Hail-Germany</v>
      </c>
      <c r="B75" s="37" t="str">
        <f>'Input Sheet year 2'!B76</f>
        <v>Thunderstorms, Tornados &amp; Hail-Germany</v>
      </c>
      <c r="C75" s="29" t="str">
        <f>'Risk Master'!F75</f>
        <v>A19</v>
      </c>
      <c r="D75" s="73">
        <f>'Risk Master'!$G75*-1+('Risk Master'!$G75*'Event Trigger'!$D75*(1-'Input Sheet year 1'!H76))</f>
        <v>500000</v>
      </c>
      <c r="E75" s="73">
        <f>'Risk Master'!$G75*-1+('Risk Master'!$G75*'Event Trigger'!$D75*(1-'Input Sheet year 2'!I76))</f>
        <v>500000</v>
      </c>
      <c r="F75" s="73">
        <f>'Risk Master'!$G75*-1+('Risk Master'!$G75*'Event Trigger'!$D75*(1-'Input Sheet year 2'!J76))</f>
        <v>500000</v>
      </c>
      <c r="G75" s="73">
        <f>'Risk Master'!$G75*-1+('Risk Master'!$G75*'Event Trigger'!$D75*(1-'Input Sheet year 2'!K76))</f>
        <v>500000</v>
      </c>
      <c r="H75" s="73">
        <f>'Risk Master'!$G75*-1+('Risk Master'!$G75*'Event Trigger'!$D75*(1-'Input Sheet year 2'!L76))</f>
        <v>500000</v>
      </c>
      <c r="I75" s="73">
        <f>'Risk Master'!$G75*-1+('Risk Master'!$G75*'Event Trigger'!$D75*(1-'Input Sheet year 2'!M76))</f>
        <v>500000</v>
      </c>
      <c r="J75" s="73">
        <f>'Risk Master'!$G75*-1+('Risk Master'!$G75*'Event Trigger'!$D75*(1-'Input Sheet year 2'!N76))</f>
        <v>500000</v>
      </c>
      <c r="K75" s="73">
        <f>'Risk Master'!$G75*-1+('Risk Master'!$G75*'Event Trigger'!$D75*(1-'Input Sheet year 2'!O76))</f>
        <v>500000</v>
      </c>
      <c r="L75" s="73">
        <f>'Risk Master'!$G75*-1+('Risk Master'!$G75*'Event Trigger'!$D75*(1-'Input Sheet year 2'!P76))</f>
        <v>500000</v>
      </c>
      <c r="M75" s="73">
        <f>'Risk Master'!$G75*-1+('Risk Master'!$G75*'Event Trigger'!$D75*(1-'Input Sheet year 2'!Q76))</f>
        <v>500000</v>
      </c>
      <c r="N75" s="88"/>
      <c r="O75" s="88">
        <f t="shared" si="10"/>
        <v>-500000</v>
      </c>
      <c r="P75" s="88">
        <f t="shared" si="11"/>
        <v>-500000</v>
      </c>
      <c r="Q75" s="88">
        <f t="shared" si="12"/>
        <v>-500000</v>
      </c>
      <c r="R75" s="88">
        <f t="shared" si="13"/>
        <v>-500000</v>
      </c>
      <c r="S75" s="88">
        <f t="shared" si="14"/>
        <v>-500000</v>
      </c>
      <c r="T75" s="88">
        <f t="shared" si="15"/>
        <v>-500000</v>
      </c>
      <c r="U75" s="88">
        <f t="shared" si="16"/>
        <v>-500000</v>
      </c>
      <c r="V75" s="88">
        <f t="shared" si="17"/>
        <v>-500000</v>
      </c>
      <c r="W75" s="88">
        <f t="shared" si="18"/>
        <v>-500000</v>
      </c>
      <c r="X75" s="88">
        <f t="shared" si="19"/>
        <v>-500000</v>
      </c>
      <c r="Z75" s="51" t="s">
        <v>238</v>
      </c>
      <c r="AA75" s="52">
        <f>IF(VLOOKUP($Z75,'Asset Master'!$A:$J,6,FALSE)*COUNTIF('Event Trigger'!$C:$C,'Year 1 Results'!$Z75)&gt;SUMIF('Event Trigger'!$C:$C,$Z75,D:D),0,VLOOKUP($Z75,'Asset Master'!$A:$J,6,FALSE))</f>
        <v>0</v>
      </c>
      <c r="AB75" s="52">
        <f>IF(VLOOKUP($Z75,'Asset Master'!$A:$J,6,FALSE)*COUNTIF('Event Trigger'!$C:$C,'Year 1 Results'!$Z75)&gt;SUMIF('Event Trigger'!$C:$C,$Z75,E:E),0,VLOOKUP($Z75,'Asset Master'!$A:$J,6,FALSE))</f>
        <v>0</v>
      </c>
      <c r="AC75" s="52">
        <f>IF(VLOOKUP($Z75,'Asset Master'!$A:$J,6,FALSE)*COUNTIF('Event Trigger'!$C:$C,'Year 1 Results'!$Z75)&gt;SUMIF('Event Trigger'!$C:$C,$Z75,F:F),0,VLOOKUP($Z75,'Asset Master'!$A:$J,6,FALSE))</f>
        <v>0</v>
      </c>
      <c r="AD75" s="52">
        <f>IF(VLOOKUP($Z75,'Asset Master'!$A:$J,6,FALSE)*COUNTIF('Event Trigger'!$C:$C,'Year 1 Results'!$Z75)&gt;SUMIF('Event Trigger'!$C:$C,$Z75,G:G),0,VLOOKUP($Z75,'Asset Master'!$A:$J,6,FALSE))</f>
        <v>0</v>
      </c>
      <c r="AE75" s="52">
        <f>IF(VLOOKUP($Z75,'Asset Master'!$A:$J,6,FALSE)*COUNTIF('Event Trigger'!$C:$C,'Year 1 Results'!$Z75)&gt;SUMIF('Event Trigger'!$C:$C,$Z75,H:H),0,VLOOKUP($Z75,'Asset Master'!$A:$J,6,FALSE))</f>
        <v>0</v>
      </c>
      <c r="AF75" s="52">
        <f>IF(VLOOKUP($Z75,'Asset Master'!$A:$J,6,FALSE)*COUNTIF('Event Trigger'!$C:$C,'Year 1 Results'!$Z75)&gt;SUMIF('Event Trigger'!$C:$C,$Z75,I:I),0,VLOOKUP($Z75,'Asset Master'!$A:$J,6,FALSE))</f>
        <v>0</v>
      </c>
      <c r="AG75" s="52">
        <f>IF(VLOOKUP($Z75,'Asset Master'!$A:$J,6,FALSE)*COUNTIF('Event Trigger'!$C:$C,'Year 1 Results'!$Z75)&gt;SUMIF('Event Trigger'!$C:$C,$Z75,J:J),0,VLOOKUP($Z75,'Asset Master'!$A:$J,6,FALSE))</f>
        <v>0</v>
      </c>
      <c r="AH75" s="52">
        <f>IF(VLOOKUP($Z75,'Asset Master'!$A:$J,6,FALSE)*COUNTIF('Event Trigger'!$C:$C,'Year 1 Results'!$Z75)&gt;SUMIF('Event Trigger'!$C:$C,$Z75,K:K),0,VLOOKUP($Z75,'Asset Master'!$A:$J,6,FALSE))</f>
        <v>0</v>
      </c>
      <c r="AI75" s="52">
        <f>IF(VLOOKUP($Z75,'Asset Master'!$A:$J,6,FALSE)*COUNTIF('Event Trigger'!$C:$C,'Year 1 Results'!$Z75)&gt;SUMIF('Event Trigger'!$C:$C,$Z75,L:L),0,VLOOKUP($Z75,'Asset Master'!$A:$J,6,FALSE))</f>
        <v>0</v>
      </c>
      <c r="AJ75" s="52">
        <f>IF(VLOOKUP($Z75,'Asset Master'!$A:$J,6,FALSE)*COUNTIF('Event Trigger'!$C:$C,'Year 1 Results'!$Z75)&gt;SUMIF('Event Trigger'!$C:$C,$Z75,M:M),0,VLOOKUP($Z75,'Asset Master'!$A:$J,6,FALSE))</f>
        <v>0</v>
      </c>
    </row>
    <row r="76" spans="1:36" x14ac:dyDescent="0.25">
      <c r="A76" s="37" t="str">
        <f>'Risk Master'!B76:B183&amp;"-"&amp;'Risk Master'!D76</f>
        <v>Hurricane-Typhoon -Germany</v>
      </c>
      <c r="B76" s="37" t="str">
        <f>'Input Sheet year 2'!B77</f>
        <v>Hurricane-Typhoon -Germany</v>
      </c>
      <c r="C76" s="29" t="str">
        <f>'Risk Master'!F76</f>
        <v>A22</v>
      </c>
      <c r="D76" s="73">
        <f>'Risk Master'!$G76*-1+('Risk Master'!$G76*'Event Trigger'!$D76*(1-'Input Sheet year 1'!H77))</f>
        <v>1000000</v>
      </c>
      <c r="E76" s="73">
        <f>'Risk Master'!$G76*-1+('Risk Master'!$G76*'Event Trigger'!$D76*(1-'Input Sheet year 2'!I77))</f>
        <v>1000000</v>
      </c>
      <c r="F76" s="73">
        <f>'Risk Master'!$G76*-1+('Risk Master'!$G76*'Event Trigger'!$D76*(1-'Input Sheet year 2'!J77))</f>
        <v>1000000</v>
      </c>
      <c r="G76" s="73">
        <f>'Risk Master'!$G76*-1+('Risk Master'!$G76*'Event Trigger'!$D76*(1-'Input Sheet year 2'!K77))</f>
        <v>1000000</v>
      </c>
      <c r="H76" s="73">
        <f>'Risk Master'!$G76*-1+('Risk Master'!$G76*'Event Trigger'!$D76*(1-'Input Sheet year 2'!L77))</f>
        <v>1000000</v>
      </c>
      <c r="I76" s="73">
        <f>'Risk Master'!$G76*-1+('Risk Master'!$G76*'Event Trigger'!$D76*(1-'Input Sheet year 2'!M77))</f>
        <v>1000000</v>
      </c>
      <c r="J76" s="73">
        <f>'Risk Master'!$G76*-1+('Risk Master'!$G76*'Event Trigger'!$D76*(1-'Input Sheet year 2'!N77))</f>
        <v>1000000</v>
      </c>
      <c r="K76" s="73">
        <f>'Risk Master'!$G76*-1+('Risk Master'!$G76*'Event Trigger'!$D76*(1-'Input Sheet year 2'!O77))</f>
        <v>1000000</v>
      </c>
      <c r="L76" s="73">
        <f>'Risk Master'!$G76*-1+('Risk Master'!$G76*'Event Trigger'!$D76*(1-'Input Sheet year 2'!P77))</f>
        <v>1000000</v>
      </c>
      <c r="M76" s="73">
        <f>'Risk Master'!$G76*-1+('Risk Master'!$G76*'Event Trigger'!$D76*(1-'Input Sheet year 2'!Q77))</f>
        <v>1000000</v>
      </c>
      <c r="N76" s="88"/>
      <c r="O76" s="88">
        <f t="shared" si="10"/>
        <v>-1000000</v>
      </c>
      <c r="P76" s="88">
        <f t="shared" si="11"/>
        <v>-1000000</v>
      </c>
      <c r="Q76" s="88">
        <f t="shared" si="12"/>
        <v>-1000000</v>
      </c>
      <c r="R76" s="88">
        <f t="shared" si="13"/>
        <v>-1000000</v>
      </c>
      <c r="S76" s="88">
        <f t="shared" si="14"/>
        <v>-1000000</v>
      </c>
      <c r="T76" s="88">
        <f t="shared" si="15"/>
        <v>-1000000</v>
      </c>
      <c r="U76" s="88">
        <f t="shared" si="16"/>
        <v>-1000000</v>
      </c>
      <c r="V76" s="88">
        <f t="shared" si="17"/>
        <v>-1000000</v>
      </c>
      <c r="W76" s="88">
        <f t="shared" si="18"/>
        <v>-1000000</v>
      </c>
      <c r="X76" s="88">
        <f t="shared" si="19"/>
        <v>-1000000</v>
      </c>
      <c r="Z76" s="51" t="s">
        <v>239</v>
      </c>
      <c r="AA76" s="52">
        <f>IF(VLOOKUP($Z76,'Asset Master'!$A:$J,6,FALSE)*COUNTIF('Event Trigger'!$C:$C,'Year 1 Results'!$Z76)&gt;SUMIF('Event Trigger'!$C:$C,$Z76,D:D),0,VLOOKUP($Z76,'Asset Master'!$A:$J,6,FALSE))</f>
        <v>200000</v>
      </c>
      <c r="AB76" s="52">
        <f>IF(VLOOKUP($Z76,'Asset Master'!$A:$J,6,FALSE)*COUNTIF('Event Trigger'!$C:$C,'Year 1 Results'!$Z76)&gt;SUMIF('Event Trigger'!$C:$C,$Z76,E:E),0,VLOOKUP($Z76,'Asset Master'!$A:$J,6,FALSE))</f>
        <v>200000</v>
      </c>
      <c r="AC76" s="52">
        <f>IF(VLOOKUP($Z76,'Asset Master'!$A:$J,6,FALSE)*COUNTIF('Event Trigger'!$C:$C,'Year 1 Results'!$Z76)&gt;SUMIF('Event Trigger'!$C:$C,$Z76,F:F),0,VLOOKUP($Z76,'Asset Master'!$A:$J,6,FALSE))</f>
        <v>200000</v>
      </c>
      <c r="AD76" s="52">
        <f>IF(VLOOKUP($Z76,'Asset Master'!$A:$J,6,FALSE)*COUNTIF('Event Trigger'!$C:$C,'Year 1 Results'!$Z76)&gt;SUMIF('Event Trigger'!$C:$C,$Z76,G:G),0,VLOOKUP($Z76,'Asset Master'!$A:$J,6,FALSE))</f>
        <v>200000</v>
      </c>
      <c r="AE76" s="52">
        <f>IF(VLOOKUP($Z76,'Asset Master'!$A:$J,6,FALSE)*COUNTIF('Event Trigger'!$C:$C,'Year 1 Results'!$Z76)&gt;SUMIF('Event Trigger'!$C:$C,$Z76,H:H),0,VLOOKUP($Z76,'Asset Master'!$A:$J,6,FALSE))</f>
        <v>200000</v>
      </c>
      <c r="AF76" s="52">
        <f>IF(VLOOKUP($Z76,'Asset Master'!$A:$J,6,FALSE)*COUNTIF('Event Trigger'!$C:$C,'Year 1 Results'!$Z76)&gt;SUMIF('Event Trigger'!$C:$C,$Z76,I:I),0,VLOOKUP($Z76,'Asset Master'!$A:$J,6,FALSE))</f>
        <v>200000</v>
      </c>
      <c r="AG76" s="52">
        <f>IF(VLOOKUP($Z76,'Asset Master'!$A:$J,6,FALSE)*COUNTIF('Event Trigger'!$C:$C,'Year 1 Results'!$Z76)&gt;SUMIF('Event Trigger'!$C:$C,$Z76,J:J),0,VLOOKUP($Z76,'Asset Master'!$A:$J,6,FALSE))</f>
        <v>200000</v>
      </c>
      <c r="AH76" s="52">
        <f>IF(VLOOKUP($Z76,'Asset Master'!$A:$J,6,FALSE)*COUNTIF('Event Trigger'!$C:$C,'Year 1 Results'!$Z76)&gt;SUMIF('Event Trigger'!$C:$C,$Z76,K:K),0,VLOOKUP($Z76,'Asset Master'!$A:$J,6,FALSE))</f>
        <v>200000</v>
      </c>
      <c r="AI76" s="52">
        <f>IF(VLOOKUP($Z76,'Asset Master'!$A:$J,6,FALSE)*COUNTIF('Event Trigger'!$C:$C,'Year 1 Results'!$Z76)&gt;SUMIF('Event Trigger'!$C:$C,$Z76,L:L),0,VLOOKUP($Z76,'Asset Master'!$A:$J,6,FALSE))</f>
        <v>200000</v>
      </c>
      <c r="AJ76" s="52">
        <f>IF(VLOOKUP($Z76,'Asset Master'!$A:$J,6,FALSE)*COUNTIF('Event Trigger'!$C:$C,'Year 1 Results'!$Z76)&gt;SUMIF('Event Trigger'!$C:$C,$Z76,M:M),0,VLOOKUP($Z76,'Asset Master'!$A:$J,6,FALSE))</f>
        <v>200000</v>
      </c>
    </row>
    <row r="77" spans="1:36" x14ac:dyDescent="0.25">
      <c r="A77" s="37" t="str">
        <f>'Risk Master'!B77:B183&amp;"-"&amp;'Risk Master'!D77</f>
        <v>Earthquake-Germany</v>
      </c>
      <c r="B77" s="37" t="str">
        <f>'Input Sheet year 2'!B78</f>
        <v>Earthquake-Germany</v>
      </c>
      <c r="C77" s="29" t="str">
        <f>'Risk Master'!F77</f>
        <v>A22</v>
      </c>
      <c r="D77" s="73">
        <f>'Risk Master'!$G77*-1+('Risk Master'!$G77*'Event Trigger'!$D77*(1-'Input Sheet year 1'!H78))</f>
        <v>1000000</v>
      </c>
      <c r="E77" s="73">
        <f>'Risk Master'!$G77*-1+('Risk Master'!$G77*'Event Trigger'!$D77*(1-'Input Sheet year 2'!I78))</f>
        <v>1000000</v>
      </c>
      <c r="F77" s="73">
        <f>'Risk Master'!$G77*-1+('Risk Master'!$G77*'Event Trigger'!$D77*(1-'Input Sheet year 2'!J78))</f>
        <v>1000000</v>
      </c>
      <c r="G77" s="73">
        <f>'Risk Master'!$G77*-1+('Risk Master'!$G77*'Event Trigger'!$D77*(1-'Input Sheet year 2'!K78))</f>
        <v>1000000</v>
      </c>
      <c r="H77" s="73">
        <f>'Risk Master'!$G77*-1+('Risk Master'!$G77*'Event Trigger'!$D77*(1-'Input Sheet year 2'!L78))</f>
        <v>1000000</v>
      </c>
      <c r="I77" s="73">
        <f>'Risk Master'!$G77*-1+('Risk Master'!$G77*'Event Trigger'!$D77*(1-'Input Sheet year 2'!M78))</f>
        <v>1000000</v>
      </c>
      <c r="J77" s="73">
        <f>'Risk Master'!$G77*-1+('Risk Master'!$G77*'Event Trigger'!$D77*(1-'Input Sheet year 2'!N78))</f>
        <v>1000000</v>
      </c>
      <c r="K77" s="73">
        <f>'Risk Master'!$G77*-1+('Risk Master'!$G77*'Event Trigger'!$D77*(1-'Input Sheet year 2'!O78))</f>
        <v>1000000</v>
      </c>
      <c r="L77" s="73">
        <f>'Risk Master'!$G77*-1+('Risk Master'!$G77*'Event Trigger'!$D77*(1-'Input Sheet year 2'!P78))</f>
        <v>1000000</v>
      </c>
      <c r="M77" s="73">
        <f>'Risk Master'!$G77*-1+('Risk Master'!$G77*'Event Trigger'!$D77*(1-'Input Sheet year 2'!Q78))</f>
        <v>1000000</v>
      </c>
      <c r="N77" s="88"/>
      <c r="O77" s="88">
        <f t="shared" si="10"/>
        <v>-1000000</v>
      </c>
      <c r="P77" s="88">
        <f t="shared" si="11"/>
        <v>-1000000</v>
      </c>
      <c r="Q77" s="88">
        <f t="shared" si="12"/>
        <v>-1000000</v>
      </c>
      <c r="R77" s="88">
        <f t="shared" si="13"/>
        <v>-1000000</v>
      </c>
      <c r="S77" s="88">
        <f t="shared" si="14"/>
        <v>-1000000</v>
      </c>
      <c r="T77" s="88">
        <f t="shared" si="15"/>
        <v>-1000000</v>
      </c>
      <c r="U77" s="88">
        <f t="shared" si="16"/>
        <v>-1000000</v>
      </c>
      <c r="V77" s="88">
        <f t="shared" si="17"/>
        <v>-1000000</v>
      </c>
      <c r="W77" s="88">
        <f t="shared" si="18"/>
        <v>-1000000</v>
      </c>
      <c r="X77" s="88">
        <f t="shared" si="19"/>
        <v>-1000000</v>
      </c>
      <c r="Z77" s="51" t="s">
        <v>240</v>
      </c>
      <c r="AA77" s="52">
        <f>IF(VLOOKUP($Z77,'Asset Master'!$A:$J,6,FALSE)*COUNTIF('Event Trigger'!$C:$C,'Year 1 Results'!$Z77)&gt;SUMIF('Event Trigger'!$C:$C,$Z77,D:D),0,VLOOKUP($Z77,'Asset Master'!$A:$J,6,FALSE))</f>
        <v>0</v>
      </c>
      <c r="AB77" s="52">
        <f>IF(VLOOKUP($Z77,'Asset Master'!$A:$J,6,FALSE)*COUNTIF('Event Trigger'!$C:$C,'Year 1 Results'!$Z77)&gt;SUMIF('Event Trigger'!$C:$C,$Z77,E:E),0,VLOOKUP($Z77,'Asset Master'!$A:$J,6,FALSE))</f>
        <v>0</v>
      </c>
      <c r="AC77" s="52">
        <f>IF(VLOOKUP($Z77,'Asset Master'!$A:$J,6,FALSE)*COUNTIF('Event Trigger'!$C:$C,'Year 1 Results'!$Z77)&gt;SUMIF('Event Trigger'!$C:$C,$Z77,F:F),0,VLOOKUP($Z77,'Asset Master'!$A:$J,6,FALSE))</f>
        <v>0</v>
      </c>
      <c r="AD77" s="52">
        <f>IF(VLOOKUP($Z77,'Asset Master'!$A:$J,6,FALSE)*COUNTIF('Event Trigger'!$C:$C,'Year 1 Results'!$Z77)&gt;SUMIF('Event Trigger'!$C:$C,$Z77,G:G),0,VLOOKUP($Z77,'Asset Master'!$A:$J,6,FALSE))</f>
        <v>0</v>
      </c>
      <c r="AE77" s="52">
        <f>IF(VLOOKUP($Z77,'Asset Master'!$A:$J,6,FALSE)*COUNTIF('Event Trigger'!$C:$C,'Year 1 Results'!$Z77)&gt;SUMIF('Event Trigger'!$C:$C,$Z77,H:H),0,VLOOKUP($Z77,'Asset Master'!$A:$J,6,FALSE))</f>
        <v>0</v>
      </c>
      <c r="AF77" s="52">
        <f>IF(VLOOKUP($Z77,'Asset Master'!$A:$J,6,FALSE)*COUNTIF('Event Trigger'!$C:$C,'Year 1 Results'!$Z77)&gt;SUMIF('Event Trigger'!$C:$C,$Z77,I:I),0,VLOOKUP($Z77,'Asset Master'!$A:$J,6,FALSE))</f>
        <v>0</v>
      </c>
      <c r="AG77" s="52">
        <f>IF(VLOOKUP($Z77,'Asset Master'!$A:$J,6,FALSE)*COUNTIF('Event Trigger'!$C:$C,'Year 1 Results'!$Z77)&gt;SUMIF('Event Trigger'!$C:$C,$Z77,J:J),0,VLOOKUP($Z77,'Asset Master'!$A:$J,6,FALSE))</f>
        <v>0</v>
      </c>
      <c r="AH77" s="52">
        <f>IF(VLOOKUP($Z77,'Asset Master'!$A:$J,6,FALSE)*COUNTIF('Event Trigger'!$C:$C,'Year 1 Results'!$Z77)&gt;SUMIF('Event Trigger'!$C:$C,$Z77,K:K),0,VLOOKUP($Z77,'Asset Master'!$A:$J,6,FALSE))</f>
        <v>0</v>
      </c>
      <c r="AI77" s="52">
        <f>IF(VLOOKUP($Z77,'Asset Master'!$A:$J,6,FALSE)*COUNTIF('Event Trigger'!$C:$C,'Year 1 Results'!$Z77)&gt;SUMIF('Event Trigger'!$C:$C,$Z77,L:L),0,VLOOKUP($Z77,'Asset Master'!$A:$J,6,FALSE))</f>
        <v>0</v>
      </c>
      <c r="AJ77" s="52">
        <f>IF(VLOOKUP($Z77,'Asset Master'!$A:$J,6,FALSE)*COUNTIF('Event Trigger'!$C:$C,'Year 1 Results'!$Z77)&gt;SUMIF('Event Trigger'!$C:$C,$Z77,M:M),0,VLOOKUP($Z77,'Asset Master'!$A:$J,6,FALSE))</f>
        <v>0</v>
      </c>
    </row>
    <row r="78" spans="1:36" x14ac:dyDescent="0.25">
      <c r="A78" s="37" t="str">
        <f>'Risk Master'!B78:B183&amp;"-"&amp;'Risk Master'!D78</f>
        <v>Fire-Germany</v>
      </c>
      <c r="B78" s="37" t="str">
        <f>'Input Sheet year 2'!B79</f>
        <v>Fire-Germany</v>
      </c>
      <c r="C78" s="29" t="str">
        <f>'Risk Master'!F78</f>
        <v>A22</v>
      </c>
      <c r="D78" s="73">
        <f>'Risk Master'!$G78*-1+('Risk Master'!$G78*'Event Trigger'!$D78*(1-'Input Sheet year 1'!H79))</f>
        <v>1000000</v>
      </c>
      <c r="E78" s="73">
        <f>'Risk Master'!$G78*-1+('Risk Master'!$G78*'Event Trigger'!$D78*(1-'Input Sheet year 2'!I79))</f>
        <v>1000000</v>
      </c>
      <c r="F78" s="73">
        <f>'Risk Master'!$G78*-1+('Risk Master'!$G78*'Event Trigger'!$D78*(1-'Input Sheet year 2'!J79))</f>
        <v>1000000</v>
      </c>
      <c r="G78" s="73">
        <f>'Risk Master'!$G78*-1+('Risk Master'!$G78*'Event Trigger'!$D78*(1-'Input Sheet year 2'!K79))</f>
        <v>1000000</v>
      </c>
      <c r="H78" s="73">
        <f>'Risk Master'!$G78*-1+('Risk Master'!$G78*'Event Trigger'!$D78*(1-'Input Sheet year 2'!L79))</f>
        <v>1000000</v>
      </c>
      <c r="I78" s="73">
        <f>'Risk Master'!$G78*-1+('Risk Master'!$G78*'Event Trigger'!$D78*(1-'Input Sheet year 2'!M79))</f>
        <v>1000000</v>
      </c>
      <c r="J78" s="73">
        <f>'Risk Master'!$G78*-1+('Risk Master'!$G78*'Event Trigger'!$D78*(1-'Input Sheet year 2'!N79))</f>
        <v>1000000</v>
      </c>
      <c r="K78" s="73">
        <f>'Risk Master'!$G78*-1+('Risk Master'!$G78*'Event Trigger'!$D78*(1-'Input Sheet year 2'!O79))</f>
        <v>1000000</v>
      </c>
      <c r="L78" s="73">
        <f>'Risk Master'!$G78*-1+('Risk Master'!$G78*'Event Trigger'!$D78*(1-'Input Sheet year 2'!P79))</f>
        <v>1000000</v>
      </c>
      <c r="M78" s="73">
        <f>'Risk Master'!$G78*-1+('Risk Master'!$G78*'Event Trigger'!$D78*(1-'Input Sheet year 2'!Q79))</f>
        <v>1000000</v>
      </c>
      <c r="N78" s="88"/>
      <c r="O78" s="88">
        <f t="shared" si="10"/>
        <v>-1000000</v>
      </c>
      <c r="P78" s="88">
        <f t="shared" si="11"/>
        <v>-1000000</v>
      </c>
      <c r="Q78" s="88">
        <f t="shared" si="12"/>
        <v>-1000000</v>
      </c>
      <c r="R78" s="88">
        <f t="shared" si="13"/>
        <v>-1000000</v>
      </c>
      <c r="S78" s="88">
        <f t="shared" si="14"/>
        <v>-1000000</v>
      </c>
      <c r="T78" s="88">
        <f t="shared" si="15"/>
        <v>-1000000</v>
      </c>
      <c r="U78" s="88">
        <f t="shared" si="16"/>
        <v>-1000000</v>
      </c>
      <c r="V78" s="88">
        <f t="shared" si="17"/>
        <v>-1000000</v>
      </c>
      <c r="W78" s="88">
        <f t="shared" si="18"/>
        <v>-1000000</v>
      </c>
      <c r="X78" s="88">
        <f t="shared" si="19"/>
        <v>-1000000</v>
      </c>
      <c r="Z78" s="51" t="s">
        <v>241</v>
      </c>
      <c r="AA78" s="52">
        <f>IF(VLOOKUP($Z78,'Asset Master'!$A:$J,6,FALSE)*COUNTIF('Event Trigger'!$C:$C,'Year 1 Results'!$Z78)&gt;SUMIF('Event Trigger'!$C:$C,$Z78,D:D),0,VLOOKUP($Z78,'Asset Master'!$A:$J,6,FALSE))</f>
        <v>0</v>
      </c>
      <c r="AB78" s="52">
        <f>IF(VLOOKUP($Z78,'Asset Master'!$A:$J,6,FALSE)*COUNTIF('Event Trigger'!$C:$C,'Year 1 Results'!$Z78)&gt;SUMIF('Event Trigger'!$C:$C,$Z78,E:E),0,VLOOKUP($Z78,'Asset Master'!$A:$J,6,FALSE))</f>
        <v>0</v>
      </c>
      <c r="AC78" s="52">
        <f>IF(VLOOKUP($Z78,'Asset Master'!$A:$J,6,FALSE)*COUNTIF('Event Trigger'!$C:$C,'Year 1 Results'!$Z78)&gt;SUMIF('Event Trigger'!$C:$C,$Z78,F:F),0,VLOOKUP($Z78,'Asset Master'!$A:$J,6,FALSE))</f>
        <v>0</v>
      </c>
      <c r="AD78" s="52">
        <f>IF(VLOOKUP($Z78,'Asset Master'!$A:$J,6,FALSE)*COUNTIF('Event Trigger'!$C:$C,'Year 1 Results'!$Z78)&gt;SUMIF('Event Trigger'!$C:$C,$Z78,G:G),0,VLOOKUP($Z78,'Asset Master'!$A:$J,6,FALSE))</f>
        <v>0</v>
      </c>
      <c r="AE78" s="52">
        <f>IF(VLOOKUP($Z78,'Asset Master'!$A:$J,6,FALSE)*COUNTIF('Event Trigger'!$C:$C,'Year 1 Results'!$Z78)&gt;SUMIF('Event Trigger'!$C:$C,$Z78,H:H),0,VLOOKUP($Z78,'Asset Master'!$A:$J,6,FALSE))</f>
        <v>0</v>
      </c>
      <c r="AF78" s="52">
        <f>IF(VLOOKUP($Z78,'Asset Master'!$A:$J,6,FALSE)*COUNTIF('Event Trigger'!$C:$C,'Year 1 Results'!$Z78)&gt;SUMIF('Event Trigger'!$C:$C,$Z78,I:I),0,VLOOKUP($Z78,'Asset Master'!$A:$J,6,FALSE))</f>
        <v>0</v>
      </c>
      <c r="AG78" s="52">
        <f>IF(VLOOKUP($Z78,'Asset Master'!$A:$J,6,FALSE)*COUNTIF('Event Trigger'!$C:$C,'Year 1 Results'!$Z78)&gt;SUMIF('Event Trigger'!$C:$C,$Z78,J:J),0,VLOOKUP($Z78,'Asset Master'!$A:$J,6,FALSE))</f>
        <v>0</v>
      </c>
      <c r="AH78" s="52">
        <f>IF(VLOOKUP($Z78,'Asset Master'!$A:$J,6,FALSE)*COUNTIF('Event Trigger'!$C:$C,'Year 1 Results'!$Z78)&gt;SUMIF('Event Trigger'!$C:$C,$Z78,K:K),0,VLOOKUP($Z78,'Asset Master'!$A:$J,6,FALSE))</f>
        <v>0</v>
      </c>
      <c r="AI78" s="52">
        <f>IF(VLOOKUP($Z78,'Asset Master'!$A:$J,6,FALSE)*COUNTIF('Event Trigger'!$C:$C,'Year 1 Results'!$Z78)&gt;SUMIF('Event Trigger'!$C:$C,$Z78,L:L),0,VLOOKUP($Z78,'Asset Master'!$A:$J,6,FALSE))</f>
        <v>0</v>
      </c>
      <c r="AJ78" s="52">
        <f>IF(VLOOKUP($Z78,'Asset Master'!$A:$J,6,FALSE)*COUNTIF('Event Trigger'!$C:$C,'Year 1 Results'!$Z78)&gt;SUMIF('Event Trigger'!$C:$C,$Z78,M:M),0,VLOOKUP($Z78,'Asset Master'!$A:$J,6,FALSE))</f>
        <v>0</v>
      </c>
    </row>
    <row r="79" spans="1:36" ht="25.5" x14ac:dyDescent="0.25">
      <c r="A79" s="37" t="str">
        <f>'Risk Master'!B79:B183&amp;"-"&amp;'Risk Master'!D79</f>
        <v>Thunderstorms, Tornados &amp; Hail-Germany</v>
      </c>
      <c r="B79" s="37" t="str">
        <f>'Input Sheet year 2'!B80</f>
        <v>Thunderstorms, Tornados &amp; Hail-Germany</v>
      </c>
      <c r="C79" s="29" t="str">
        <f>'Risk Master'!F79</f>
        <v>A22</v>
      </c>
      <c r="D79" s="73">
        <f>'Risk Master'!$G79*-1+('Risk Master'!$G79*'Event Trigger'!$D79*(1-'Input Sheet year 1'!H80))</f>
        <v>1000000</v>
      </c>
      <c r="E79" s="73">
        <f>'Risk Master'!$G79*-1+('Risk Master'!$G79*'Event Trigger'!$D79*(1-'Input Sheet year 2'!I80))</f>
        <v>1000000</v>
      </c>
      <c r="F79" s="73">
        <f>'Risk Master'!$G79*-1+('Risk Master'!$G79*'Event Trigger'!$D79*(1-'Input Sheet year 2'!J80))</f>
        <v>1000000</v>
      </c>
      <c r="G79" s="73">
        <f>'Risk Master'!$G79*-1+('Risk Master'!$G79*'Event Trigger'!$D79*(1-'Input Sheet year 2'!K80))</f>
        <v>1000000</v>
      </c>
      <c r="H79" s="73">
        <f>'Risk Master'!$G79*-1+('Risk Master'!$G79*'Event Trigger'!$D79*(1-'Input Sheet year 2'!L80))</f>
        <v>1000000</v>
      </c>
      <c r="I79" s="73">
        <f>'Risk Master'!$G79*-1+('Risk Master'!$G79*'Event Trigger'!$D79*(1-'Input Sheet year 2'!M80))</f>
        <v>1000000</v>
      </c>
      <c r="J79" s="73">
        <f>'Risk Master'!$G79*-1+('Risk Master'!$G79*'Event Trigger'!$D79*(1-'Input Sheet year 2'!N80))</f>
        <v>1000000</v>
      </c>
      <c r="K79" s="73">
        <f>'Risk Master'!$G79*-1+('Risk Master'!$G79*'Event Trigger'!$D79*(1-'Input Sheet year 2'!O80))</f>
        <v>1000000</v>
      </c>
      <c r="L79" s="73">
        <f>'Risk Master'!$G79*-1+('Risk Master'!$G79*'Event Trigger'!$D79*(1-'Input Sheet year 2'!P80))</f>
        <v>1000000</v>
      </c>
      <c r="M79" s="73">
        <f>'Risk Master'!$G79*-1+('Risk Master'!$G79*'Event Trigger'!$D79*(1-'Input Sheet year 2'!Q80))</f>
        <v>1000000</v>
      </c>
      <c r="N79" s="88"/>
      <c r="O79" s="88">
        <f t="shared" si="10"/>
        <v>-1000000</v>
      </c>
      <c r="P79" s="88">
        <f t="shared" si="11"/>
        <v>-1000000</v>
      </c>
      <c r="Q79" s="88">
        <f t="shared" si="12"/>
        <v>-1000000</v>
      </c>
      <c r="R79" s="88">
        <f t="shared" si="13"/>
        <v>-1000000</v>
      </c>
      <c r="S79" s="88">
        <f t="shared" si="14"/>
        <v>-1000000</v>
      </c>
      <c r="T79" s="88">
        <f t="shared" si="15"/>
        <v>-1000000</v>
      </c>
      <c r="U79" s="88">
        <f t="shared" si="16"/>
        <v>-1000000</v>
      </c>
      <c r="V79" s="88">
        <f t="shared" si="17"/>
        <v>-1000000</v>
      </c>
      <c r="W79" s="88">
        <f t="shared" si="18"/>
        <v>-1000000</v>
      </c>
      <c r="X79" s="88">
        <f t="shared" si="19"/>
        <v>-1000000</v>
      </c>
      <c r="Z79" s="51" t="s">
        <v>242</v>
      </c>
      <c r="AA79" s="52">
        <f>IF(VLOOKUP($Z79,'Asset Master'!$A:$J,6,FALSE)*COUNTIF('Event Trigger'!$C:$C,'Year 1 Results'!$Z79)&gt;SUMIF('Event Trigger'!$C:$C,$Z79,D:D),0,VLOOKUP($Z79,'Asset Master'!$A:$J,6,FALSE))</f>
        <v>400000</v>
      </c>
      <c r="AB79" s="52">
        <f>IF(VLOOKUP($Z79,'Asset Master'!$A:$J,6,FALSE)*COUNTIF('Event Trigger'!$C:$C,'Year 1 Results'!$Z79)&gt;SUMIF('Event Trigger'!$C:$C,$Z79,E:E),0,VLOOKUP($Z79,'Asset Master'!$A:$J,6,FALSE))</f>
        <v>400000</v>
      </c>
      <c r="AC79" s="52">
        <f>IF(VLOOKUP($Z79,'Asset Master'!$A:$J,6,FALSE)*COUNTIF('Event Trigger'!$C:$C,'Year 1 Results'!$Z79)&gt;SUMIF('Event Trigger'!$C:$C,$Z79,F:F),0,VLOOKUP($Z79,'Asset Master'!$A:$J,6,FALSE))</f>
        <v>400000</v>
      </c>
      <c r="AD79" s="52">
        <f>IF(VLOOKUP($Z79,'Asset Master'!$A:$J,6,FALSE)*COUNTIF('Event Trigger'!$C:$C,'Year 1 Results'!$Z79)&gt;SUMIF('Event Trigger'!$C:$C,$Z79,G:G),0,VLOOKUP($Z79,'Asset Master'!$A:$J,6,FALSE))</f>
        <v>400000</v>
      </c>
      <c r="AE79" s="52">
        <f>IF(VLOOKUP($Z79,'Asset Master'!$A:$J,6,FALSE)*COUNTIF('Event Trigger'!$C:$C,'Year 1 Results'!$Z79)&gt;SUMIF('Event Trigger'!$C:$C,$Z79,H:H),0,VLOOKUP($Z79,'Asset Master'!$A:$J,6,FALSE))</f>
        <v>400000</v>
      </c>
      <c r="AF79" s="52">
        <f>IF(VLOOKUP($Z79,'Asset Master'!$A:$J,6,FALSE)*COUNTIF('Event Trigger'!$C:$C,'Year 1 Results'!$Z79)&gt;SUMIF('Event Trigger'!$C:$C,$Z79,I:I),0,VLOOKUP($Z79,'Asset Master'!$A:$J,6,FALSE))</f>
        <v>400000</v>
      </c>
      <c r="AG79" s="52">
        <f>IF(VLOOKUP($Z79,'Asset Master'!$A:$J,6,FALSE)*COUNTIF('Event Trigger'!$C:$C,'Year 1 Results'!$Z79)&gt;SUMIF('Event Trigger'!$C:$C,$Z79,J:J),0,VLOOKUP($Z79,'Asset Master'!$A:$J,6,FALSE))</f>
        <v>400000</v>
      </c>
      <c r="AH79" s="52">
        <f>IF(VLOOKUP($Z79,'Asset Master'!$A:$J,6,FALSE)*COUNTIF('Event Trigger'!$C:$C,'Year 1 Results'!$Z79)&gt;SUMIF('Event Trigger'!$C:$C,$Z79,K:K),0,VLOOKUP($Z79,'Asset Master'!$A:$J,6,FALSE))</f>
        <v>400000</v>
      </c>
      <c r="AI79" s="52">
        <f>IF(VLOOKUP($Z79,'Asset Master'!$A:$J,6,FALSE)*COUNTIF('Event Trigger'!$C:$C,'Year 1 Results'!$Z79)&gt;SUMIF('Event Trigger'!$C:$C,$Z79,L:L),0,VLOOKUP($Z79,'Asset Master'!$A:$J,6,FALSE))</f>
        <v>400000</v>
      </c>
      <c r="AJ79" s="52">
        <f>IF(VLOOKUP($Z79,'Asset Master'!$A:$J,6,FALSE)*COUNTIF('Event Trigger'!$C:$C,'Year 1 Results'!$Z79)&gt;SUMIF('Event Trigger'!$C:$C,$Z79,M:M),0,VLOOKUP($Z79,'Asset Master'!$A:$J,6,FALSE))</f>
        <v>400000</v>
      </c>
    </row>
    <row r="80" spans="1:36" x14ac:dyDescent="0.25">
      <c r="A80" s="37" t="str">
        <f>'Risk Master'!B80:B183&amp;"-"&amp;'Risk Master'!D80</f>
        <v>Hurricane-Typhoon -Germany</v>
      </c>
      <c r="B80" s="37" t="str">
        <f>'Input Sheet year 2'!B81</f>
        <v>Hurricane-Typhoon -Germany</v>
      </c>
      <c r="C80" s="29" t="str">
        <f>'Risk Master'!F80</f>
        <v>A23</v>
      </c>
      <c r="D80" s="73">
        <f>'Risk Master'!$G80*-1+('Risk Master'!$G80*'Event Trigger'!$D80*(1-'Input Sheet year 1'!H81))</f>
        <v>300000</v>
      </c>
      <c r="E80" s="73">
        <f>'Risk Master'!$G80*-1+('Risk Master'!$G80*'Event Trigger'!$D80*(1-'Input Sheet year 2'!I81))</f>
        <v>300000</v>
      </c>
      <c r="F80" s="73">
        <f>'Risk Master'!$G80*-1+('Risk Master'!$G80*'Event Trigger'!$D80*(1-'Input Sheet year 2'!J81))</f>
        <v>300000</v>
      </c>
      <c r="G80" s="73">
        <f>'Risk Master'!$G80*-1+('Risk Master'!$G80*'Event Trigger'!$D80*(1-'Input Sheet year 2'!K81))</f>
        <v>300000</v>
      </c>
      <c r="H80" s="73">
        <f>'Risk Master'!$G80*-1+('Risk Master'!$G80*'Event Trigger'!$D80*(1-'Input Sheet year 2'!L81))</f>
        <v>300000</v>
      </c>
      <c r="I80" s="73">
        <f>'Risk Master'!$G80*-1+('Risk Master'!$G80*'Event Trigger'!$D80*(1-'Input Sheet year 2'!M81))</f>
        <v>300000</v>
      </c>
      <c r="J80" s="73">
        <f>'Risk Master'!$G80*-1+('Risk Master'!$G80*'Event Trigger'!$D80*(1-'Input Sheet year 2'!N81))</f>
        <v>300000</v>
      </c>
      <c r="K80" s="73">
        <f>'Risk Master'!$G80*-1+('Risk Master'!$G80*'Event Trigger'!$D80*(1-'Input Sheet year 2'!O81))</f>
        <v>300000</v>
      </c>
      <c r="L80" s="73">
        <f>'Risk Master'!$G80*-1+('Risk Master'!$G80*'Event Trigger'!$D80*(1-'Input Sheet year 2'!P81))</f>
        <v>300000</v>
      </c>
      <c r="M80" s="73">
        <f>'Risk Master'!$G80*-1+('Risk Master'!$G80*'Event Trigger'!$D80*(1-'Input Sheet year 2'!Q81))</f>
        <v>300000</v>
      </c>
      <c r="N80" s="88"/>
      <c r="O80" s="88">
        <f t="shared" si="10"/>
        <v>-300000</v>
      </c>
      <c r="P80" s="88">
        <f t="shared" si="11"/>
        <v>-300000</v>
      </c>
      <c r="Q80" s="88">
        <f t="shared" si="12"/>
        <v>-300000</v>
      </c>
      <c r="R80" s="88">
        <f t="shared" si="13"/>
        <v>-300000</v>
      </c>
      <c r="S80" s="88">
        <f t="shared" si="14"/>
        <v>-300000</v>
      </c>
      <c r="T80" s="88">
        <f t="shared" si="15"/>
        <v>-300000</v>
      </c>
      <c r="U80" s="88">
        <f t="shared" si="16"/>
        <v>-300000</v>
      </c>
      <c r="V80" s="88">
        <f t="shared" si="17"/>
        <v>-300000</v>
      </c>
      <c r="W80" s="88">
        <f t="shared" si="18"/>
        <v>-300000</v>
      </c>
      <c r="X80" s="88">
        <f t="shared" si="19"/>
        <v>-300000</v>
      </c>
      <c r="Z80" s="51" t="s">
        <v>243</v>
      </c>
      <c r="AA80" s="52">
        <f>IF(VLOOKUP($Z80,'Asset Master'!$A:$J,6,FALSE)*COUNTIF('Event Trigger'!$C:$C,'Year 1 Results'!$Z80)&gt;SUMIF('Event Trigger'!$C:$C,$Z80,D:D),0,VLOOKUP($Z80,'Asset Master'!$A:$J,6,FALSE))</f>
        <v>500000</v>
      </c>
      <c r="AB80" s="52">
        <f>IF(VLOOKUP($Z80,'Asset Master'!$A:$J,6,FALSE)*COUNTIF('Event Trigger'!$C:$C,'Year 1 Results'!$Z80)&gt;SUMIF('Event Trigger'!$C:$C,$Z80,E:E),0,VLOOKUP($Z80,'Asset Master'!$A:$J,6,FALSE))</f>
        <v>500000</v>
      </c>
      <c r="AC80" s="52">
        <f>IF(VLOOKUP($Z80,'Asset Master'!$A:$J,6,FALSE)*COUNTIF('Event Trigger'!$C:$C,'Year 1 Results'!$Z80)&gt;SUMIF('Event Trigger'!$C:$C,$Z80,F:F),0,VLOOKUP($Z80,'Asset Master'!$A:$J,6,FALSE))</f>
        <v>500000</v>
      </c>
      <c r="AD80" s="52">
        <f>IF(VLOOKUP($Z80,'Asset Master'!$A:$J,6,FALSE)*COUNTIF('Event Trigger'!$C:$C,'Year 1 Results'!$Z80)&gt;SUMIF('Event Trigger'!$C:$C,$Z80,G:G),0,VLOOKUP($Z80,'Asset Master'!$A:$J,6,FALSE))</f>
        <v>500000</v>
      </c>
      <c r="AE80" s="52">
        <f>IF(VLOOKUP($Z80,'Asset Master'!$A:$J,6,FALSE)*COUNTIF('Event Trigger'!$C:$C,'Year 1 Results'!$Z80)&gt;SUMIF('Event Trigger'!$C:$C,$Z80,H:H),0,VLOOKUP($Z80,'Asset Master'!$A:$J,6,FALSE))</f>
        <v>500000</v>
      </c>
      <c r="AF80" s="52">
        <f>IF(VLOOKUP($Z80,'Asset Master'!$A:$J,6,FALSE)*COUNTIF('Event Trigger'!$C:$C,'Year 1 Results'!$Z80)&gt;SUMIF('Event Trigger'!$C:$C,$Z80,I:I),0,VLOOKUP($Z80,'Asset Master'!$A:$J,6,FALSE))</f>
        <v>500000</v>
      </c>
      <c r="AG80" s="52">
        <f>IF(VLOOKUP($Z80,'Asset Master'!$A:$J,6,FALSE)*COUNTIF('Event Trigger'!$C:$C,'Year 1 Results'!$Z80)&gt;SUMIF('Event Trigger'!$C:$C,$Z80,J:J),0,VLOOKUP($Z80,'Asset Master'!$A:$J,6,FALSE))</f>
        <v>500000</v>
      </c>
      <c r="AH80" s="52">
        <f>IF(VLOOKUP($Z80,'Asset Master'!$A:$J,6,FALSE)*COUNTIF('Event Trigger'!$C:$C,'Year 1 Results'!$Z80)&gt;SUMIF('Event Trigger'!$C:$C,$Z80,K:K),0,VLOOKUP($Z80,'Asset Master'!$A:$J,6,FALSE))</f>
        <v>500000</v>
      </c>
      <c r="AI80" s="52">
        <f>IF(VLOOKUP($Z80,'Asset Master'!$A:$J,6,FALSE)*COUNTIF('Event Trigger'!$C:$C,'Year 1 Results'!$Z80)&gt;SUMIF('Event Trigger'!$C:$C,$Z80,L:L),0,VLOOKUP($Z80,'Asset Master'!$A:$J,6,FALSE))</f>
        <v>500000</v>
      </c>
      <c r="AJ80" s="52">
        <f>IF(VLOOKUP($Z80,'Asset Master'!$A:$J,6,FALSE)*COUNTIF('Event Trigger'!$C:$C,'Year 1 Results'!$Z80)&gt;SUMIF('Event Trigger'!$C:$C,$Z80,M:M),0,VLOOKUP($Z80,'Asset Master'!$A:$J,6,FALSE))</f>
        <v>500000</v>
      </c>
    </row>
    <row r="81" spans="1:36" x14ac:dyDescent="0.25">
      <c r="A81" s="37" t="str">
        <f>'Risk Master'!B81:B183&amp;"-"&amp;'Risk Master'!D81</f>
        <v>Earthquake-Germany</v>
      </c>
      <c r="B81" s="37" t="str">
        <f>'Input Sheet year 2'!B82</f>
        <v>Earthquake-Germany</v>
      </c>
      <c r="C81" s="29" t="str">
        <f>'Risk Master'!F81</f>
        <v>A23</v>
      </c>
      <c r="D81" s="73">
        <f>'Risk Master'!$G81*-1+('Risk Master'!$G81*'Event Trigger'!$D81*(1-'Input Sheet year 1'!H82))</f>
        <v>300000</v>
      </c>
      <c r="E81" s="73">
        <f>'Risk Master'!$G81*-1+('Risk Master'!$G81*'Event Trigger'!$D81*(1-'Input Sheet year 2'!I82))</f>
        <v>300000</v>
      </c>
      <c r="F81" s="73">
        <f>'Risk Master'!$G81*-1+('Risk Master'!$G81*'Event Trigger'!$D81*(1-'Input Sheet year 2'!J82))</f>
        <v>300000</v>
      </c>
      <c r="G81" s="73">
        <f>'Risk Master'!$G81*-1+('Risk Master'!$G81*'Event Trigger'!$D81*(1-'Input Sheet year 2'!K82))</f>
        <v>300000</v>
      </c>
      <c r="H81" s="73">
        <f>'Risk Master'!$G81*-1+('Risk Master'!$G81*'Event Trigger'!$D81*(1-'Input Sheet year 2'!L82))</f>
        <v>300000</v>
      </c>
      <c r="I81" s="73">
        <f>'Risk Master'!$G81*-1+('Risk Master'!$G81*'Event Trigger'!$D81*(1-'Input Sheet year 2'!M82))</f>
        <v>300000</v>
      </c>
      <c r="J81" s="73">
        <f>'Risk Master'!$G81*-1+('Risk Master'!$G81*'Event Trigger'!$D81*(1-'Input Sheet year 2'!N82))</f>
        <v>300000</v>
      </c>
      <c r="K81" s="73">
        <f>'Risk Master'!$G81*-1+('Risk Master'!$G81*'Event Trigger'!$D81*(1-'Input Sheet year 2'!O82))</f>
        <v>300000</v>
      </c>
      <c r="L81" s="73">
        <f>'Risk Master'!$G81*-1+('Risk Master'!$G81*'Event Trigger'!$D81*(1-'Input Sheet year 2'!P82))</f>
        <v>300000</v>
      </c>
      <c r="M81" s="73">
        <f>'Risk Master'!$G81*-1+('Risk Master'!$G81*'Event Trigger'!$D81*(1-'Input Sheet year 2'!Q82))</f>
        <v>300000</v>
      </c>
      <c r="N81" s="88"/>
      <c r="O81" s="88">
        <f t="shared" si="10"/>
        <v>-300000</v>
      </c>
      <c r="P81" s="88">
        <f t="shared" si="11"/>
        <v>-300000</v>
      </c>
      <c r="Q81" s="88">
        <f t="shared" si="12"/>
        <v>-300000</v>
      </c>
      <c r="R81" s="88">
        <f t="shared" si="13"/>
        <v>-300000</v>
      </c>
      <c r="S81" s="88">
        <f t="shared" si="14"/>
        <v>-300000</v>
      </c>
      <c r="T81" s="88">
        <f t="shared" si="15"/>
        <v>-300000</v>
      </c>
      <c r="U81" s="88">
        <f t="shared" si="16"/>
        <v>-300000</v>
      </c>
      <c r="V81" s="88">
        <f t="shared" si="17"/>
        <v>-300000</v>
      </c>
      <c r="W81" s="88">
        <f t="shared" si="18"/>
        <v>-300000</v>
      </c>
      <c r="X81" s="88">
        <f t="shared" si="19"/>
        <v>-300000</v>
      </c>
      <c r="Z81" s="51" t="s">
        <v>244</v>
      </c>
      <c r="AA81" s="52">
        <f>IF(VLOOKUP($Z81,'Asset Master'!$A:$J,6,FALSE)*COUNTIF('Event Trigger'!$C:$C,'Year 1 Results'!$Z81)&gt;SUMIF('Event Trigger'!$C:$C,$Z81,D:D),0,VLOOKUP($Z81,'Asset Master'!$A:$J,6,FALSE))</f>
        <v>0</v>
      </c>
      <c r="AB81" s="52">
        <f>IF(VLOOKUP($Z81,'Asset Master'!$A:$J,6,FALSE)*COUNTIF('Event Trigger'!$C:$C,'Year 1 Results'!$Z81)&gt;SUMIF('Event Trigger'!$C:$C,$Z81,E:E),0,VLOOKUP($Z81,'Asset Master'!$A:$J,6,FALSE))</f>
        <v>0</v>
      </c>
      <c r="AC81" s="52">
        <f>IF(VLOOKUP($Z81,'Asset Master'!$A:$J,6,FALSE)*COUNTIF('Event Trigger'!$C:$C,'Year 1 Results'!$Z81)&gt;SUMIF('Event Trigger'!$C:$C,$Z81,F:F),0,VLOOKUP($Z81,'Asset Master'!$A:$J,6,FALSE))</f>
        <v>0</v>
      </c>
      <c r="AD81" s="52">
        <f>IF(VLOOKUP($Z81,'Asset Master'!$A:$J,6,FALSE)*COUNTIF('Event Trigger'!$C:$C,'Year 1 Results'!$Z81)&gt;SUMIF('Event Trigger'!$C:$C,$Z81,G:G),0,VLOOKUP($Z81,'Asset Master'!$A:$J,6,FALSE))</f>
        <v>0</v>
      </c>
      <c r="AE81" s="52">
        <f>IF(VLOOKUP($Z81,'Asset Master'!$A:$J,6,FALSE)*COUNTIF('Event Trigger'!$C:$C,'Year 1 Results'!$Z81)&gt;SUMIF('Event Trigger'!$C:$C,$Z81,H:H),0,VLOOKUP($Z81,'Asset Master'!$A:$J,6,FALSE))</f>
        <v>0</v>
      </c>
      <c r="AF81" s="52">
        <f>IF(VLOOKUP($Z81,'Asset Master'!$A:$J,6,FALSE)*COUNTIF('Event Trigger'!$C:$C,'Year 1 Results'!$Z81)&gt;SUMIF('Event Trigger'!$C:$C,$Z81,I:I),0,VLOOKUP($Z81,'Asset Master'!$A:$J,6,FALSE))</f>
        <v>0</v>
      </c>
      <c r="AG81" s="52">
        <f>IF(VLOOKUP($Z81,'Asset Master'!$A:$J,6,FALSE)*COUNTIF('Event Trigger'!$C:$C,'Year 1 Results'!$Z81)&gt;SUMIF('Event Trigger'!$C:$C,$Z81,J:J),0,VLOOKUP($Z81,'Asset Master'!$A:$J,6,FALSE))</f>
        <v>0</v>
      </c>
      <c r="AH81" s="52">
        <f>IF(VLOOKUP($Z81,'Asset Master'!$A:$J,6,FALSE)*COUNTIF('Event Trigger'!$C:$C,'Year 1 Results'!$Z81)&gt;SUMIF('Event Trigger'!$C:$C,$Z81,K:K),0,VLOOKUP($Z81,'Asset Master'!$A:$J,6,FALSE))</f>
        <v>0</v>
      </c>
      <c r="AI81" s="52">
        <f>IF(VLOOKUP($Z81,'Asset Master'!$A:$J,6,FALSE)*COUNTIF('Event Trigger'!$C:$C,'Year 1 Results'!$Z81)&gt;SUMIF('Event Trigger'!$C:$C,$Z81,L:L),0,VLOOKUP($Z81,'Asset Master'!$A:$J,6,FALSE))</f>
        <v>0</v>
      </c>
      <c r="AJ81" s="52">
        <f>IF(VLOOKUP($Z81,'Asset Master'!$A:$J,6,FALSE)*COUNTIF('Event Trigger'!$C:$C,'Year 1 Results'!$Z81)&gt;SUMIF('Event Trigger'!$C:$C,$Z81,M:M),0,VLOOKUP($Z81,'Asset Master'!$A:$J,6,FALSE))</f>
        <v>0</v>
      </c>
    </row>
    <row r="82" spans="1:36" x14ac:dyDescent="0.25">
      <c r="A82" s="37" t="str">
        <f>'Risk Master'!B82:B183&amp;"-"&amp;'Risk Master'!D82</f>
        <v>Fire-Germany</v>
      </c>
      <c r="B82" s="37" t="str">
        <f>'Input Sheet year 2'!B83</f>
        <v>Fire-Germany</v>
      </c>
      <c r="C82" s="29" t="str">
        <f>'Risk Master'!F82</f>
        <v>A23</v>
      </c>
      <c r="D82" s="73">
        <f>'Risk Master'!$G82*-1+('Risk Master'!$G82*'Event Trigger'!$D82*(1-'Input Sheet year 1'!H83))</f>
        <v>300000</v>
      </c>
      <c r="E82" s="73">
        <f>'Risk Master'!$G82*-1+('Risk Master'!$G82*'Event Trigger'!$D82*(1-'Input Sheet year 2'!I83))</f>
        <v>300000</v>
      </c>
      <c r="F82" s="73">
        <f>'Risk Master'!$G82*-1+('Risk Master'!$G82*'Event Trigger'!$D82*(1-'Input Sheet year 2'!J83))</f>
        <v>300000</v>
      </c>
      <c r="G82" s="73">
        <f>'Risk Master'!$G82*-1+('Risk Master'!$G82*'Event Trigger'!$D82*(1-'Input Sheet year 2'!K83))</f>
        <v>300000</v>
      </c>
      <c r="H82" s="73">
        <f>'Risk Master'!$G82*-1+('Risk Master'!$G82*'Event Trigger'!$D82*(1-'Input Sheet year 2'!L83))</f>
        <v>300000</v>
      </c>
      <c r="I82" s="73">
        <f>'Risk Master'!$G82*-1+('Risk Master'!$G82*'Event Trigger'!$D82*(1-'Input Sheet year 2'!M83))</f>
        <v>300000</v>
      </c>
      <c r="J82" s="73">
        <f>'Risk Master'!$G82*-1+('Risk Master'!$G82*'Event Trigger'!$D82*(1-'Input Sheet year 2'!N83))</f>
        <v>300000</v>
      </c>
      <c r="K82" s="73">
        <f>'Risk Master'!$G82*-1+('Risk Master'!$G82*'Event Trigger'!$D82*(1-'Input Sheet year 2'!O83))</f>
        <v>300000</v>
      </c>
      <c r="L82" s="73">
        <f>'Risk Master'!$G82*-1+('Risk Master'!$G82*'Event Trigger'!$D82*(1-'Input Sheet year 2'!P83))</f>
        <v>300000</v>
      </c>
      <c r="M82" s="73">
        <f>'Risk Master'!$G82*-1+('Risk Master'!$G82*'Event Trigger'!$D82*(1-'Input Sheet year 2'!Q83))</f>
        <v>300000</v>
      </c>
      <c r="N82" s="88"/>
      <c r="O82" s="88">
        <f t="shared" si="10"/>
        <v>-300000</v>
      </c>
      <c r="P82" s="88">
        <f t="shared" si="11"/>
        <v>-300000</v>
      </c>
      <c r="Q82" s="88">
        <f t="shared" si="12"/>
        <v>-300000</v>
      </c>
      <c r="R82" s="88">
        <f t="shared" si="13"/>
        <v>-300000</v>
      </c>
      <c r="S82" s="88">
        <f t="shared" si="14"/>
        <v>-300000</v>
      </c>
      <c r="T82" s="88">
        <f t="shared" si="15"/>
        <v>-300000</v>
      </c>
      <c r="U82" s="88">
        <f t="shared" si="16"/>
        <v>-300000</v>
      </c>
      <c r="V82" s="88">
        <f t="shared" si="17"/>
        <v>-300000</v>
      </c>
      <c r="W82" s="88">
        <f t="shared" si="18"/>
        <v>-300000</v>
      </c>
      <c r="X82" s="88">
        <f t="shared" si="19"/>
        <v>-300000</v>
      </c>
      <c r="Z82" s="51" t="s">
        <v>245</v>
      </c>
      <c r="AA82" s="52">
        <f>IF(VLOOKUP($Z82,'Asset Master'!$A:$J,6,FALSE)*COUNTIF('Event Trigger'!$C:$C,'Year 1 Results'!$Z82)&gt;SUMIF('Event Trigger'!$C:$C,$Z82,D:D),0,VLOOKUP($Z82,'Asset Master'!$A:$J,6,FALSE))</f>
        <v>200000</v>
      </c>
      <c r="AB82" s="52">
        <f>IF(VLOOKUP($Z82,'Asset Master'!$A:$J,6,FALSE)*COUNTIF('Event Trigger'!$C:$C,'Year 1 Results'!$Z82)&gt;SUMIF('Event Trigger'!$C:$C,$Z82,E:E),0,VLOOKUP($Z82,'Asset Master'!$A:$J,6,FALSE))</f>
        <v>200000</v>
      </c>
      <c r="AC82" s="52">
        <f>IF(VLOOKUP($Z82,'Asset Master'!$A:$J,6,FALSE)*COUNTIF('Event Trigger'!$C:$C,'Year 1 Results'!$Z82)&gt;SUMIF('Event Trigger'!$C:$C,$Z82,F:F),0,VLOOKUP($Z82,'Asset Master'!$A:$J,6,FALSE))</f>
        <v>200000</v>
      </c>
      <c r="AD82" s="52">
        <f>IF(VLOOKUP($Z82,'Asset Master'!$A:$J,6,FALSE)*COUNTIF('Event Trigger'!$C:$C,'Year 1 Results'!$Z82)&gt;SUMIF('Event Trigger'!$C:$C,$Z82,G:G),0,VLOOKUP($Z82,'Asset Master'!$A:$J,6,FALSE))</f>
        <v>200000</v>
      </c>
      <c r="AE82" s="52">
        <f>IF(VLOOKUP($Z82,'Asset Master'!$A:$J,6,FALSE)*COUNTIF('Event Trigger'!$C:$C,'Year 1 Results'!$Z82)&gt;SUMIF('Event Trigger'!$C:$C,$Z82,H:H),0,VLOOKUP($Z82,'Asset Master'!$A:$J,6,FALSE))</f>
        <v>200000</v>
      </c>
      <c r="AF82" s="52">
        <f>IF(VLOOKUP($Z82,'Asset Master'!$A:$J,6,FALSE)*COUNTIF('Event Trigger'!$C:$C,'Year 1 Results'!$Z82)&gt;SUMIF('Event Trigger'!$C:$C,$Z82,I:I),0,VLOOKUP($Z82,'Asset Master'!$A:$J,6,FALSE))</f>
        <v>200000</v>
      </c>
      <c r="AG82" s="52">
        <f>IF(VLOOKUP($Z82,'Asset Master'!$A:$J,6,FALSE)*COUNTIF('Event Trigger'!$C:$C,'Year 1 Results'!$Z82)&gt;SUMIF('Event Trigger'!$C:$C,$Z82,J:J),0,VLOOKUP($Z82,'Asset Master'!$A:$J,6,FALSE))</f>
        <v>200000</v>
      </c>
      <c r="AH82" s="52">
        <f>IF(VLOOKUP($Z82,'Asset Master'!$A:$J,6,FALSE)*COUNTIF('Event Trigger'!$C:$C,'Year 1 Results'!$Z82)&gt;SUMIF('Event Trigger'!$C:$C,$Z82,K:K),0,VLOOKUP($Z82,'Asset Master'!$A:$J,6,FALSE))</f>
        <v>200000</v>
      </c>
      <c r="AI82" s="52">
        <f>IF(VLOOKUP($Z82,'Asset Master'!$A:$J,6,FALSE)*COUNTIF('Event Trigger'!$C:$C,'Year 1 Results'!$Z82)&gt;SUMIF('Event Trigger'!$C:$C,$Z82,L:L),0,VLOOKUP($Z82,'Asset Master'!$A:$J,6,FALSE))</f>
        <v>200000</v>
      </c>
      <c r="AJ82" s="52">
        <f>IF(VLOOKUP($Z82,'Asset Master'!$A:$J,6,FALSE)*COUNTIF('Event Trigger'!$C:$C,'Year 1 Results'!$Z82)&gt;SUMIF('Event Trigger'!$C:$C,$Z82,M:M),0,VLOOKUP($Z82,'Asset Master'!$A:$J,6,FALSE))</f>
        <v>200000</v>
      </c>
    </row>
    <row r="83" spans="1:36" ht="25.5" x14ac:dyDescent="0.25">
      <c r="A83" s="37" t="str">
        <f>'Risk Master'!B83:B183&amp;"-"&amp;'Risk Master'!D83</f>
        <v>Thunderstorms, Tornados &amp; Hail-Germany</v>
      </c>
      <c r="B83" s="37" t="str">
        <f>'Input Sheet year 2'!B84</f>
        <v>Thunderstorms, Tornados &amp; Hail-Germany</v>
      </c>
      <c r="C83" s="29" t="str">
        <f>'Risk Master'!F83</f>
        <v>A23</v>
      </c>
      <c r="D83" s="73">
        <f>'Risk Master'!$G83*-1+('Risk Master'!$G83*'Event Trigger'!$D83*(1-'Input Sheet year 1'!H84))</f>
        <v>300000</v>
      </c>
      <c r="E83" s="73">
        <f>'Risk Master'!$G83*-1+('Risk Master'!$G83*'Event Trigger'!$D83*(1-'Input Sheet year 2'!I84))</f>
        <v>300000</v>
      </c>
      <c r="F83" s="73">
        <f>'Risk Master'!$G83*-1+('Risk Master'!$G83*'Event Trigger'!$D83*(1-'Input Sheet year 2'!J84))</f>
        <v>300000</v>
      </c>
      <c r="G83" s="73">
        <f>'Risk Master'!$G83*-1+('Risk Master'!$G83*'Event Trigger'!$D83*(1-'Input Sheet year 2'!K84))</f>
        <v>300000</v>
      </c>
      <c r="H83" s="73">
        <f>'Risk Master'!$G83*-1+('Risk Master'!$G83*'Event Trigger'!$D83*(1-'Input Sheet year 2'!L84))</f>
        <v>300000</v>
      </c>
      <c r="I83" s="73">
        <f>'Risk Master'!$G83*-1+('Risk Master'!$G83*'Event Trigger'!$D83*(1-'Input Sheet year 2'!M84))</f>
        <v>300000</v>
      </c>
      <c r="J83" s="73">
        <f>'Risk Master'!$G83*-1+('Risk Master'!$G83*'Event Trigger'!$D83*(1-'Input Sheet year 2'!N84))</f>
        <v>300000</v>
      </c>
      <c r="K83" s="73">
        <f>'Risk Master'!$G83*-1+('Risk Master'!$G83*'Event Trigger'!$D83*(1-'Input Sheet year 2'!O84))</f>
        <v>300000</v>
      </c>
      <c r="L83" s="73">
        <f>'Risk Master'!$G83*-1+('Risk Master'!$G83*'Event Trigger'!$D83*(1-'Input Sheet year 2'!P84))</f>
        <v>300000</v>
      </c>
      <c r="M83" s="73">
        <f>'Risk Master'!$G83*-1+('Risk Master'!$G83*'Event Trigger'!$D83*(1-'Input Sheet year 2'!Q84))</f>
        <v>300000</v>
      </c>
      <c r="N83" s="88"/>
      <c r="O83" s="88">
        <f t="shared" si="10"/>
        <v>-300000</v>
      </c>
      <c r="P83" s="88">
        <f t="shared" si="11"/>
        <v>-300000</v>
      </c>
      <c r="Q83" s="88">
        <f t="shared" si="12"/>
        <v>-300000</v>
      </c>
      <c r="R83" s="88">
        <f t="shared" si="13"/>
        <v>-300000</v>
      </c>
      <c r="S83" s="88">
        <f t="shared" si="14"/>
        <v>-300000</v>
      </c>
      <c r="T83" s="88">
        <f t="shared" si="15"/>
        <v>-300000</v>
      </c>
      <c r="U83" s="88">
        <f t="shared" si="16"/>
        <v>-300000</v>
      </c>
      <c r="V83" s="88">
        <f t="shared" si="17"/>
        <v>-300000</v>
      </c>
      <c r="W83" s="88">
        <f t="shared" si="18"/>
        <v>-300000</v>
      </c>
      <c r="X83" s="88">
        <f t="shared" si="19"/>
        <v>-300000</v>
      </c>
      <c r="Z83" s="51" t="s">
        <v>246</v>
      </c>
      <c r="AA83" s="52">
        <f>IF(VLOOKUP($Z83,'Asset Master'!$A:$J,6,FALSE)*COUNTIF('Event Trigger'!$C:$C,'Year 1 Results'!$Z83)&gt;SUMIF('Event Trigger'!$C:$C,$Z83,D:D),0,VLOOKUP($Z83,'Asset Master'!$A:$J,6,FALSE))</f>
        <v>0</v>
      </c>
      <c r="AB83" s="52">
        <f>IF(VLOOKUP($Z83,'Asset Master'!$A:$J,6,FALSE)*COUNTIF('Event Trigger'!$C:$C,'Year 1 Results'!$Z83)&gt;SUMIF('Event Trigger'!$C:$C,$Z83,E:E),0,VLOOKUP($Z83,'Asset Master'!$A:$J,6,FALSE))</f>
        <v>0</v>
      </c>
      <c r="AC83" s="52">
        <f>IF(VLOOKUP($Z83,'Asset Master'!$A:$J,6,FALSE)*COUNTIF('Event Trigger'!$C:$C,'Year 1 Results'!$Z83)&gt;SUMIF('Event Trigger'!$C:$C,$Z83,F:F),0,VLOOKUP($Z83,'Asset Master'!$A:$J,6,FALSE))</f>
        <v>0</v>
      </c>
      <c r="AD83" s="52">
        <f>IF(VLOOKUP($Z83,'Asset Master'!$A:$J,6,FALSE)*COUNTIF('Event Trigger'!$C:$C,'Year 1 Results'!$Z83)&gt;SUMIF('Event Trigger'!$C:$C,$Z83,G:G),0,VLOOKUP($Z83,'Asset Master'!$A:$J,6,FALSE))</f>
        <v>0</v>
      </c>
      <c r="AE83" s="52">
        <f>IF(VLOOKUP($Z83,'Asset Master'!$A:$J,6,FALSE)*COUNTIF('Event Trigger'!$C:$C,'Year 1 Results'!$Z83)&gt;SUMIF('Event Trigger'!$C:$C,$Z83,H:H),0,VLOOKUP($Z83,'Asset Master'!$A:$J,6,FALSE))</f>
        <v>0</v>
      </c>
      <c r="AF83" s="52">
        <f>IF(VLOOKUP($Z83,'Asset Master'!$A:$J,6,FALSE)*COUNTIF('Event Trigger'!$C:$C,'Year 1 Results'!$Z83)&gt;SUMIF('Event Trigger'!$C:$C,$Z83,I:I),0,VLOOKUP($Z83,'Asset Master'!$A:$J,6,FALSE))</f>
        <v>0</v>
      </c>
      <c r="AG83" s="52">
        <f>IF(VLOOKUP($Z83,'Asset Master'!$A:$J,6,FALSE)*COUNTIF('Event Trigger'!$C:$C,'Year 1 Results'!$Z83)&gt;SUMIF('Event Trigger'!$C:$C,$Z83,J:J),0,VLOOKUP($Z83,'Asset Master'!$A:$J,6,FALSE))</f>
        <v>0</v>
      </c>
      <c r="AH83" s="52">
        <f>IF(VLOOKUP($Z83,'Asset Master'!$A:$J,6,FALSE)*COUNTIF('Event Trigger'!$C:$C,'Year 1 Results'!$Z83)&gt;SUMIF('Event Trigger'!$C:$C,$Z83,K:K),0,VLOOKUP($Z83,'Asset Master'!$A:$J,6,FALSE))</f>
        <v>0</v>
      </c>
      <c r="AI83" s="52">
        <f>IF(VLOOKUP($Z83,'Asset Master'!$A:$J,6,FALSE)*COUNTIF('Event Trigger'!$C:$C,'Year 1 Results'!$Z83)&gt;SUMIF('Event Trigger'!$C:$C,$Z83,L:L),0,VLOOKUP($Z83,'Asset Master'!$A:$J,6,FALSE))</f>
        <v>0</v>
      </c>
      <c r="AJ83" s="52">
        <f>IF(VLOOKUP($Z83,'Asset Master'!$A:$J,6,FALSE)*COUNTIF('Event Trigger'!$C:$C,'Year 1 Results'!$Z83)&gt;SUMIF('Event Trigger'!$C:$C,$Z83,M:M),0,VLOOKUP($Z83,'Asset Master'!$A:$J,6,FALSE))</f>
        <v>0</v>
      </c>
    </row>
    <row r="84" spans="1:36" x14ac:dyDescent="0.25">
      <c r="A84" s="37" t="str">
        <f>'Risk Master'!B84:B183&amp;"-"&amp;'Risk Master'!D84</f>
        <v>Hurricane-Typhoon -Germany</v>
      </c>
      <c r="B84" s="37" t="str">
        <f>'Input Sheet year 2'!B85</f>
        <v>Hurricane-Typhoon -Germany</v>
      </c>
      <c r="C84" s="29" t="str">
        <f>'Risk Master'!F84</f>
        <v>A25</v>
      </c>
      <c r="D84" s="73">
        <f>'Risk Master'!$G84*-1+('Risk Master'!$G84*'Event Trigger'!$D84*(1-'Input Sheet year 1'!H85))</f>
        <v>300000</v>
      </c>
      <c r="E84" s="73">
        <f>'Risk Master'!$G84*-1+('Risk Master'!$G84*'Event Trigger'!$D84*(1-'Input Sheet year 2'!I85))</f>
        <v>300000</v>
      </c>
      <c r="F84" s="73">
        <f>'Risk Master'!$G84*-1+('Risk Master'!$G84*'Event Trigger'!$D84*(1-'Input Sheet year 2'!J85))</f>
        <v>300000</v>
      </c>
      <c r="G84" s="73">
        <f>'Risk Master'!$G84*-1+('Risk Master'!$G84*'Event Trigger'!$D84*(1-'Input Sheet year 2'!K85))</f>
        <v>300000</v>
      </c>
      <c r="H84" s="73">
        <f>'Risk Master'!$G84*-1+('Risk Master'!$G84*'Event Trigger'!$D84*(1-'Input Sheet year 2'!L85))</f>
        <v>300000</v>
      </c>
      <c r="I84" s="73">
        <f>'Risk Master'!$G84*-1+('Risk Master'!$G84*'Event Trigger'!$D84*(1-'Input Sheet year 2'!M85))</f>
        <v>300000</v>
      </c>
      <c r="J84" s="73">
        <f>'Risk Master'!$G84*-1+('Risk Master'!$G84*'Event Trigger'!$D84*(1-'Input Sheet year 2'!N85))</f>
        <v>300000</v>
      </c>
      <c r="K84" s="73">
        <f>'Risk Master'!$G84*-1+('Risk Master'!$G84*'Event Trigger'!$D84*(1-'Input Sheet year 2'!O85))</f>
        <v>300000</v>
      </c>
      <c r="L84" s="73">
        <f>'Risk Master'!$G84*-1+('Risk Master'!$G84*'Event Trigger'!$D84*(1-'Input Sheet year 2'!P85))</f>
        <v>300000</v>
      </c>
      <c r="M84" s="73">
        <f>'Risk Master'!$G84*-1+('Risk Master'!$G84*'Event Trigger'!$D84*(1-'Input Sheet year 2'!Q85))</f>
        <v>300000</v>
      </c>
      <c r="N84" s="88"/>
      <c r="O84" s="88">
        <f t="shared" si="10"/>
        <v>-300000</v>
      </c>
      <c r="P84" s="88">
        <f t="shared" si="11"/>
        <v>-300000</v>
      </c>
      <c r="Q84" s="88">
        <f t="shared" si="12"/>
        <v>-300000</v>
      </c>
      <c r="R84" s="88">
        <f t="shared" si="13"/>
        <v>-300000</v>
      </c>
      <c r="S84" s="88">
        <f t="shared" si="14"/>
        <v>-300000</v>
      </c>
      <c r="T84" s="88">
        <f t="shared" si="15"/>
        <v>-300000</v>
      </c>
      <c r="U84" s="88">
        <f t="shared" si="16"/>
        <v>-300000</v>
      </c>
      <c r="V84" s="88">
        <f t="shared" si="17"/>
        <v>-300000</v>
      </c>
      <c r="W84" s="88">
        <f t="shared" si="18"/>
        <v>-300000</v>
      </c>
      <c r="X84" s="88">
        <f t="shared" si="19"/>
        <v>-300000</v>
      </c>
      <c r="Z84" s="51" t="s">
        <v>247</v>
      </c>
      <c r="AA84" s="52">
        <f>IF(VLOOKUP($Z84,'Asset Master'!$A:$J,6,FALSE)*COUNTIF('Event Trigger'!$C:$C,'Year 1 Results'!$Z84)&gt;SUMIF('Event Trigger'!$C:$C,$Z84,D:D),0,VLOOKUP($Z84,'Asset Master'!$A:$J,6,FALSE))</f>
        <v>300000</v>
      </c>
      <c r="AB84" s="52">
        <f>IF(VLOOKUP($Z84,'Asset Master'!$A:$J,6,FALSE)*COUNTIF('Event Trigger'!$C:$C,'Year 1 Results'!$Z84)&gt;SUMIF('Event Trigger'!$C:$C,$Z84,E:E),0,VLOOKUP($Z84,'Asset Master'!$A:$J,6,FALSE))</f>
        <v>300000</v>
      </c>
      <c r="AC84" s="52">
        <f>IF(VLOOKUP($Z84,'Asset Master'!$A:$J,6,FALSE)*COUNTIF('Event Trigger'!$C:$C,'Year 1 Results'!$Z84)&gt;SUMIF('Event Trigger'!$C:$C,$Z84,F:F),0,VLOOKUP($Z84,'Asset Master'!$A:$J,6,FALSE))</f>
        <v>300000</v>
      </c>
      <c r="AD84" s="52">
        <f>IF(VLOOKUP($Z84,'Asset Master'!$A:$J,6,FALSE)*COUNTIF('Event Trigger'!$C:$C,'Year 1 Results'!$Z84)&gt;SUMIF('Event Trigger'!$C:$C,$Z84,G:G),0,VLOOKUP($Z84,'Asset Master'!$A:$J,6,FALSE))</f>
        <v>300000</v>
      </c>
      <c r="AE84" s="52">
        <f>IF(VLOOKUP($Z84,'Asset Master'!$A:$J,6,FALSE)*COUNTIF('Event Trigger'!$C:$C,'Year 1 Results'!$Z84)&gt;SUMIF('Event Trigger'!$C:$C,$Z84,H:H),0,VLOOKUP($Z84,'Asset Master'!$A:$J,6,FALSE))</f>
        <v>300000</v>
      </c>
      <c r="AF84" s="52">
        <f>IF(VLOOKUP($Z84,'Asset Master'!$A:$J,6,FALSE)*COUNTIF('Event Trigger'!$C:$C,'Year 1 Results'!$Z84)&gt;SUMIF('Event Trigger'!$C:$C,$Z84,I:I),0,VLOOKUP($Z84,'Asset Master'!$A:$J,6,FALSE))</f>
        <v>300000</v>
      </c>
      <c r="AG84" s="52">
        <f>IF(VLOOKUP($Z84,'Asset Master'!$A:$J,6,FALSE)*COUNTIF('Event Trigger'!$C:$C,'Year 1 Results'!$Z84)&gt;SUMIF('Event Trigger'!$C:$C,$Z84,J:J),0,VLOOKUP($Z84,'Asset Master'!$A:$J,6,FALSE))</f>
        <v>300000</v>
      </c>
      <c r="AH84" s="52">
        <f>IF(VLOOKUP($Z84,'Asset Master'!$A:$J,6,FALSE)*COUNTIF('Event Trigger'!$C:$C,'Year 1 Results'!$Z84)&gt;SUMIF('Event Trigger'!$C:$C,$Z84,K:K),0,VLOOKUP($Z84,'Asset Master'!$A:$J,6,FALSE))</f>
        <v>300000</v>
      </c>
      <c r="AI84" s="52">
        <f>IF(VLOOKUP($Z84,'Asset Master'!$A:$J,6,FALSE)*COUNTIF('Event Trigger'!$C:$C,'Year 1 Results'!$Z84)&gt;SUMIF('Event Trigger'!$C:$C,$Z84,L:L),0,VLOOKUP($Z84,'Asset Master'!$A:$J,6,FALSE))</f>
        <v>300000</v>
      </c>
      <c r="AJ84" s="52">
        <f>IF(VLOOKUP($Z84,'Asset Master'!$A:$J,6,FALSE)*COUNTIF('Event Trigger'!$C:$C,'Year 1 Results'!$Z84)&gt;SUMIF('Event Trigger'!$C:$C,$Z84,M:M),0,VLOOKUP($Z84,'Asset Master'!$A:$J,6,FALSE))</f>
        <v>300000</v>
      </c>
    </row>
    <row r="85" spans="1:36" x14ac:dyDescent="0.25">
      <c r="A85" s="37" t="str">
        <f>'Risk Master'!B85:B183&amp;"-"&amp;'Risk Master'!D85</f>
        <v>Earthquake-Germany</v>
      </c>
      <c r="B85" s="37" t="str">
        <f>'Input Sheet year 2'!B86</f>
        <v>Earthquake-Germany</v>
      </c>
      <c r="C85" s="29" t="str">
        <f>'Risk Master'!F85</f>
        <v>A25</v>
      </c>
      <c r="D85" s="73">
        <f>'Risk Master'!$G85*-1+('Risk Master'!$G85*'Event Trigger'!$D85*(1-'Input Sheet year 1'!H86))</f>
        <v>300000</v>
      </c>
      <c r="E85" s="73">
        <f>'Risk Master'!$G85*-1+('Risk Master'!$G85*'Event Trigger'!$D85*(1-'Input Sheet year 2'!I86))</f>
        <v>300000</v>
      </c>
      <c r="F85" s="73">
        <f>'Risk Master'!$G85*-1+('Risk Master'!$G85*'Event Trigger'!$D85*(1-'Input Sheet year 2'!J86))</f>
        <v>300000</v>
      </c>
      <c r="G85" s="73">
        <f>'Risk Master'!$G85*-1+('Risk Master'!$G85*'Event Trigger'!$D85*(1-'Input Sheet year 2'!K86))</f>
        <v>300000</v>
      </c>
      <c r="H85" s="73">
        <f>'Risk Master'!$G85*-1+('Risk Master'!$G85*'Event Trigger'!$D85*(1-'Input Sheet year 2'!L86))</f>
        <v>300000</v>
      </c>
      <c r="I85" s="73">
        <f>'Risk Master'!$G85*-1+('Risk Master'!$G85*'Event Trigger'!$D85*(1-'Input Sheet year 2'!M86))</f>
        <v>300000</v>
      </c>
      <c r="J85" s="73">
        <f>'Risk Master'!$G85*-1+('Risk Master'!$G85*'Event Trigger'!$D85*(1-'Input Sheet year 2'!N86))</f>
        <v>300000</v>
      </c>
      <c r="K85" s="73">
        <f>'Risk Master'!$G85*-1+('Risk Master'!$G85*'Event Trigger'!$D85*(1-'Input Sheet year 2'!O86))</f>
        <v>300000</v>
      </c>
      <c r="L85" s="73">
        <f>'Risk Master'!$G85*-1+('Risk Master'!$G85*'Event Trigger'!$D85*(1-'Input Sheet year 2'!P86))</f>
        <v>300000</v>
      </c>
      <c r="M85" s="73">
        <f>'Risk Master'!$G85*-1+('Risk Master'!$G85*'Event Trigger'!$D85*(1-'Input Sheet year 2'!Q86))</f>
        <v>300000</v>
      </c>
      <c r="N85" s="88"/>
      <c r="O85" s="88">
        <f t="shared" si="10"/>
        <v>-300000</v>
      </c>
      <c r="P85" s="88">
        <f t="shared" si="11"/>
        <v>-300000</v>
      </c>
      <c r="Q85" s="88">
        <f t="shared" si="12"/>
        <v>-300000</v>
      </c>
      <c r="R85" s="88">
        <f t="shared" si="13"/>
        <v>-300000</v>
      </c>
      <c r="S85" s="88">
        <f t="shared" si="14"/>
        <v>-300000</v>
      </c>
      <c r="T85" s="88">
        <f t="shared" si="15"/>
        <v>-300000</v>
      </c>
      <c r="U85" s="88">
        <f t="shared" si="16"/>
        <v>-300000</v>
      </c>
      <c r="V85" s="88">
        <f t="shared" si="17"/>
        <v>-300000</v>
      </c>
      <c r="W85" s="88">
        <f t="shared" si="18"/>
        <v>-300000</v>
      </c>
      <c r="X85" s="88">
        <f t="shared" si="19"/>
        <v>-300000</v>
      </c>
      <c r="Z85" s="51" t="s">
        <v>248</v>
      </c>
      <c r="AA85" s="52">
        <f>IF(VLOOKUP($Z85,'Asset Master'!$A:$J,6,FALSE)*COUNTIF('Event Trigger'!$C:$C,'Year 1 Results'!$Z85)&gt;SUMIF('Event Trigger'!$C:$C,$Z85,D:D),0,VLOOKUP($Z85,'Asset Master'!$A:$J,6,FALSE))</f>
        <v>0</v>
      </c>
      <c r="AB85" s="52">
        <f>IF(VLOOKUP($Z85,'Asset Master'!$A:$J,6,FALSE)*COUNTIF('Event Trigger'!$C:$C,'Year 1 Results'!$Z85)&gt;SUMIF('Event Trigger'!$C:$C,$Z85,E:E),0,VLOOKUP($Z85,'Asset Master'!$A:$J,6,FALSE))</f>
        <v>0</v>
      </c>
      <c r="AC85" s="52">
        <f>IF(VLOOKUP($Z85,'Asset Master'!$A:$J,6,FALSE)*COUNTIF('Event Trigger'!$C:$C,'Year 1 Results'!$Z85)&gt;SUMIF('Event Trigger'!$C:$C,$Z85,F:F),0,VLOOKUP($Z85,'Asset Master'!$A:$J,6,FALSE))</f>
        <v>0</v>
      </c>
      <c r="AD85" s="52">
        <f>IF(VLOOKUP($Z85,'Asset Master'!$A:$J,6,FALSE)*COUNTIF('Event Trigger'!$C:$C,'Year 1 Results'!$Z85)&gt;SUMIF('Event Trigger'!$C:$C,$Z85,G:G),0,VLOOKUP($Z85,'Asset Master'!$A:$J,6,FALSE))</f>
        <v>0</v>
      </c>
      <c r="AE85" s="52">
        <f>IF(VLOOKUP($Z85,'Asset Master'!$A:$J,6,FALSE)*COUNTIF('Event Trigger'!$C:$C,'Year 1 Results'!$Z85)&gt;SUMIF('Event Trigger'!$C:$C,$Z85,H:H),0,VLOOKUP($Z85,'Asset Master'!$A:$J,6,FALSE))</f>
        <v>0</v>
      </c>
      <c r="AF85" s="52">
        <f>IF(VLOOKUP($Z85,'Asset Master'!$A:$J,6,FALSE)*COUNTIF('Event Trigger'!$C:$C,'Year 1 Results'!$Z85)&gt;SUMIF('Event Trigger'!$C:$C,$Z85,I:I),0,VLOOKUP($Z85,'Asset Master'!$A:$J,6,FALSE))</f>
        <v>0</v>
      </c>
      <c r="AG85" s="52">
        <f>IF(VLOOKUP($Z85,'Asset Master'!$A:$J,6,FALSE)*COUNTIF('Event Trigger'!$C:$C,'Year 1 Results'!$Z85)&gt;SUMIF('Event Trigger'!$C:$C,$Z85,J:J),0,VLOOKUP($Z85,'Asset Master'!$A:$J,6,FALSE))</f>
        <v>0</v>
      </c>
      <c r="AH85" s="52">
        <f>IF(VLOOKUP($Z85,'Asset Master'!$A:$J,6,FALSE)*COUNTIF('Event Trigger'!$C:$C,'Year 1 Results'!$Z85)&gt;SUMIF('Event Trigger'!$C:$C,$Z85,K:K),0,VLOOKUP($Z85,'Asset Master'!$A:$J,6,FALSE))</f>
        <v>0</v>
      </c>
      <c r="AI85" s="52">
        <f>IF(VLOOKUP($Z85,'Asset Master'!$A:$J,6,FALSE)*COUNTIF('Event Trigger'!$C:$C,'Year 1 Results'!$Z85)&gt;SUMIF('Event Trigger'!$C:$C,$Z85,L:L),0,VLOOKUP($Z85,'Asset Master'!$A:$J,6,FALSE))</f>
        <v>0</v>
      </c>
      <c r="AJ85" s="52">
        <f>IF(VLOOKUP($Z85,'Asset Master'!$A:$J,6,FALSE)*COUNTIF('Event Trigger'!$C:$C,'Year 1 Results'!$Z85)&gt;SUMIF('Event Trigger'!$C:$C,$Z85,M:M),0,VLOOKUP($Z85,'Asset Master'!$A:$J,6,FALSE))</f>
        <v>0</v>
      </c>
    </row>
    <row r="86" spans="1:36" x14ac:dyDescent="0.25">
      <c r="A86" s="37" t="str">
        <f>'Risk Master'!B86:B183&amp;"-"&amp;'Risk Master'!D86</f>
        <v>Fire-Germany</v>
      </c>
      <c r="B86" s="37" t="str">
        <f>'Input Sheet year 2'!B87</f>
        <v>Fire-Germany</v>
      </c>
      <c r="C86" s="29" t="str">
        <f>'Risk Master'!F86</f>
        <v>A25</v>
      </c>
      <c r="D86" s="73">
        <f>'Risk Master'!$G86*-1+('Risk Master'!$G86*'Event Trigger'!$D86*(1-'Input Sheet year 1'!H87))</f>
        <v>300000</v>
      </c>
      <c r="E86" s="73">
        <f>'Risk Master'!$G86*-1+('Risk Master'!$G86*'Event Trigger'!$D86*(1-'Input Sheet year 2'!I87))</f>
        <v>300000</v>
      </c>
      <c r="F86" s="73">
        <f>'Risk Master'!$G86*-1+('Risk Master'!$G86*'Event Trigger'!$D86*(1-'Input Sheet year 2'!J87))</f>
        <v>300000</v>
      </c>
      <c r="G86" s="73">
        <f>'Risk Master'!$G86*-1+('Risk Master'!$G86*'Event Trigger'!$D86*(1-'Input Sheet year 2'!K87))</f>
        <v>300000</v>
      </c>
      <c r="H86" s="73">
        <f>'Risk Master'!$G86*-1+('Risk Master'!$G86*'Event Trigger'!$D86*(1-'Input Sheet year 2'!L87))</f>
        <v>300000</v>
      </c>
      <c r="I86" s="73">
        <f>'Risk Master'!$G86*-1+('Risk Master'!$G86*'Event Trigger'!$D86*(1-'Input Sheet year 2'!M87))</f>
        <v>300000</v>
      </c>
      <c r="J86" s="73">
        <f>'Risk Master'!$G86*-1+('Risk Master'!$G86*'Event Trigger'!$D86*(1-'Input Sheet year 2'!N87))</f>
        <v>300000</v>
      </c>
      <c r="K86" s="73">
        <f>'Risk Master'!$G86*-1+('Risk Master'!$G86*'Event Trigger'!$D86*(1-'Input Sheet year 2'!O87))</f>
        <v>300000</v>
      </c>
      <c r="L86" s="73">
        <f>'Risk Master'!$G86*-1+('Risk Master'!$G86*'Event Trigger'!$D86*(1-'Input Sheet year 2'!P87))</f>
        <v>300000</v>
      </c>
      <c r="M86" s="73">
        <f>'Risk Master'!$G86*-1+('Risk Master'!$G86*'Event Trigger'!$D86*(1-'Input Sheet year 2'!Q87))</f>
        <v>300000</v>
      </c>
      <c r="N86" s="88"/>
      <c r="O86" s="88">
        <f t="shared" si="10"/>
        <v>-300000</v>
      </c>
      <c r="P86" s="88">
        <f t="shared" si="11"/>
        <v>-300000</v>
      </c>
      <c r="Q86" s="88">
        <f t="shared" si="12"/>
        <v>-300000</v>
      </c>
      <c r="R86" s="88">
        <f t="shared" si="13"/>
        <v>-300000</v>
      </c>
      <c r="S86" s="88">
        <f t="shared" si="14"/>
        <v>-300000</v>
      </c>
      <c r="T86" s="88">
        <f t="shared" si="15"/>
        <v>-300000</v>
      </c>
      <c r="U86" s="88">
        <f t="shared" si="16"/>
        <v>-300000</v>
      </c>
      <c r="V86" s="88">
        <f t="shared" si="17"/>
        <v>-300000</v>
      </c>
      <c r="W86" s="88">
        <f t="shared" si="18"/>
        <v>-300000</v>
      </c>
      <c r="X86" s="88">
        <f t="shared" si="19"/>
        <v>-300000</v>
      </c>
      <c r="Z86" s="51" t="s">
        <v>249</v>
      </c>
      <c r="AA86" s="52">
        <f>IF(VLOOKUP($Z86,'Asset Master'!$A:$J,6,FALSE)*COUNTIF('Event Trigger'!$C:$C,'Year 1 Results'!$Z86)&gt;SUMIF('Event Trigger'!$C:$C,$Z86,D:D),0,VLOOKUP($Z86,'Asset Master'!$A:$J,6,FALSE))</f>
        <v>0</v>
      </c>
      <c r="AB86" s="52">
        <f>IF(VLOOKUP($Z86,'Asset Master'!$A:$J,6,FALSE)*COUNTIF('Event Trigger'!$C:$C,'Year 1 Results'!$Z86)&gt;SUMIF('Event Trigger'!$C:$C,$Z86,E:E),0,VLOOKUP($Z86,'Asset Master'!$A:$J,6,FALSE))</f>
        <v>0</v>
      </c>
      <c r="AC86" s="52">
        <f>IF(VLOOKUP($Z86,'Asset Master'!$A:$J,6,FALSE)*COUNTIF('Event Trigger'!$C:$C,'Year 1 Results'!$Z86)&gt;SUMIF('Event Trigger'!$C:$C,$Z86,F:F),0,VLOOKUP($Z86,'Asset Master'!$A:$J,6,FALSE))</f>
        <v>0</v>
      </c>
      <c r="AD86" s="52">
        <f>IF(VLOOKUP($Z86,'Asset Master'!$A:$J,6,FALSE)*COUNTIF('Event Trigger'!$C:$C,'Year 1 Results'!$Z86)&gt;SUMIF('Event Trigger'!$C:$C,$Z86,G:G),0,VLOOKUP($Z86,'Asset Master'!$A:$J,6,FALSE))</f>
        <v>0</v>
      </c>
      <c r="AE86" s="52">
        <f>IF(VLOOKUP($Z86,'Asset Master'!$A:$J,6,FALSE)*COUNTIF('Event Trigger'!$C:$C,'Year 1 Results'!$Z86)&gt;SUMIF('Event Trigger'!$C:$C,$Z86,H:H),0,VLOOKUP($Z86,'Asset Master'!$A:$J,6,FALSE))</f>
        <v>0</v>
      </c>
      <c r="AF86" s="52">
        <f>IF(VLOOKUP($Z86,'Asset Master'!$A:$J,6,FALSE)*COUNTIF('Event Trigger'!$C:$C,'Year 1 Results'!$Z86)&gt;SUMIF('Event Trigger'!$C:$C,$Z86,I:I),0,VLOOKUP($Z86,'Asset Master'!$A:$J,6,FALSE))</f>
        <v>0</v>
      </c>
      <c r="AG86" s="52">
        <f>IF(VLOOKUP($Z86,'Asset Master'!$A:$J,6,FALSE)*COUNTIF('Event Trigger'!$C:$C,'Year 1 Results'!$Z86)&gt;SUMIF('Event Trigger'!$C:$C,$Z86,J:J),0,VLOOKUP($Z86,'Asset Master'!$A:$J,6,FALSE))</f>
        <v>0</v>
      </c>
      <c r="AH86" s="52">
        <f>IF(VLOOKUP($Z86,'Asset Master'!$A:$J,6,FALSE)*COUNTIF('Event Trigger'!$C:$C,'Year 1 Results'!$Z86)&gt;SUMIF('Event Trigger'!$C:$C,$Z86,K:K),0,VLOOKUP($Z86,'Asset Master'!$A:$J,6,FALSE))</f>
        <v>0</v>
      </c>
      <c r="AI86" s="52">
        <f>IF(VLOOKUP($Z86,'Asset Master'!$A:$J,6,FALSE)*COUNTIF('Event Trigger'!$C:$C,'Year 1 Results'!$Z86)&gt;SUMIF('Event Trigger'!$C:$C,$Z86,L:L),0,VLOOKUP($Z86,'Asset Master'!$A:$J,6,FALSE))</f>
        <v>0</v>
      </c>
      <c r="AJ86" s="52">
        <f>IF(VLOOKUP($Z86,'Asset Master'!$A:$J,6,FALSE)*COUNTIF('Event Trigger'!$C:$C,'Year 1 Results'!$Z86)&gt;SUMIF('Event Trigger'!$C:$C,$Z86,M:M),0,VLOOKUP($Z86,'Asset Master'!$A:$J,6,FALSE))</f>
        <v>0</v>
      </c>
    </row>
    <row r="87" spans="1:36" ht="25.5" x14ac:dyDescent="0.25">
      <c r="A87" s="37" t="str">
        <f>'Risk Master'!B87:B183&amp;"-"&amp;'Risk Master'!D87</f>
        <v>Thunderstorms, Tornados &amp; Hail-Germany</v>
      </c>
      <c r="B87" s="37" t="str">
        <f>'Input Sheet year 2'!B88</f>
        <v>Thunderstorms, Tornados &amp; Hail-Germany</v>
      </c>
      <c r="C87" s="29" t="str">
        <f>'Risk Master'!F87</f>
        <v>A25</v>
      </c>
      <c r="D87" s="73">
        <f>'Risk Master'!$G87*-1+('Risk Master'!$G87*'Event Trigger'!$D87*(1-'Input Sheet year 1'!H88))</f>
        <v>300000</v>
      </c>
      <c r="E87" s="73">
        <f>'Risk Master'!$G87*-1+('Risk Master'!$G87*'Event Trigger'!$D87*(1-'Input Sheet year 2'!I88))</f>
        <v>300000</v>
      </c>
      <c r="F87" s="73">
        <f>'Risk Master'!$G87*-1+('Risk Master'!$G87*'Event Trigger'!$D87*(1-'Input Sheet year 2'!J88))</f>
        <v>300000</v>
      </c>
      <c r="G87" s="73">
        <f>'Risk Master'!$G87*-1+('Risk Master'!$G87*'Event Trigger'!$D87*(1-'Input Sheet year 2'!K88))</f>
        <v>300000</v>
      </c>
      <c r="H87" s="73">
        <f>'Risk Master'!$G87*-1+('Risk Master'!$G87*'Event Trigger'!$D87*(1-'Input Sheet year 2'!L88))</f>
        <v>300000</v>
      </c>
      <c r="I87" s="73">
        <f>'Risk Master'!$G87*-1+('Risk Master'!$G87*'Event Trigger'!$D87*(1-'Input Sheet year 2'!M88))</f>
        <v>300000</v>
      </c>
      <c r="J87" s="73">
        <f>'Risk Master'!$G87*-1+('Risk Master'!$G87*'Event Trigger'!$D87*(1-'Input Sheet year 2'!N88))</f>
        <v>300000</v>
      </c>
      <c r="K87" s="73">
        <f>'Risk Master'!$G87*-1+('Risk Master'!$G87*'Event Trigger'!$D87*(1-'Input Sheet year 2'!O88))</f>
        <v>300000</v>
      </c>
      <c r="L87" s="73">
        <f>'Risk Master'!$G87*-1+('Risk Master'!$G87*'Event Trigger'!$D87*(1-'Input Sheet year 2'!P88))</f>
        <v>300000</v>
      </c>
      <c r="M87" s="73">
        <f>'Risk Master'!$G87*-1+('Risk Master'!$G87*'Event Trigger'!$D87*(1-'Input Sheet year 2'!Q88))</f>
        <v>300000</v>
      </c>
      <c r="N87" s="88"/>
      <c r="O87" s="88">
        <f t="shared" si="10"/>
        <v>-300000</v>
      </c>
      <c r="P87" s="88">
        <f t="shared" si="11"/>
        <v>-300000</v>
      </c>
      <c r="Q87" s="88">
        <f t="shared" si="12"/>
        <v>-300000</v>
      </c>
      <c r="R87" s="88">
        <f t="shared" si="13"/>
        <v>-300000</v>
      </c>
      <c r="S87" s="88">
        <f t="shared" si="14"/>
        <v>-300000</v>
      </c>
      <c r="T87" s="88">
        <f t="shared" si="15"/>
        <v>-300000</v>
      </c>
      <c r="U87" s="88">
        <f t="shared" si="16"/>
        <v>-300000</v>
      </c>
      <c r="V87" s="88">
        <f t="shared" si="17"/>
        <v>-300000</v>
      </c>
      <c r="W87" s="88">
        <f t="shared" si="18"/>
        <v>-300000</v>
      </c>
      <c r="X87" s="88">
        <f t="shared" si="19"/>
        <v>-300000</v>
      </c>
      <c r="Z87" s="51" t="s">
        <v>250</v>
      </c>
      <c r="AA87" s="52">
        <f>IF(VLOOKUP($Z87,'Asset Master'!$A:$J,6,FALSE)*COUNTIF('Event Trigger'!$C:$C,'Year 1 Results'!$Z87)&gt;SUMIF('Event Trigger'!$C:$C,$Z87,D:D),0,VLOOKUP($Z87,'Asset Master'!$A:$J,6,FALSE))</f>
        <v>0</v>
      </c>
      <c r="AB87" s="52">
        <f>IF(VLOOKUP($Z87,'Asset Master'!$A:$J,6,FALSE)*COUNTIF('Event Trigger'!$C:$C,'Year 1 Results'!$Z87)&gt;SUMIF('Event Trigger'!$C:$C,$Z87,E:E),0,VLOOKUP($Z87,'Asset Master'!$A:$J,6,FALSE))</f>
        <v>0</v>
      </c>
      <c r="AC87" s="52">
        <f>IF(VLOOKUP($Z87,'Asset Master'!$A:$J,6,FALSE)*COUNTIF('Event Trigger'!$C:$C,'Year 1 Results'!$Z87)&gt;SUMIF('Event Trigger'!$C:$C,$Z87,F:F),0,VLOOKUP($Z87,'Asset Master'!$A:$J,6,FALSE))</f>
        <v>0</v>
      </c>
      <c r="AD87" s="52">
        <f>IF(VLOOKUP($Z87,'Asset Master'!$A:$J,6,FALSE)*COUNTIF('Event Trigger'!$C:$C,'Year 1 Results'!$Z87)&gt;SUMIF('Event Trigger'!$C:$C,$Z87,G:G),0,VLOOKUP($Z87,'Asset Master'!$A:$J,6,FALSE))</f>
        <v>0</v>
      </c>
      <c r="AE87" s="52">
        <f>IF(VLOOKUP($Z87,'Asset Master'!$A:$J,6,FALSE)*COUNTIF('Event Trigger'!$C:$C,'Year 1 Results'!$Z87)&gt;SUMIF('Event Trigger'!$C:$C,$Z87,H:H),0,VLOOKUP($Z87,'Asset Master'!$A:$J,6,FALSE))</f>
        <v>0</v>
      </c>
      <c r="AF87" s="52">
        <f>IF(VLOOKUP($Z87,'Asset Master'!$A:$J,6,FALSE)*COUNTIF('Event Trigger'!$C:$C,'Year 1 Results'!$Z87)&gt;SUMIF('Event Trigger'!$C:$C,$Z87,I:I),0,VLOOKUP($Z87,'Asset Master'!$A:$J,6,FALSE))</f>
        <v>0</v>
      </c>
      <c r="AG87" s="52">
        <f>IF(VLOOKUP($Z87,'Asset Master'!$A:$J,6,FALSE)*COUNTIF('Event Trigger'!$C:$C,'Year 1 Results'!$Z87)&gt;SUMIF('Event Trigger'!$C:$C,$Z87,J:J),0,VLOOKUP($Z87,'Asset Master'!$A:$J,6,FALSE))</f>
        <v>0</v>
      </c>
      <c r="AH87" s="52">
        <f>IF(VLOOKUP($Z87,'Asset Master'!$A:$J,6,FALSE)*COUNTIF('Event Trigger'!$C:$C,'Year 1 Results'!$Z87)&gt;SUMIF('Event Trigger'!$C:$C,$Z87,K:K),0,VLOOKUP($Z87,'Asset Master'!$A:$J,6,FALSE))</f>
        <v>0</v>
      </c>
      <c r="AI87" s="52">
        <f>IF(VLOOKUP($Z87,'Asset Master'!$A:$J,6,FALSE)*COUNTIF('Event Trigger'!$C:$C,'Year 1 Results'!$Z87)&gt;SUMIF('Event Trigger'!$C:$C,$Z87,L:L),0,VLOOKUP($Z87,'Asset Master'!$A:$J,6,FALSE))</f>
        <v>0</v>
      </c>
      <c r="AJ87" s="52">
        <f>IF(VLOOKUP($Z87,'Asset Master'!$A:$J,6,FALSE)*COUNTIF('Event Trigger'!$C:$C,'Year 1 Results'!$Z87)&gt;SUMIF('Event Trigger'!$C:$C,$Z87,M:M),0,VLOOKUP($Z87,'Asset Master'!$A:$J,6,FALSE))</f>
        <v>0</v>
      </c>
    </row>
    <row r="88" spans="1:36" x14ac:dyDescent="0.25">
      <c r="A88" s="37" t="str">
        <f>'Risk Master'!B88:B183&amp;"-"&amp;'Risk Master'!D88</f>
        <v>Hurricane-Typhoon -Germany</v>
      </c>
      <c r="B88" s="37" t="str">
        <f>'Input Sheet year 2'!B89</f>
        <v>Hurricane-Typhoon -Germany</v>
      </c>
      <c r="C88" s="29" t="str">
        <f>'Risk Master'!F88</f>
        <v>A28</v>
      </c>
      <c r="D88" s="73">
        <f>'Risk Master'!$G88*-1+('Risk Master'!$G88*'Event Trigger'!$D88*(1-'Input Sheet year 1'!H89))</f>
        <v>400000</v>
      </c>
      <c r="E88" s="73">
        <f>'Risk Master'!$G88*-1+('Risk Master'!$G88*'Event Trigger'!$D88*(1-'Input Sheet year 2'!I89))</f>
        <v>400000</v>
      </c>
      <c r="F88" s="73">
        <f>'Risk Master'!$G88*-1+('Risk Master'!$G88*'Event Trigger'!$D88*(1-'Input Sheet year 2'!J89))</f>
        <v>400000</v>
      </c>
      <c r="G88" s="73">
        <f>'Risk Master'!$G88*-1+('Risk Master'!$G88*'Event Trigger'!$D88*(1-'Input Sheet year 2'!K89))</f>
        <v>400000</v>
      </c>
      <c r="H88" s="73">
        <f>'Risk Master'!$G88*-1+('Risk Master'!$G88*'Event Trigger'!$D88*(1-'Input Sheet year 2'!L89))</f>
        <v>400000</v>
      </c>
      <c r="I88" s="73">
        <f>'Risk Master'!$G88*-1+('Risk Master'!$G88*'Event Trigger'!$D88*(1-'Input Sheet year 2'!M89))</f>
        <v>400000</v>
      </c>
      <c r="J88" s="73">
        <f>'Risk Master'!$G88*-1+('Risk Master'!$G88*'Event Trigger'!$D88*(1-'Input Sheet year 2'!N89))</f>
        <v>400000</v>
      </c>
      <c r="K88" s="73">
        <f>'Risk Master'!$G88*-1+('Risk Master'!$G88*'Event Trigger'!$D88*(1-'Input Sheet year 2'!O89))</f>
        <v>400000</v>
      </c>
      <c r="L88" s="73">
        <f>'Risk Master'!$G88*-1+('Risk Master'!$G88*'Event Trigger'!$D88*(1-'Input Sheet year 2'!P89))</f>
        <v>400000</v>
      </c>
      <c r="M88" s="73">
        <f>'Risk Master'!$G88*-1+('Risk Master'!$G88*'Event Trigger'!$D88*(1-'Input Sheet year 2'!Q89))</f>
        <v>400000</v>
      </c>
      <c r="N88" s="88"/>
      <c r="O88" s="88">
        <f t="shared" si="10"/>
        <v>-400000</v>
      </c>
      <c r="P88" s="88">
        <f t="shared" si="11"/>
        <v>-400000</v>
      </c>
      <c r="Q88" s="88">
        <f t="shared" si="12"/>
        <v>-400000</v>
      </c>
      <c r="R88" s="88">
        <f t="shared" si="13"/>
        <v>-400000</v>
      </c>
      <c r="S88" s="88">
        <f t="shared" si="14"/>
        <v>-400000</v>
      </c>
      <c r="T88" s="88">
        <f t="shared" si="15"/>
        <v>-400000</v>
      </c>
      <c r="U88" s="88">
        <f t="shared" si="16"/>
        <v>-400000</v>
      </c>
      <c r="V88" s="88">
        <f t="shared" si="17"/>
        <v>-400000</v>
      </c>
      <c r="W88" s="88">
        <f t="shared" si="18"/>
        <v>-400000</v>
      </c>
      <c r="X88" s="88">
        <f t="shared" si="19"/>
        <v>-400000</v>
      </c>
      <c r="Z88" s="51" t="s">
        <v>251</v>
      </c>
      <c r="AA88" s="52">
        <f>IF(VLOOKUP($Z88,'Asset Master'!$A:$J,6,FALSE)*COUNTIF('Event Trigger'!$C:$C,'Year 1 Results'!$Z88)&gt;SUMIF('Event Trigger'!$C:$C,$Z88,D:D),0,VLOOKUP($Z88,'Asset Master'!$A:$J,6,FALSE))</f>
        <v>0</v>
      </c>
      <c r="AB88" s="52">
        <f>IF(VLOOKUP($Z88,'Asset Master'!$A:$J,6,FALSE)*COUNTIF('Event Trigger'!$C:$C,'Year 1 Results'!$Z88)&gt;SUMIF('Event Trigger'!$C:$C,$Z88,E:E),0,VLOOKUP($Z88,'Asset Master'!$A:$J,6,FALSE))</f>
        <v>0</v>
      </c>
      <c r="AC88" s="52">
        <f>IF(VLOOKUP($Z88,'Asset Master'!$A:$J,6,FALSE)*COUNTIF('Event Trigger'!$C:$C,'Year 1 Results'!$Z88)&gt;SUMIF('Event Trigger'!$C:$C,$Z88,F:F),0,VLOOKUP($Z88,'Asset Master'!$A:$J,6,FALSE))</f>
        <v>0</v>
      </c>
      <c r="AD88" s="52">
        <f>IF(VLOOKUP($Z88,'Asset Master'!$A:$J,6,FALSE)*COUNTIF('Event Trigger'!$C:$C,'Year 1 Results'!$Z88)&gt;SUMIF('Event Trigger'!$C:$C,$Z88,G:G),0,VLOOKUP($Z88,'Asset Master'!$A:$J,6,FALSE))</f>
        <v>0</v>
      </c>
      <c r="AE88" s="52">
        <f>IF(VLOOKUP($Z88,'Asset Master'!$A:$J,6,FALSE)*COUNTIF('Event Trigger'!$C:$C,'Year 1 Results'!$Z88)&gt;SUMIF('Event Trigger'!$C:$C,$Z88,H:H),0,VLOOKUP($Z88,'Asset Master'!$A:$J,6,FALSE))</f>
        <v>0</v>
      </c>
      <c r="AF88" s="52">
        <f>IF(VLOOKUP($Z88,'Asset Master'!$A:$J,6,FALSE)*COUNTIF('Event Trigger'!$C:$C,'Year 1 Results'!$Z88)&gt;SUMIF('Event Trigger'!$C:$C,$Z88,I:I),0,VLOOKUP($Z88,'Asset Master'!$A:$J,6,FALSE))</f>
        <v>0</v>
      </c>
      <c r="AG88" s="52">
        <f>IF(VLOOKUP($Z88,'Asset Master'!$A:$J,6,FALSE)*COUNTIF('Event Trigger'!$C:$C,'Year 1 Results'!$Z88)&gt;SUMIF('Event Trigger'!$C:$C,$Z88,J:J),0,VLOOKUP($Z88,'Asset Master'!$A:$J,6,FALSE))</f>
        <v>0</v>
      </c>
      <c r="AH88" s="52">
        <f>IF(VLOOKUP($Z88,'Asset Master'!$A:$J,6,FALSE)*COUNTIF('Event Trigger'!$C:$C,'Year 1 Results'!$Z88)&gt;SUMIF('Event Trigger'!$C:$C,$Z88,K:K),0,VLOOKUP($Z88,'Asset Master'!$A:$J,6,FALSE))</f>
        <v>0</v>
      </c>
      <c r="AI88" s="52">
        <f>IF(VLOOKUP($Z88,'Asset Master'!$A:$J,6,FALSE)*COUNTIF('Event Trigger'!$C:$C,'Year 1 Results'!$Z88)&gt;SUMIF('Event Trigger'!$C:$C,$Z88,L:L),0,VLOOKUP($Z88,'Asset Master'!$A:$J,6,FALSE))</f>
        <v>0</v>
      </c>
      <c r="AJ88" s="52">
        <f>IF(VLOOKUP($Z88,'Asset Master'!$A:$J,6,FALSE)*COUNTIF('Event Trigger'!$C:$C,'Year 1 Results'!$Z88)&gt;SUMIF('Event Trigger'!$C:$C,$Z88,M:M),0,VLOOKUP($Z88,'Asset Master'!$A:$J,6,FALSE))</f>
        <v>0</v>
      </c>
    </row>
    <row r="89" spans="1:36" x14ac:dyDescent="0.25">
      <c r="A89" s="37" t="str">
        <f>'Risk Master'!B89:B183&amp;"-"&amp;'Risk Master'!D89</f>
        <v>Earthquake-Germany</v>
      </c>
      <c r="B89" s="37" t="str">
        <f>'Input Sheet year 2'!B90</f>
        <v>Earthquake-Germany</v>
      </c>
      <c r="C89" s="29" t="str">
        <f>'Risk Master'!F89</f>
        <v>A28</v>
      </c>
      <c r="D89" s="73">
        <f>'Risk Master'!$G89*-1+('Risk Master'!$G89*'Event Trigger'!$D89*(1-'Input Sheet year 1'!H90))</f>
        <v>400000</v>
      </c>
      <c r="E89" s="73">
        <f>'Risk Master'!$G89*-1+('Risk Master'!$G89*'Event Trigger'!$D89*(1-'Input Sheet year 2'!I90))</f>
        <v>400000</v>
      </c>
      <c r="F89" s="73">
        <f>'Risk Master'!$G89*-1+('Risk Master'!$G89*'Event Trigger'!$D89*(1-'Input Sheet year 2'!J90))</f>
        <v>400000</v>
      </c>
      <c r="G89" s="73">
        <f>'Risk Master'!$G89*-1+('Risk Master'!$G89*'Event Trigger'!$D89*(1-'Input Sheet year 2'!K90))</f>
        <v>400000</v>
      </c>
      <c r="H89" s="73">
        <f>'Risk Master'!$G89*-1+('Risk Master'!$G89*'Event Trigger'!$D89*(1-'Input Sheet year 2'!L90))</f>
        <v>400000</v>
      </c>
      <c r="I89" s="73">
        <f>'Risk Master'!$G89*-1+('Risk Master'!$G89*'Event Trigger'!$D89*(1-'Input Sheet year 2'!M90))</f>
        <v>400000</v>
      </c>
      <c r="J89" s="73">
        <f>'Risk Master'!$G89*-1+('Risk Master'!$G89*'Event Trigger'!$D89*(1-'Input Sheet year 2'!N90))</f>
        <v>400000</v>
      </c>
      <c r="K89" s="73">
        <f>'Risk Master'!$G89*-1+('Risk Master'!$G89*'Event Trigger'!$D89*(1-'Input Sheet year 2'!O90))</f>
        <v>400000</v>
      </c>
      <c r="L89" s="73">
        <f>'Risk Master'!$G89*-1+('Risk Master'!$G89*'Event Trigger'!$D89*(1-'Input Sheet year 2'!P90))</f>
        <v>400000</v>
      </c>
      <c r="M89" s="73">
        <f>'Risk Master'!$G89*-1+('Risk Master'!$G89*'Event Trigger'!$D89*(1-'Input Sheet year 2'!Q90))</f>
        <v>400000</v>
      </c>
      <c r="N89" s="88"/>
      <c r="O89" s="88">
        <f t="shared" si="10"/>
        <v>-400000</v>
      </c>
      <c r="P89" s="88">
        <f t="shared" si="11"/>
        <v>-400000</v>
      </c>
      <c r="Q89" s="88">
        <f t="shared" si="12"/>
        <v>-400000</v>
      </c>
      <c r="R89" s="88">
        <f t="shared" si="13"/>
        <v>-400000</v>
      </c>
      <c r="S89" s="88">
        <f t="shared" si="14"/>
        <v>-400000</v>
      </c>
      <c r="T89" s="88">
        <f t="shared" si="15"/>
        <v>-400000</v>
      </c>
      <c r="U89" s="88">
        <f t="shared" si="16"/>
        <v>-400000</v>
      </c>
      <c r="V89" s="88">
        <f t="shared" si="17"/>
        <v>-400000</v>
      </c>
      <c r="W89" s="88">
        <f t="shared" si="18"/>
        <v>-400000</v>
      </c>
      <c r="X89" s="88">
        <f t="shared" si="19"/>
        <v>-400000</v>
      </c>
      <c r="Z89" s="51" t="s">
        <v>252</v>
      </c>
      <c r="AA89" s="52">
        <f>IF(VLOOKUP($Z89,'Asset Master'!$A:$J,6,FALSE)*COUNTIF('Event Trigger'!$C:$C,'Year 1 Results'!$Z89)&gt;SUMIF('Event Trigger'!$C:$C,$Z89,D:D),0,VLOOKUP($Z89,'Asset Master'!$A:$J,6,FALSE))</f>
        <v>500000</v>
      </c>
      <c r="AB89" s="52">
        <f>IF(VLOOKUP($Z89,'Asset Master'!$A:$J,6,FALSE)*COUNTIF('Event Trigger'!$C:$C,'Year 1 Results'!$Z89)&gt;SUMIF('Event Trigger'!$C:$C,$Z89,E:E),0,VLOOKUP($Z89,'Asset Master'!$A:$J,6,FALSE))</f>
        <v>500000</v>
      </c>
      <c r="AC89" s="52">
        <f>IF(VLOOKUP($Z89,'Asset Master'!$A:$J,6,FALSE)*COUNTIF('Event Trigger'!$C:$C,'Year 1 Results'!$Z89)&gt;SUMIF('Event Trigger'!$C:$C,$Z89,F:F),0,VLOOKUP($Z89,'Asset Master'!$A:$J,6,FALSE))</f>
        <v>500000</v>
      </c>
      <c r="AD89" s="52">
        <f>IF(VLOOKUP($Z89,'Asset Master'!$A:$J,6,FALSE)*COUNTIF('Event Trigger'!$C:$C,'Year 1 Results'!$Z89)&gt;SUMIF('Event Trigger'!$C:$C,$Z89,G:G),0,VLOOKUP($Z89,'Asset Master'!$A:$J,6,FALSE))</f>
        <v>500000</v>
      </c>
      <c r="AE89" s="52">
        <f>IF(VLOOKUP($Z89,'Asset Master'!$A:$J,6,FALSE)*COUNTIF('Event Trigger'!$C:$C,'Year 1 Results'!$Z89)&gt;SUMIF('Event Trigger'!$C:$C,$Z89,H:H),0,VLOOKUP($Z89,'Asset Master'!$A:$J,6,FALSE))</f>
        <v>500000</v>
      </c>
      <c r="AF89" s="52">
        <f>IF(VLOOKUP($Z89,'Asset Master'!$A:$J,6,FALSE)*COUNTIF('Event Trigger'!$C:$C,'Year 1 Results'!$Z89)&gt;SUMIF('Event Trigger'!$C:$C,$Z89,I:I),0,VLOOKUP($Z89,'Asset Master'!$A:$J,6,FALSE))</f>
        <v>500000</v>
      </c>
      <c r="AG89" s="52">
        <f>IF(VLOOKUP($Z89,'Asset Master'!$A:$J,6,FALSE)*COUNTIF('Event Trigger'!$C:$C,'Year 1 Results'!$Z89)&gt;SUMIF('Event Trigger'!$C:$C,$Z89,J:J),0,VLOOKUP($Z89,'Asset Master'!$A:$J,6,FALSE))</f>
        <v>500000</v>
      </c>
      <c r="AH89" s="52">
        <f>IF(VLOOKUP($Z89,'Asset Master'!$A:$J,6,FALSE)*COUNTIF('Event Trigger'!$C:$C,'Year 1 Results'!$Z89)&gt;SUMIF('Event Trigger'!$C:$C,$Z89,K:K),0,VLOOKUP($Z89,'Asset Master'!$A:$J,6,FALSE))</f>
        <v>500000</v>
      </c>
      <c r="AI89" s="52">
        <f>IF(VLOOKUP($Z89,'Asset Master'!$A:$J,6,FALSE)*COUNTIF('Event Trigger'!$C:$C,'Year 1 Results'!$Z89)&gt;SUMIF('Event Trigger'!$C:$C,$Z89,L:L),0,VLOOKUP($Z89,'Asset Master'!$A:$J,6,FALSE))</f>
        <v>500000</v>
      </c>
      <c r="AJ89" s="52">
        <f>IF(VLOOKUP($Z89,'Asset Master'!$A:$J,6,FALSE)*COUNTIF('Event Trigger'!$C:$C,'Year 1 Results'!$Z89)&gt;SUMIF('Event Trigger'!$C:$C,$Z89,M:M),0,VLOOKUP($Z89,'Asset Master'!$A:$J,6,FALSE))</f>
        <v>500000</v>
      </c>
    </row>
    <row r="90" spans="1:36" x14ac:dyDescent="0.25">
      <c r="A90" s="37" t="str">
        <f>'Risk Master'!B90:B183&amp;"-"&amp;'Risk Master'!D90</f>
        <v>Fire-Germany</v>
      </c>
      <c r="B90" s="37" t="str">
        <f>'Input Sheet year 2'!B91</f>
        <v>Fire-Germany</v>
      </c>
      <c r="C90" s="29" t="str">
        <f>'Risk Master'!F90</f>
        <v>A28</v>
      </c>
      <c r="D90" s="73">
        <f>'Risk Master'!$G90*-1+('Risk Master'!$G90*'Event Trigger'!$D90*(1-'Input Sheet year 1'!H91))</f>
        <v>400000</v>
      </c>
      <c r="E90" s="73">
        <f>'Risk Master'!$G90*-1+('Risk Master'!$G90*'Event Trigger'!$D90*(1-'Input Sheet year 2'!I91))</f>
        <v>400000</v>
      </c>
      <c r="F90" s="73">
        <f>'Risk Master'!$G90*-1+('Risk Master'!$G90*'Event Trigger'!$D90*(1-'Input Sheet year 2'!J91))</f>
        <v>400000</v>
      </c>
      <c r="G90" s="73">
        <f>'Risk Master'!$G90*-1+('Risk Master'!$G90*'Event Trigger'!$D90*(1-'Input Sheet year 2'!K91))</f>
        <v>400000</v>
      </c>
      <c r="H90" s="73">
        <f>'Risk Master'!$G90*-1+('Risk Master'!$G90*'Event Trigger'!$D90*(1-'Input Sheet year 2'!L91))</f>
        <v>400000</v>
      </c>
      <c r="I90" s="73">
        <f>'Risk Master'!$G90*-1+('Risk Master'!$G90*'Event Trigger'!$D90*(1-'Input Sheet year 2'!M91))</f>
        <v>400000</v>
      </c>
      <c r="J90" s="73">
        <f>'Risk Master'!$G90*-1+('Risk Master'!$G90*'Event Trigger'!$D90*(1-'Input Sheet year 2'!N91))</f>
        <v>400000</v>
      </c>
      <c r="K90" s="73">
        <f>'Risk Master'!$G90*-1+('Risk Master'!$G90*'Event Trigger'!$D90*(1-'Input Sheet year 2'!O91))</f>
        <v>400000</v>
      </c>
      <c r="L90" s="73">
        <f>'Risk Master'!$G90*-1+('Risk Master'!$G90*'Event Trigger'!$D90*(1-'Input Sheet year 2'!P91))</f>
        <v>400000</v>
      </c>
      <c r="M90" s="73">
        <f>'Risk Master'!$G90*-1+('Risk Master'!$G90*'Event Trigger'!$D90*(1-'Input Sheet year 2'!Q91))</f>
        <v>400000</v>
      </c>
      <c r="N90" s="88"/>
      <c r="O90" s="88">
        <f t="shared" si="10"/>
        <v>-400000</v>
      </c>
      <c r="P90" s="88">
        <f t="shared" si="11"/>
        <v>-400000</v>
      </c>
      <c r="Q90" s="88">
        <f t="shared" si="12"/>
        <v>-400000</v>
      </c>
      <c r="R90" s="88">
        <f t="shared" si="13"/>
        <v>-400000</v>
      </c>
      <c r="S90" s="88">
        <f t="shared" si="14"/>
        <v>-400000</v>
      </c>
      <c r="T90" s="88">
        <f t="shared" si="15"/>
        <v>-400000</v>
      </c>
      <c r="U90" s="88">
        <f t="shared" si="16"/>
        <v>-400000</v>
      </c>
      <c r="V90" s="88">
        <f t="shared" si="17"/>
        <v>-400000</v>
      </c>
      <c r="W90" s="88">
        <f t="shared" si="18"/>
        <v>-400000</v>
      </c>
      <c r="X90" s="88">
        <f t="shared" si="19"/>
        <v>-400000</v>
      </c>
      <c r="Z90" s="51" t="s">
        <v>253</v>
      </c>
      <c r="AA90" s="52">
        <f>IF(VLOOKUP($Z90,'Asset Master'!$A:$J,6,FALSE)*COUNTIF('Event Trigger'!$C:$C,'Year 1 Results'!$Z90)&gt;SUMIF('Event Trigger'!$C:$C,$Z90,D:D),0,VLOOKUP($Z90,'Asset Master'!$A:$J,6,FALSE))</f>
        <v>0</v>
      </c>
      <c r="AB90" s="52">
        <f>IF(VLOOKUP($Z90,'Asset Master'!$A:$J,6,FALSE)*COUNTIF('Event Trigger'!$C:$C,'Year 1 Results'!$Z90)&gt;SUMIF('Event Trigger'!$C:$C,$Z90,E:E),0,VLOOKUP($Z90,'Asset Master'!$A:$J,6,FALSE))</f>
        <v>0</v>
      </c>
      <c r="AC90" s="52">
        <f>IF(VLOOKUP($Z90,'Asset Master'!$A:$J,6,FALSE)*COUNTIF('Event Trigger'!$C:$C,'Year 1 Results'!$Z90)&gt;SUMIF('Event Trigger'!$C:$C,$Z90,F:F),0,VLOOKUP($Z90,'Asset Master'!$A:$J,6,FALSE))</f>
        <v>0</v>
      </c>
      <c r="AD90" s="52">
        <f>IF(VLOOKUP($Z90,'Asset Master'!$A:$J,6,FALSE)*COUNTIF('Event Trigger'!$C:$C,'Year 1 Results'!$Z90)&gt;SUMIF('Event Trigger'!$C:$C,$Z90,G:G),0,VLOOKUP($Z90,'Asset Master'!$A:$J,6,FALSE))</f>
        <v>0</v>
      </c>
      <c r="AE90" s="52">
        <f>IF(VLOOKUP($Z90,'Asset Master'!$A:$J,6,FALSE)*COUNTIF('Event Trigger'!$C:$C,'Year 1 Results'!$Z90)&gt;SUMIF('Event Trigger'!$C:$C,$Z90,H:H),0,VLOOKUP($Z90,'Asset Master'!$A:$J,6,FALSE))</f>
        <v>0</v>
      </c>
      <c r="AF90" s="52">
        <f>IF(VLOOKUP($Z90,'Asset Master'!$A:$J,6,FALSE)*COUNTIF('Event Trigger'!$C:$C,'Year 1 Results'!$Z90)&gt;SUMIF('Event Trigger'!$C:$C,$Z90,I:I),0,VLOOKUP($Z90,'Asset Master'!$A:$J,6,FALSE))</f>
        <v>0</v>
      </c>
      <c r="AG90" s="52">
        <f>IF(VLOOKUP($Z90,'Asset Master'!$A:$J,6,FALSE)*COUNTIF('Event Trigger'!$C:$C,'Year 1 Results'!$Z90)&gt;SUMIF('Event Trigger'!$C:$C,$Z90,J:J),0,VLOOKUP($Z90,'Asset Master'!$A:$J,6,FALSE))</f>
        <v>0</v>
      </c>
      <c r="AH90" s="52">
        <f>IF(VLOOKUP($Z90,'Asset Master'!$A:$J,6,FALSE)*COUNTIF('Event Trigger'!$C:$C,'Year 1 Results'!$Z90)&gt;SUMIF('Event Trigger'!$C:$C,$Z90,K:K),0,VLOOKUP($Z90,'Asset Master'!$A:$J,6,FALSE))</f>
        <v>0</v>
      </c>
      <c r="AI90" s="52">
        <f>IF(VLOOKUP($Z90,'Asset Master'!$A:$J,6,FALSE)*COUNTIF('Event Trigger'!$C:$C,'Year 1 Results'!$Z90)&gt;SUMIF('Event Trigger'!$C:$C,$Z90,L:L),0,VLOOKUP($Z90,'Asset Master'!$A:$J,6,FALSE))</f>
        <v>0</v>
      </c>
      <c r="AJ90" s="52">
        <f>IF(VLOOKUP($Z90,'Asset Master'!$A:$J,6,FALSE)*COUNTIF('Event Trigger'!$C:$C,'Year 1 Results'!$Z90)&gt;SUMIF('Event Trigger'!$C:$C,$Z90,M:M),0,VLOOKUP($Z90,'Asset Master'!$A:$J,6,FALSE))</f>
        <v>0</v>
      </c>
    </row>
    <row r="91" spans="1:36" ht="25.5" x14ac:dyDescent="0.25">
      <c r="A91" s="37" t="str">
        <f>'Risk Master'!B91:B183&amp;"-"&amp;'Risk Master'!D91</f>
        <v>Thunderstorms, Tornados &amp; Hail-Germany</v>
      </c>
      <c r="B91" s="37" t="str">
        <f>'Input Sheet year 2'!B92</f>
        <v>Thunderstorms, Tornados &amp; Hail-Germany</v>
      </c>
      <c r="C91" s="29" t="str">
        <f>'Risk Master'!F91</f>
        <v>A28</v>
      </c>
      <c r="D91" s="73">
        <f>'Risk Master'!$G91*-1+('Risk Master'!$G91*'Event Trigger'!$D91*(1-'Input Sheet year 1'!H92))</f>
        <v>400000</v>
      </c>
      <c r="E91" s="73">
        <f>'Risk Master'!$G91*-1+('Risk Master'!$G91*'Event Trigger'!$D91*(1-'Input Sheet year 2'!I92))</f>
        <v>400000</v>
      </c>
      <c r="F91" s="73">
        <f>'Risk Master'!$G91*-1+('Risk Master'!$G91*'Event Trigger'!$D91*(1-'Input Sheet year 2'!J92))</f>
        <v>400000</v>
      </c>
      <c r="G91" s="73">
        <f>'Risk Master'!$G91*-1+('Risk Master'!$G91*'Event Trigger'!$D91*(1-'Input Sheet year 2'!K92))</f>
        <v>400000</v>
      </c>
      <c r="H91" s="73">
        <f>'Risk Master'!$G91*-1+('Risk Master'!$G91*'Event Trigger'!$D91*(1-'Input Sheet year 2'!L92))</f>
        <v>400000</v>
      </c>
      <c r="I91" s="73">
        <f>'Risk Master'!$G91*-1+('Risk Master'!$G91*'Event Trigger'!$D91*(1-'Input Sheet year 2'!M92))</f>
        <v>400000</v>
      </c>
      <c r="J91" s="73">
        <f>'Risk Master'!$G91*-1+('Risk Master'!$G91*'Event Trigger'!$D91*(1-'Input Sheet year 2'!N92))</f>
        <v>400000</v>
      </c>
      <c r="K91" s="73">
        <f>'Risk Master'!$G91*-1+('Risk Master'!$G91*'Event Trigger'!$D91*(1-'Input Sheet year 2'!O92))</f>
        <v>400000</v>
      </c>
      <c r="L91" s="73">
        <f>'Risk Master'!$G91*-1+('Risk Master'!$G91*'Event Trigger'!$D91*(1-'Input Sheet year 2'!P92))</f>
        <v>400000</v>
      </c>
      <c r="M91" s="73">
        <f>'Risk Master'!$G91*-1+('Risk Master'!$G91*'Event Trigger'!$D91*(1-'Input Sheet year 2'!Q92))</f>
        <v>400000</v>
      </c>
      <c r="N91" s="88"/>
      <c r="O91" s="88">
        <f t="shared" si="10"/>
        <v>-400000</v>
      </c>
      <c r="P91" s="88">
        <f t="shared" si="11"/>
        <v>-400000</v>
      </c>
      <c r="Q91" s="88">
        <f t="shared" si="12"/>
        <v>-400000</v>
      </c>
      <c r="R91" s="88">
        <f t="shared" si="13"/>
        <v>-400000</v>
      </c>
      <c r="S91" s="88">
        <f t="shared" si="14"/>
        <v>-400000</v>
      </c>
      <c r="T91" s="88">
        <f t="shared" si="15"/>
        <v>-400000</v>
      </c>
      <c r="U91" s="88">
        <f t="shared" si="16"/>
        <v>-400000</v>
      </c>
      <c r="V91" s="88">
        <f t="shared" si="17"/>
        <v>-400000</v>
      </c>
      <c r="W91" s="88">
        <f t="shared" si="18"/>
        <v>-400000</v>
      </c>
      <c r="X91" s="88">
        <f t="shared" si="19"/>
        <v>-400000</v>
      </c>
      <c r="Z91" s="51" t="s">
        <v>254</v>
      </c>
      <c r="AA91" s="52">
        <f>IF(VLOOKUP($Z91,'Asset Master'!$A:$J,6,FALSE)*COUNTIF('Event Trigger'!$C:$C,'Year 1 Results'!$Z91)&gt;SUMIF('Event Trigger'!$C:$C,$Z91,D:D),0,VLOOKUP($Z91,'Asset Master'!$A:$J,6,FALSE))</f>
        <v>0</v>
      </c>
      <c r="AB91" s="52">
        <f>IF(VLOOKUP($Z91,'Asset Master'!$A:$J,6,FALSE)*COUNTIF('Event Trigger'!$C:$C,'Year 1 Results'!$Z91)&gt;SUMIF('Event Trigger'!$C:$C,$Z91,E:E),0,VLOOKUP($Z91,'Asset Master'!$A:$J,6,FALSE))</f>
        <v>0</v>
      </c>
      <c r="AC91" s="52">
        <f>IF(VLOOKUP($Z91,'Asset Master'!$A:$J,6,FALSE)*COUNTIF('Event Trigger'!$C:$C,'Year 1 Results'!$Z91)&gt;SUMIF('Event Trigger'!$C:$C,$Z91,F:F),0,VLOOKUP($Z91,'Asset Master'!$A:$J,6,FALSE))</f>
        <v>0</v>
      </c>
      <c r="AD91" s="52">
        <f>IF(VLOOKUP($Z91,'Asset Master'!$A:$J,6,FALSE)*COUNTIF('Event Trigger'!$C:$C,'Year 1 Results'!$Z91)&gt;SUMIF('Event Trigger'!$C:$C,$Z91,G:G),0,VLOOKUP($Z91,'Asset Master'!$A:$J,6,FALSE))</f>
        <v>0</v>
      </c>
      <c r="AE91" s="52">
        <f>IF(VLOOKUP($Z91,'Asset Master'!$A:$J,6,FALSE)*COUNTIF('Event Trigger'!$C:$C,'Year 1 Results'!$Z91)&gt;SUMIF('Event Trigger'!$C:$C,$Z91,H:H),0,VLOOKUP($Z91,'Asset Master'!$A:$J,6,FALSE))</f>
        <v>0</v>
      </c>
      <c r="AF91" s="52">
        <f>IF(VLOOKUP($Z91,'Asset Master'!$A:$J,6,FALSE)*COUNTIF('Event Trigger'!$C:$C,'Year 1 Results'!$Z91)&gt;SUMIF('Event Trigger'!$C:$C,$Z91,I:I),0,VLOOKUP($Z91,'Asset Master'!$A:$J,6,FALSE))</f>
        <v>0</v>
      </c>
      <c r="AG91" s="52">
        <f>IF(VLOOKUP($Z91,'Asset Master'!$A:$J,6,FALSE)*COUNTIF('Event Trigger'!$C:$C,'Year 1 Results'!$Z91)&gt;SUMIF('Event Trigger'!$C:$C,$Z91,J:J),0,VLOOKUP($Z91,'Asset Master'!$A:$J,6,FALSE))</f>
        <v>0</v>
      </c>
      <c r="AH91" s="52">
        <f>IF(VLOOKUP($Z91,'Asset Master'!$A:$J,6,FALSE)*COUNTIF('Event Trigger'!$C:$C,'Year 1 Results'!$Z91)&gt;SUMIF('Event Trigger'!$C:$C,$Z91,K:K),0,VLOOKUP($Z91,'Asset Master'!$A:$J,6,FALSE))</f>
        <v>0</v>
      </c>
      <c r="AI91" s="52">
        <f>IF(VLOOKUP($Z91,'Asset Master'!$A:$J,6,FALSE)*COUNTIF('Event Trigger'!$C:$C,'Year 1 Results'!$Z91)&gt;SUMIF('Event Trigger'!$C:$C,$Z91,L:L),0,VLOOKUP($Z91,'Asset Master'!$A:$J,6,FALSE))</f>
        <v>0</v>
      </c>
      <c r="AJ91" s="52">
        <f>IF(VLOOKUP($Z91,'Asset Master'!$A:$J,6,FALSE)*COUNTIF('Event Trigger'!$C:$C,'Year 1 Results'!$Z91)&gt;SUMIF('Event Trigger'!$C:$C,$Z91,M:M),0,VLOOKUP($Z91,'Asset Master'!$A:$J,6,FALSE))</f>
        <v>600000</v>
      </c>
    </row>
    <row r="92" spans="1:36" x14ac:dyDescent="0.25">
      <c r="A92" s="37" t="str">
        <f>'Risk Master'!B92:B183&amp;"-"&amp;'Risk Master'!D92</f>
        <v>Hurricane-Typhoon -Germany</v>
      </c>
      <c r="B92" s="37" t="str">
        <f>'Input Sheet year 2'!B93</f>
        <v>Hurricane-Typhoon -Germany</v>
      </c>
      <c r="C92" s="29" t="str">
        <f>'Risk Master'!F92</f>
        <v>A30</v>
      </c>
      <c r="D92" s="73">
        <f>'Risk Master'!$G92*-1+('Risk Master'!$G92*'Event Trigger'!$D92*(1-'Input Sheet year 1'!H93))</f>
        <v>200000</v>
      </c>
      <c r="E92" s="73">
        <f>'Risk Master'!$G92*-1+('Risk Master'!$G92*'Event Trigger'!$D92*(1-'Input Sheet year 2'!I93))</f>
        <v>200000</v>
      </c>
      <c r="F92" s="73">
        <f>'Risk Master'!$G92*-1+('Risk Master'!$G92*'Event Trigger'!$D92*(1-'Input Sheet year 2'!J93))</f>
        <v>200000</v>
      </c>
      <c r="G92" s="73">
        <f>'Risk Master'!$G92*-1+('Risk Master'!$G92*'Event Trigger'!$D92*(1-'Input Sheet year 2'!K93))</f>
        <v>200000</v>
      </c>
      <c r="H92" s="73">
        <f>'Risk Master'!$G92*-1+('Risk Master'!$G92*'Event Trigger'!$D92*(1-'Input Sheet year 2'!L93))</f>
        <v>200000</v>
      </c>
      <c r="I92" s="73">
        <f>'Risk Master'!$G92*-1+('Risk Master'!$G92*'Event Trigger'!$D92*(1-'Input Sheet year 2'!M93))</f>
        <v>200000</v>
      </c>
      <c r="J92" s="73">
        <f>'Risk Master'!$G92*-1+('Risk Master'!$G92*'Event Trigger'!$D92*(1-'Input Sheet year 2'!N93))</f>
        <v>200000</v>
      </c>
      <c r="K92" s="73">
        <f>'Risk Master'!$G92*-1+('Risk Master'!$G92*'Event Trigger'!$D92*(1-'Input Sheet year 2'!O93))</f>
        <v>200000</v>
      </c>
      <c r="L92" s="73">
        <f>'Risk Master'!$G92*-1+('Risk Master'!$G92*'Event Trigger'!$D92*(1-'Input Sheet year 2'!P93))</f>
        <v>200000</v>
      </c>
      <c r="M92" s="73">
        <f>'Risk Master'!$G92*-1+('Risk Master'!$G92*'Event Trigger'!$D92*(1-'Input Sheet year 2'!Q93))</f>
        <v>200000</v>
      </c>
      <c r="N92" s="88"/>
      <c r="O92" s="88">
        <f t="shared" si="10"/>
        <v>-200000</v>
      </c>
      <c r="P92" s="88">
        <f t="shared" si="11"/>
        <v>-200000</v>
      </c>
      <c r="Q92" s="88">
        <f t="shared" si="12"/>
        <v>-200000</v>
      </c>
      <c r="R92" s="88">
        <f t="shared" si="13"/>
        <v>-200000</v>
      </c>
      <c r="S92" s="88">
        <f t="shared" si="14"/>
        <v>-200000</v>
      </c>
      <c r="T92" s="88">
        <f t="shared" si="15"/>
        <v>-200000</v>
      </c>
      <c r="U92" s="88">
        <f t="shared" si="16"/>
        <v>-200000</v>
      </c>
      <c r="V92" s="88">
        <f t="shared" si="17"/>
        <v>-200000</v>
      </c>
      <c r="W92" s="88">
        <f t="shared" si="18"/>
        <v>-200000</v>
      </c>
      <c r="X92" s="88">
        <f t="shared" si="19"/>
        <v>-200000</v>
      </c>
      <c r="Z92" s="51" t="s">
        <v>255</v>
      </c>
      <c r="AA92" s="52">
        <f>IF(VLOOKUP($Z92,'Asset Master'!$A:$J,6,FALSE)*COUNTIF('Event Trigger'!$C:$C,'Year 1 Results'!$Z92)&gt;SUMIF('Event Trigger'!$C:$C,$Z92,D:D),0,VLOOKUP($Z92,'Asset Master'!$A:$J,6,FALSE))</f>
        <v>0</v>
      </c>
      <c r="AB92" s="52">
        <f>IF(VLOOKUP($Z92,'Asset Master'!$A:$J,6,FALSE)*COUNTIF('Event Trigger'!$C:$C,'Year 1 Results'!$Z92)&gt;SUMIF('Event Trigger'!$C:$C,$Z92,E:E),0,VLOOKUP($Z92,'Asset Master'!$A:$J,6,FALSE))</f>
        <v>0</v>
      </c>
      <c r="AC92" s="52">
        <f>IF(VLOOKUP($Z92,'Asset Master'!$A:$J,6,FALSE)*COUNTIF('Event Trigger'!$C:$C,'Year 1 Results'!$Z92)&gt;SUMIF('Event Trigger'!$C:$C,$Z92,F:F),0,VLOOKUP($Z92,'Asset Master'!$A:$J,6,FALSE))</f>
        <v>0</v>
      </c>
      <c r="AD92" s="52">
        <f>IF(VLOOKUP($Z92,'Asset Master'!$A:$J,6,FALSE)*COUNTIF('Event Trigger'!$C:$C,'Year 1 Results'!$Z92)&gt;SUMIF('Event Trigger'!$C:$C,$Z92,G:G),0,VLOOKUP($Z92,'Asset Master'!$A:$J,6,FALSE))</f>
        <v>0</v>
      </c>
      <c r="AE92" s="52">
        <f>IF(VLOOKUP($Z92,'Asset Master'!$A:$J,6,FALSE)*COUNTIF('Event Trigger'!$C:$C,'Year 1 Results'!$Z92)&gt;SUMIF('Event Trigger'!$C:$C,$Z92,H:H),0,VLOOKUP($Z92,'Asset Master'!$A:$J,6,FALSE))</f>
        <v>0</v>
      </c>
      <c r="AF92" s="52">
        <f>IF(VLOOKUP($Z92,'Asset Master'!$A:$J,6,FALSE)*COUNTIF('Event Trigger'!$C:$C,'Year 1 Results'!$Z92)&gt;SUMIF('Event Trigger'!$C:$C,$Z92,I:I),0,VLOOKUP($Z92,'Asset Master'!$A:$J,6,FALSE))</f>
        <v>0</v>
      </c>
      <c r="AG92" s="52">
        <f>IF(VLOOKUP($Z92,'Asset Master'!$A:$J,6,FALSE)*COUNTIF('Event Trigger'!$C:$C,'Year 1 Results'!$Z92)&gt;SUMIF('Event Trigger'!$C:$C,$Z92,J:J),0,VLOOKUP($Z92,'Asset Master'!$A:$J,6,FALSE))</f>
        <v>0</v>
      </c>
      <c r="AH92" s="52">
        <f>IF(VLOOKUP($Z92,'Asset Master'!$A:$J,6,FALSE)*COUNTIF('Event Trigger'!$C:$C,'Year 1 Results'!$Z92)&gt;SUMIF('Event Trigger'!$C:$C,$Z92,K:K),0,VLOOKUP($Z92,'Asset Master'!$A:$J,6,FALSE))</f>
        <v>0</v>
      </c>
      <c r="AI92" s="52">
        <f>IF(VLOOKUP($Z92,'Asset Master'!$A:$J,6,FALSE)*COUNTIF('Event Trigger'!$C:$C,'Year 1 Results'!$Z92)&gt;SUMIF('Event Trigger'!$C:$C,$Z92,L:L),0,VLOOKUP($Z92,'Asset Master'!$A:$J,6,FALSE))</f>
        <v>0</v>
      </c>
      <c r="AJ92" s="52">
        <f>IF(VLOOKUP($Z92,'Asset Master'!$A:$J,6,FALSE)*COUNTIF('Event Trigger'!$C:$C,'Year 1 Results'!$Z92)&gt;SUMIF('Event Trigger'!$C:$C,$Z92,M:M),0,VLOOKUP($Z92,'Asset Master'!$A:$J,6,FALSE))</f>
        <v>0</v>
      </c>
    </row>
    <row r="93" spans="1:36" x14ac:dyDescent="0.25">
      <c r="A93" s="37" t="str">
        <f>'Risk Master'!B93:B183&amp;"-"&amp;'Risk Master'!D93</f>
        <v>Earthquake-Germany</v>
      </c>
      <c r="B93" s="37" t="str">
        <f>'Input Sheet year 2'!B94</f>
        <v>Earthquake-Germany</v>
      </c>
      <c r="C93" s="29" t="str">
        <f>'Risk Master'!F93</f>
        <v>A30</v>
      </c>
      <c r="D93" s="73">
        <f>'Risk Master'!$G93*-1+('Risk Master'!$G93*'Event Trigger'!$D93*(1-'Input Sheet year 1'!H94))</f>
        <v>200000</v>
      </c>
      <c r="E93" s="73">
        <f>'Risk Master'!$G93*-1+('Risk Master'!$G93*'Event Trigger'!$D93*(1-'Input Sheet year 2'!I94))</f>
        <v>200000</v>
      </c>
      <c r="F93" s="73">
        <f>'Risk Master'!$G93*-1+('Risk Master'!$G93*'Event Trigger'!$D93*(1-'Input Sheet year 2'!J94))</f>
        <v>200000</v>
      </c>
      <c r="G93" s="73">
        <f>'Risk Master'!$G93*-1+('Risk Master'!$G93*'Event Trigger'!$D93*(1-'Input Sheet year 2'!K94))</f>
        <v>200000</v>
      </c>
      <c r="H93" s="73">
        <f>'Risk Master'!$G93*-1+('Risk Master'!$G93*'Event Trigger'!$D93*(1-'Input Sheet year 2'!L94))</f>
        <v>200000</v>
      </c>
      <c r="I93" s="73">
        <f>'Risk Master'!$G93*-1+('Risk Master'!$G93*'Event Trigger'!$D93*(1-'Input Sheet year 2'!M94))</f>
        <v>200000</v>
      </c>
      <c r="J93" s="73">
        <f>'Risk Master'!$G93*-1+('Risk Master'!$G93*'Event Trigger'!$D93*(1-'Input Sheet year 2'!N94))</f>
        <v>200000</v>
      </c>
      <c r="K93" s="73">
        <f>'Risk Master'!$G93*-1+('Risk Master'!$G93*'Event Trigger'!$D93*(1-'Input Sheet year 2'!O94))</f>
        <v>200000</v>
      </c>
      <c r="L93" s="73">
        <f>'Risk Master'!$G93*-1+('Risk Master'!$G93*'Event Trigger'!$D93*(1-'Input Sheet year 2'!P94))</f>
        <v>200000</v>
      </c>
      <c r="M93" s="73">
        <f>'Risk Master'!$G93*-1+('Risk Master'!$G93*'Event Trigger'!$D93*(1-'Input Sheet year 2'!Q94))</f>
        <v>200000</v>
      </c>
      <c r="N93" s="88"/>
      <c r="O93" s="88">
        <f t="shared" si="10"/>
        <v>-200000</v>
      </c>
      <c r="P93" s="88">
        <f t="shared" si="11"/>
        <v>-200000</v>
      </c>
      <c r="Q93" s="88">
        <f t="shared" si="12"/>
        <v>-200000</v>
      </c>
      <c r="R93" s="88">
        <f t="shared" si="13"/>
        <v>-200000</v>
      </c>
      <c r="S93" s="88">
        <f t="shared" si="14"/>
        <v>-200000</v>
      </c>
      <c r="T93" s="88">
        <f t="shared" si="15"/>
        <v>-200000</v>
      </c>
      <c r="U93" s="88">
        <f t="shared" si="16"/>
        <v>-200000</v>
      </c>
      <c r="V93" s="88">
        <f t="shared" si="17"/>
        <v>-200000</v>
      </c>
      <c r="W93" s="88">
        <f t="shared" si="18"/>
        <v>-200000</v>
      </c>
      <c r="X93" s="88">
        <f t="shared" si="19"/>
        <v>-200000</v>
      </c>
      <c r="Z93" s="51" t="s">
        <v>256</v>
      </c>
      <c r="AA93" s="52">
        <f>IF(VLOOKUP($Z93,'Asset Master'!$A:$J,6,FALSE)*COUNTIF('Event Trigger'!$C:$C,'Year 1 Results'!$Z93)&gt;SUMIF('Event Trigger'!$C:$C,$Z93,D:D),0,VLOOKUP($Z93,'Asset Master'!$A:$J,6,FALSE))</f>
        <v>0</v>
      </c>
      <c r="AB93" s="52">
        <f>IF(VLOOKUP($Z93,'Asset Master'!$A:$J,6,FALSE)*COUNTIF('Event Trigger'!$C:$C,'Year 1 Results'!$Z93)&gt;SUMIF('Event Trigger'!$C:$C,$Z93,E:E),0,VLOOKUP($Z93,'Asset Master'!$A:$J,6,FALSE))</f>
        <v>0</v>
      </c>
      <c r="AC93" s="52">
        <f>IF(VLOOKUP($Z93,'Asset Master'!$A:$J,6,FALSE)*COUNTIF('Event Trigger'!$C:$C,'Year 1 Results'!$Z93)&gt;SUMIF('Event Trigger'!$C:$C,$Z93,F:F),0,VLOOKUP($Z93,'Asset Master'!$A:$J,6,FALSE))</f>
        <v>0</v>
      </c>
      <c r="AD93" s="52">
        <f>IF(VLOOKUP($Z93,'Asset Master'!$A:$J,6,FALSE)*COUNTIF('Event Trigger'!$C:$C,'Year 1 Results'!$Z93)&gt;SUMIF('Event Trigger'!$C:$C,$Z93,G:G),0,VLOOKUP($Z93,'Asset Master'!$A:$J,6,FALSE))</f>
        <v>0</v>
      </c>
      <c r="AE93" s="52">
        <f>IF(VLOOKUP($Z93,'Asset Master'!$A:$J,6,FALSE)*COUNTIF('Event Trigger'!$C:$C,'Year 1 Results'!$Z93)&gt;SUMIF('Event Trigger'!$C:$C,$Z93,H:H),0,VLOOKUP($Z93,'Asset Master'!$A:$J,6,FALSE))</f>
        <v>0</v>
      </c>
      <c r="AF93" s="52">
        <f>IF(VLOOKUP($Z93,'Asset Master'!$A:$J,6,FALSE)*COUNTIF('Event Trigger'!$C:$C,'Year 1 Results'!$Z93)&gt;SUMIF('Event Trigger'!$C:$C,$Z93,I:I),0,VLOOKUP($Z93,'Asset Master'!$A:$J,6,FALSE))</f>
        <v>0</v>
      </c>
      <c r="AG93" s="52">
        <f>IF(VLOOKUP($Z93,'Asset Master'!$A:$J,6,FALSE)*COUNTIF('Event Trigger'!$C:$C,'Year 1 Results'!$Z93)&gt;SUMIF('Event Trigger'!$C:$C,$Z93,J:J),0,VLOOKUP($Z93,'Asset Master'!$A:$J,6,FALSE))</f>
        <v>0</v>
      </c>
      <c r="AH93" s="52">
        <f>IF(VLOOKUP($Z93,'Asset Master'!$A:$J,6,FALSE)*COUNTIF('Event Trigger'!$C:$C,'Year 1 Results'!$Z93)&gt;SUMIF('Event Trigger'!$C:$C,$Z93,K:K),0,VLOOKUP($Z93,'Asset Master'!$A:$J,6,FALSE))</f>
        <v>0</v>
      </c>
      <c r="AI93" s="52">
        <f>IF(VLOOKUP($Z93,'Asset Master'!$A:$J,6,FALSE)*COUNTIF('Event Trigger'!$C:$C,'Year 1 Results'!$Z93)&gt;SUMIF('Event Trigger'!$C:$C,$Z93,L:L),0,VLOOKUP($Z93,'Asset Master'!$A:$J,6,FALSE))</f>
        <v>0</v>
      </c>
      <c r="AJ93" s="52">
        <f>IF(VLOOKUP($Z93,'Asset Master'!$A:$J,6,FALSE)*COUNTIF('Event Trigger'!$C:$C,'Year 1 Results'!$Z93)&gt;SUMIF('Event Trigger'!$C:$C,$Z93,M:M),0,VLOOKUP($Z93,'Asset Master'!$A:$J,6,FALSE))</f>
        <v>0</v>
      </c>
    </row>
    <row r="94" spans="1:36" x14ac:dyDescent="0.25">
      <c r="A94" s="37" t="str">
        <f>'Risk Master'!B94:B183&amp;"-"&amp;'Risk Master'!D94</f>
        <v>Fire-Germany</v>
      </c>
      <c r="B94" s="37" t="str">
        <f>'Input Sheet year 2'!B95</f>
        <v>Fire-Germany</v>
      </c>
      <c r="C94" s="29" t="str">
        <f>'Risk Master'!F94</f>
        <v>A30</v>
      </c>
      <c r="D94" s="73">
        <f>'Risk Master'!$G94*-1+('Risk Master'!$G94*'Event Trigger'!$D94*(1-'Input Sheet year 1'!H95))</f>
        <v>200000</v>
      </c>
      <c r="E94" s="73">
        <f>'Risk Master'!$G94*-1+('Risk Master'!$G94*'Event Trigger'!$D94*(1-'Input Sheet year 2'!I95))</f>
        <v>200000</v>
      </c>
      <c r="F94" s="73">
        <f>'Risk Master'!$G94*-1+('Risk Master'!$G94*'Event Trigger'!$D94*(1-'Input Sheet year 2'!J95))</f>
        <v>200000</v>
      </c>
      <c r="G94" s="73">
        <f>'Risk Master'!$G94*-1+('Risk Master'!$G94*'Event Trigger'!$D94*(1-'Input Sheet year 2'!K95))</f>
        <v>200000</v>
      </c>
      <c r="H94" s="73">
        <f>'Risk Master'!$G94*-1+('Risk Master'!$G94*'Event Trigger'!$D94*(1-'Input Sheet year 2'!L95))</f>
        <v>200000</v>
      </c>
      <c r="I94" s="73">
        <f>'Risk Master'!$G94*-1+('Risk Master'!$G94*'Event Trigger'!$D94*(1-'Input Sheet year 2'!M95))</f>
        <v>200000</v>
      </c>
      <c r="J94" s="73">
        <f>'Risk Master'!$G94*-1+('Risk Master'!$G94*'Event Trigger'!$D94*(1-'Input Sheet year 2'!N95))</f>
        <v>200000</v>
      </c>
      <c r="K94" s="73">
        <f>'Risk Master'!$G94*-1+('Risk Master'!$G94*'Event Trigger'!$D94*(1-'Input Sheet year 2'!O95))</f>
        <v>200000</v>
      </c>
      <c r="L94" s="73">
        <f>'Risk Master'!$G94*-1+('Risk Master'!$G94*'Event Trigger'!$D94*(1-'Input Sheet year 2'!P95))</f>
        <v>200000</v>
      </c>
      <c r="M94" s="73">
        <f>'Risk Master'!$G94*-1+('Risk Master'!$G94*'Event Trigger'!$D94*(1-'Input Sheet year 2'!Q95))</f>
        <v>200000</v>
      </c>
      <c r="N94" s="88"/>
      <c r="O94" s="88">
        <f t="shared" si="10"/>
        <v>-200000</v>
      </c>
      <c r="P94" s="88">
        <f t="shared" si="11"/>
        <v>-200000</v>
      </c>
      <c r="Q94" s="88">
        <f t="shared" si="12"/>
        <v>-200000</v>
      </c>
      <c r="R94" s="88">
        <f t="shared" si="13"/>
        <v>-200000</v>
      </c>
      <c r="S94" s="88">
        <f t="shared" si="14"/>
        <v>-200000</v>
      </c>
      <c r="T94" s="88">
        <f t="shared" si="15"/>
        <v>-200000</v>
      </c>
      <c r="U94" s="88">
        <f t="shared" si="16"/>
        <v>-200000</v>
      </c>
      <c r="V94" s="88">
        <f t="shared" si="17"/>
        <v>-200000</v>
      </c>
      <c r="W94" s="88">
        <f t="shared" si="18"/>
        <v>-200000</v>
      </c>
      <c r="X94" s="88">
        <f t="shared" si="19"/>
        <v>-200000</v>
      </c>
      <c r="Z94" s="51" t="s">
        <v>257</v>
      </c>
      <c r="AA94" s="52">
        <f>IF(VLOOKUP($Z94,'Asset Master'!$A:$J,6,FALSE)*COUNTIF('Event Trigger'!$C:$C,'Year 1 Results'!$Z94)&gt;SUMIF('Event Trigger'!$C:$C,$Z94,D:D),0,VLOOKUP($Z94,'Asset Master'!$A:$J,6,FALSE))</f>
        <v>400000</v>
      </c>
      <c r="AB94" s="52">
        <f>IF(VLOOKUP($Z94,'Asset Master'!$A:$J,6,FALSE)*COUNTIF('Event Trigger'!$C:$C,'Year 1 Results'!$Z94)&gt;SUMIF('Event Trigger'!$C:$C,$Z94,E:E),0,VLOOKUP($Z94,'Asset Master'!$A:$J,6,FALSE))</f>
        <v>400000</v>
      </c>
      <c r="AC94" s="52">
        <f>IF(VLOOKUP($Z94,'Asset Master'!$A:$J,6,FALSE)*COUNTIF('Event Trigger'!$C:$C,'Year 1 Results'!$Z94)&gt;SUMIF('Event Trigger'!$C:$C,$Z94,F:F),0,VLOOKUP($Z94,'Asset Master'!$A:$J,6,FALSE))</f>
        <v>400000</v>
      </c>
      <c r="AD94" s="52">
        <f>IF(VLOOKUP($Z94,'Asset Master'!$A:$J,6,FALSE)*COUNTIF('Event Trigger'!$C:$C,'Year 1 Results'!$Z94)&gt;SUMIF('Event Trigger'!$C:$C,$Z94,G:G),0,VLOOKUP($Z94,'Asset Master'!$A:$J,6,FALSE))</f>
        <v>400000</v>
      </c>
      <c r="AE94" s="52">
        <f>IF(VLOOKUP($Z94,'Asset Master'!$A:$J,6,FALSE)*COUNTIF('Event Trigger'!$C:$C,'Year 1 Results'!$Z94)&gt;SUMIF('Event Trigger'!$C:$C,$Z94,H:H),0,VLOOKUP($Z94,'Asset Master'!$A:$J,6,FALSE))</f>
        <v>400000</v>
      </c>
      <c r="AF94" s="52">
        <f>IF(VLOOKUP($Z94,'Asset Master'!$A:$J,6,FALSE)*COUNTIF('Event Trigger'!$C:$C,'Year 1 Results'!$Z94)&gt;SUMIF('Event Trigger'!$C:$C,$Z94,I:I),0,VLOOKUP($Z94,'Asset Master'!$A:$J,6,FALSE))</f>
        <v>400000</v>
      </c>
      <c r="AG94" s="52">
        <f>IF(VLOOKUP($Z94,'Asset Master'!$A:$J,6,FALSE)*COUNTIF('Event Trigger'!$C:$C,'Year 1 Results'!$Z94)&gt;SUMIF('Event Trigger'!$C:$C,$Z94,J:J),0,VLOOKUP($Z94,'Asset Master'!$A:$J,6,FALSE))</f>
        <v>400000</v>
      </c>
      <c r="AH94" s="52">
        <f>IF(VLOOKUP($Z94,'Asset Master'!$A:$J,6,FALSE)*COUNTIF('Event Trigger'!$C:$C,'Year 1 Results'!$Z94)&gt;SUMIF('Event Trigger'!$C:$C,$Z94,K:K),0,VLOOKUP($Z94,'Asset Master'!$A:$J,6,FALSE))</f>
        <v>400000</v>
      </c>
      <c r="AI94" s="52">
        <f>IF(VLOOKUP($Z94,'Asset Master'!$A:$J,6,FALSE)*COUNTIF('Event Trigger'!$C:$C,'Year 1 Results'!$Z94)&gt;SUMIF('Event Trigger'!$C:$C,$Z94,L:L),0,VLOOKUP($Z94,'Asset Master'!$A:$J,6,FALSE))</f>
        <v>400000</v>
      </c>
      <c r="AJ94" s="52">
        <f>IF(VLOOKUP($Z94,'Asset Master'!$A:$J,6,FALSE)*COUNTIF('Event Trigger'!$C:$C,'Year 1 Results'!$Z94)&gt;SUMIF('Event Trigger'!$C:$C,$Z94,M:M),0,VLOOKUP($Z94,'Asset Master'!$A:$J,6,FALSE))</f>
        <v>400000</v>
      </c>
    </row>
    <row r="95" spans="1:36" ht="25.5" x14ac:dyDescent="0.25">
      <c r="A95" s="37" t="str">
        <f>'Risk Master'!B95:B183&amp;"-"&amp;'Risk Master'!D95</f>
        <v>Thunderstorms, Tornados &amp; Hail-Germany</v>
      </c>
      <c r="B95" s="37" t="str">
        <f>'Input Sheet year 2'!B96</f>
        <v>Thunderstorms, Tornados &amp; Hail-Germany</v>
      </c>
      <c r="C95" s="29" t="str">
        <f>'Risk Master'!F95</f>
        <v>A30</v>
      </c>
      <c r="D95" s="73">
        <f>'Risk Master'!$G95*-1+('Risk Master'!$G95*'Event Trigger'!$D95*(1-'Input Sheet year 1'!H96))</f>
        <v>200000</v>
      </c>
      <c r="E95" s="73">
        <f>'Risk Master'!$G95*-1+('Risk Master'!$G95*'Event Trigger'!$D95*(1-'Input Sheet year 2'!I96))</f>
        <v>200000</v>
      </c>
      <c r="F95" s="73">
        <f>'Risk Master'!$G95*-1+('Risk Master'!$G95*'Event Trigger'!$D95*(1-'Input Sheet year 2'!J96))</f>
        <v>200000</v>
      </c>
      <c r="G95" s="73">
        <f>'Risk Master'!$G95*-1+('Risk Master'!$G95*'Event Trigger'!$D95*(1-'Input Sheet year 2'!K96))</f>
        <v>200000</v>
      </c>
      <c r="H95" s="73">
        <f>'Risk Master'!$G95*-1+('Risk Master'!$G95*'Event Trigger'!$D95*(1-'Input Sheet year 2'!L96))</f>
        <v>200000</v>
      </c>
      <c r="I95" s="73">
        <f>'Risk Master'!$G95*-1+('Risk Master'!$G95*'Event Trigger'!$D95*(1-'Input Sheet year 2'!M96))</f>
        <v>200000</v>
      </c>
      <c r="J95" s="73">
        <f>'Risk Master'!$G95*-1+('Risk Master'!$G95*'Event Trigger'!$D95*(1-'Input Sheet year 2'!N96))</f>
        <v>200000</v>
      </c>
      <c r="K95" s="73">
        <f>'Risk Master'!$G95*-1+('Risk Master'!$G95*'Event Trigger'!$D95*(1-'Input Sheet year 2'!O96))</f>
        <v>200000</v>
      </c>
      <c r="L95" s="73">
        <f>'Risk Master'!$G95*-1+('Risk Master'!$G95*'Event Trigger'!$D95*(1-'Input Sheet year 2'!P96))</f>
        <v>200000</v>
      </c>
      <c r="M95" s="73">
        <f>'Risk Master'!$G95*-1+('Risk Master'!$G95*'Event Trigger'!$D95*(1-'Input Sheet year 2'!Q96))</f>
        <v>200000</v>
      </c>
      <c r="N95" s="88"/>
      <c r="O95" s="88">
        <f t="shared" si="10"/>
        <v>-200000</v>
      </c>
      <c r="P95" s="88">
        <f t="shared" si="11"/>
        <v>-200000</v>
      </c>
      <c r="Q95" s="88">
        <f t="shared" si="12"/>
        <v>-200000</v>
      </c>
      <c r="R95" s="88">
        <f t="shared" si="13"/>
        <v>-200000</v>
      </c>
      <c r="S95" s="88">
        <f t="shared" si="14"/>
        <v>-200000</v>
      </c>
      <c r="T95" s="88">
        <f t="shared" si="15"/>
        <v>-200000</v>
      </c>
      <c r="U95" s="88">
        <f t="shared" si="16"/>
        <v>-200000</v>
      </c>
      <c r="V95" s="88">
        <f t="shared" si="17"/>
        <v>-200000</v>
      </c>
      <c r="W95" s="88">
        <f t="shared" si="18"/>
        <v>-200000</v>
      </c>
      <c r="X95" s="88">
        <f t="shared" si="19"/>
        <v>-200000</v>
      </c>
      <c r="Z95" s="51" t="s">
        <v>258</v>
      </c>
      <c r="AA95" s="52">
        <f>IF(VLOOKUP($Z95,'Asset Master'!$A:$J,6,FALSE)*COUNTIF('Event Trigger'!$C:$C,'Year 1 Results'!$Z95)&gt;SUMIF('Event Trigger'!$C:$C,$Z95,D:D),0,VLOOKUP($Z95,'Asset Master'!$A:$J,6,FALSE))</f>
        <v>300000</v>
      </c>
      <c r="AB95" s="52">
        <f>IF(VLOOKUP($Z95,'Asset Master'!$A:$J,6,FALSE)*COUNTIF('Event Trigger'!$C:$C,'Year 1 Results'!$Z95)&gt;SUMIF('Event Trigger'!$C:$C,$Z95,E:E),0,VLOOKUP($Z95,'Asset Master'!$A:$J,6,FALSE))</f>
        <v>300000</v>
      </c>
      <c r="AC95" s="52">
        <f>IF(VLOOKUP($Z95,'Asset Master'!$A:$J,6,FALSE)*COUNTIF('Event Trigger'!$C:$C,'Year 1 Results'!$Z95)&gt;SUMIF('Event Trigger'!$C:$C,$Z95,F:F),0,VLOOKUP($Z95,'Asset Master'!$A:$J,6,FALSE))</f>
        <v>300000</v>
      </c>
      <c r="AD95" s="52">
        <f>IF(VLOOKUP($Z95,'Asset Master'!$A:$J,6,FALSE)*COUNTIF('Event Trigger'!$C:$C,'Year 1 Results'!$Z95)&gt;SUMIF('Event Trigger'!$C:$C,$Z95,G:G),0,VLOOKUP($Z95,'Asset Master'!$A:$J,6,FALSE))</f>
        <v>300000</v>
      </c>
      <c r="AE95" s="52">
        <f>IF(VLOOKUP($Z95,'Asset Master'!$A:$J,6,FALSE)*COUNTIF('Event Trigger'!$C:$C,'Year 1 Results'!$Z95)&gt;SUMIF('Event Trigger'!$C:$C,$Z95,H:H),0,VLOOKUP($Z95,'Asset Master'!$A:$J,6,FALSE))</f>
        <v>300000</v>
      </c>
      <c r="AF95" s="52">
        <f>IF(VLOOKUP($Z95,'Asset Master'!$A:$J,6,FALSE)*COUNTIF('Event Trigger'!$C:$C,'Year 1 Results'!$Z95)&gt;SUMIF('Event Trigger'!$C:$C,$Z95,I:I),0,VLOOKUP($Z95,'Asset Master'!$A:$J,6,FALSE))</f>
        <v>300000</v>
      </c>
      <c r="AG95" s="52">
        <f>IF(VLOOKUP($Z95,'Asset Master'!$A:$J,6,FALSE)*COUNTIF('Event Trigger'!$C:$C,'Year 1 Results'!$Z95)&gt;SUMIF('Event Trigger'!$C:$C,$Z95,J:J),0,VLOOKUP($Z95,'Asset Master'!$A:$J,6,FALSE))</f>
        <v>300000</v>
      </c>
      <c r="AH95" s="52">
        <f>IF(VLOOKUP($Z95,'Asset Master'!$A:$J,6,FALSE)*COUNTIF('Event Trigger'!$C:$C,'Year 1 Results'!$Z95)&gt;SUMIF('Event Trigger'!$C:$C,$Z95,K:K),0,VLOOKUP($Z95,'Asset Master'!$A:$J,6,FALSE))</f>
        <v>300000</v>
      </c>
      <c r="AI95" s="52">
        <f>IF(VLOOKUP($Z95,'Asset Master'!$A:$J,6,FALSE)*COUNTIF('Event Trigger'!$C:$C,'Year 1 Results'!$Z95)&gt;SUMIF('Event Trigger'!$C:$C,$Z95,L:L),0,VLOOKUP($Z95,'Asset Master'!$A:$J,6,FALSE))</f>
        <v>300000</v>
      </c>
      <c r="AJ95" s="52">
        <f>IF(VLOOKUP($Z95,'Asset Master'!$A:$J,6,FALSE)*COUNTIF('Event Trigger'!$C:$C,'Year 1 Results'!$Z95)&gt;SUMIF('Event Trigger'!$C:$C,$Z95,M:M),0,VLOOKUP($Z95,'Asset Master'!$A:$J,6,FALSE))</f>
        <v>300000</v>
      </c>
    </row>
    <row r="96" spans="1:36" ht="38.25" x14ac:dyDescent="0.25">
      <c r="A96" s="37" t="str">
        <f>'Risk Master'!B96:B183&amp;"-"&amp;'Risk Master'!D96</f>
        <v>Extremely Dangerous Super Typhoon Haiyan (Yolanda) to Strike the Philippines -Manila</v>
      </c>
      <c r="B96" s="37" t="str">
        <f>'Input Sheet year 2'!B97</f>
        <v>Hurricane-Typhoon -Manila</v>
      </c>
      <c r="C96" s="29" t="str">
        <f>'Risk Master'!F96</f>
        <v>A34</v>
      </c>
      <c r="D96" s="73">
        <f>'Risk Master'!$G96*-1+('Risk Master'!$G96*'Event Trigger'!$D96*(1-'Input Sheet year 1'!H97))</f>
        <v>400000</v>
      </c>
      <c r="E96" s="73">
        <f>'Risk Master'!$G96*-1+('Risk Master'!$G96*'Event Trigger'!$D96*(1-'Input Sheet year 2'!I97))</f>
        <v>400000</v>
      </c>
      <c r="F96" s="73">
        <f>'Risk Master'!$G96*-1+('Risk Master'!$G96*'Event Trigger'!$D96*(1-'Input Sheet year 2'!J97))</f>
        <v>400000</v>
      </c>
      <c r="G96" s="73">
        <f>'Risk Master'!$G96*-1+('Risk Master'!$G96*'Event Trigger'!$D96*(1-'Input Sheet year 2'!K97))</f>
        <v>400000</v>
      </c>
      <c r="H96" s="73">
        <f>'Risk Master'!$G96*-1+('Risk Master'!$G96*'Event Trigger'!$D96*(1-'Input Sheet year 2'!L97))</f>
        <v>400000</v>
      </c>
      <c r="I96" s="73">
        <f>'Risk Master'!$G96*-1+('Risk Master'!$G96*'Event Trigger'!$D96*(1-'Input Sheet year 2'!M97))</f>
        <v>400000</v>
      </c>
      <c r="J96" s="73">
        <f>'Risk Master'!$G96*-1+('Risk Master'!$G96*'Event Trigger'!$D96*(1-'Input Sheet year 2'!N97))</f>
        <v>400000</v>
      </c>
      <c r="K96" s="73">
        <f>'Risk Master'!$G96*-1+('Risk Master'!$G96*'Event Trigger'!$D96*(1-'Input Sheet year 2'!O97))</f>
        <v>400000</v>
      </c>
      <c r="L96" s="73">
        <f>'Risk Master'!$G96*-1+('Risk Master'!$G96*'Event Trigger'!$D96*(1-'Input Sheet year 2'!P97))</f>
        <v>400000</v>
      </c>
      <c r="M96" s="73">
        <f>'Risk Master'!$G96*-1+('Risk Master'!$G96*'Event Trigger'!$D96*(1-'Input Sheet year 2'!Q97))</f>
        <v>400000</v>
      </c>
      <c r="N96" s="88"/>
      <c r="O96" s="88">
        <f t="shared" si="10"/>
        <v>-400000</v>
      </c>
      <c r="P96" s="88">
        <f t="shared" si="11"/>
        <v>0</v>
      </c>
      <c r="Q96" s="88">
        <f t="shared" si="12"/>
        <v>-400000</v>
      </c>
      <c r="R96" s="88">
        <f t="shared" si="13"/>
        <v>0</v>
      </c>
      <c r="S96" s="88">
        <f t="shared" si="14"/>
        <v>-400000</v>
      </c>
      <c r="T96" s="88">
        <f t="shared" si="15"/>
        <v>0</v>
      </c>
      <c r="U96" s="88">
        <f t="shared" si="16"/>
        <v>0</v>
      </c>
      <c r="V96" s="88">
        <f t="shared" si="17"/>
        <v>0</v>
      </c>
      <c r="W96" s="88">
        <f t="shared" si="18"/>
        <v>0</v>
      </c>
      <c r="X96" s="88">
        <f t="shared" si="19"/>
        <v>-400000</v>
      </c>
      <c r="Z96" s="51" t="s">
        <v>259</v>
      </c>
      <c r="AA96" s="52">
        <f>IF(VLOOKUP($Z96,'Asset Master'!$A:$J,6,FALSE)*COUNTIF('Event Trigger'!$C:$C,'Year 1 Results'!$Z96)&gt;SUMIF('Event Trigger'!$C:$C,$Z96,D:D),0,VLOOKUP($Z96,'Asset Master'!$A:$J,6,FALSE))</f>
        <v>0</v>
      </c>
      <c r="AB96" s="52">
        <f>IF(VLOOKUP($Z96,'Asset Master'!$A:$J,6,FALSE)*COUNTIF('Event Trigger'!$C:$C,'Year 1 Results'!$Z96)&gt;SUMIF('Event Trigger'!$C:$C,$Z96,E:E),0,VLOOKUP($Z96,'Asset Master'!$A:$J,6,FALSE))</f>
        <v>0</v>
      </c>
      <c r="AC96" s="52">
        <f>IF(VLOOKUP($Z96,'Asset Master'!$A:$J,6,FALSE)*COUNTIF('Event Trigger'!$C:$C,'Year 1 Results'!$Z96)&gt;SUMIF('Event Trigger'!$C:$C,$Z96,F:F),0,VLOOKUP($Z96,'Asset Master'!$A:$J,6,FALSE))</f>
        <v>0</v>
      </c>
      <c r="AD96" s="52">
        <f>IF(VLOOKUP($Z96,'Asset Master'!$A:$J,6,FALSE)*COUNTIF('Event Trigger'!$C:$C,'Year 1 Results'!$Z96)&gt;SUMIF('Event Trigger'!$C:$C,$Z96,G:G),0,VLOOKUP($Z96,'Asset Master'!$A:$J,6,FALSE))</f>
        <v>0</v>
      </c>
      <c r="AE96" s="52">
        <f>IF(VLOOKUP($Z96,'Asset Master'!$A:$J,6,FALSE)*COUNTIF('Event Trigger'!$C:$C,'Year 1 Results'!$Z96)&gt;SUMIF('Event Trigger'!$C:$C,$Z96,H:H),0,VLOOKUP($Z96,'Asset Master'!$A:$J,6,FALSE))</f>
        <v>0</v>
      </c>
      <c r="AF96" s="52">
        <f>IF(VLOOKUP($Z96,'Asset Master'!$A:$J,6,FALSE)*COUNTIF('Event Trigger'!$C:$C,'Year 1 Results'!$Z96)&gt;SUMIF('Event Trigger'!$C:$C,$Z96,I:I),0,VLOOKUP($Z96,'Asset Master'!$A:$J,6,FALSE))</f>
        <v>0</v>
      </c>
      <c r="AG96" s="52">
        <f>IF(VLOOKUP($Z96,'Asset Master'!$A:$J,6,FALSE)*COUNTIF('Event Trigger'!$C:$C,'Year 1 Results'!$Z96)&gt;SUMIF('Event Trigger'!$C:$C,$Z96,J:J),0,VLOOKUP($Z96,'Asset Master'!$A:$J,6,FALSE))</f>
        <v>0</v>
      </c>
      <c r="AH96" s="52">
        <f>IF(VLOOKUP($Z96,'Asset Master'!$A:$J,6,FALSE)*COUNTIF('Event Trigger'!$C:$C,'Year 1 Results'!$Z96)&gt;SUMIF('Event Trigger'!$C:$C,$Z96,K:K),0,VLOOKUP($Z96,'Asset Master'!$A:$J,6,FALSE))</f>
        <v>0</v>
      </c>
      <c r="AI96" s="52">
        <f>IF(VLOOKUP($Z96,'Asset Master'!$A:$J,6,FALSE)*COUNTIF('Event Trigger'!$C:$C,'Year 1 Results'!$Z96)&gt;SUMIF('Event Trigger'!$C:$C,$Z96,L:L),0,VLOOKUP($Z96,'Asset Master'!$A:$J,6,FALSE))</f>
        <v>0</v>
      </c>
      <c r="AJ96" s="52">
        <f>IF(VLOOKUP($Z96,'Asset Master'!$A:$J,6,FALSE)*COUNTIF('Event Trigger'!$C:$C,'Year 1 Results'!$Z96)&gt;SUMIF('Event Trigger'!$C:$C,$Z96,M:M),0,VLOOKUP($Z96,'Asset Master'!$A:$J,6,FALSE))</f>
        <v>0</v>
      </c>
    </row>
    <row r="97" spans="1:36" x14ac:dyDescent="0.25">
      <c r="A97" s="37" t="str">
        <f>'Risk Master'!B97:B183&amp;"-"&amp;'Risk Master'!D97</f>
        <v>Earthquake-Manila</v>
      </c>
      <c r="B97" s="37" t="str">
        <f>'Input Sheet year 2'!B98</f>
        <v>Earthquake-Manila</v>
      </c>
      <c r="C97" s="29" t="str">
        <f>'Risk Master'!F97</f>
        <v>A34</v>
      </c>
      <c r="D97" s="73">
        <f>'Risk Master'!$G97*-1+('Risk Master'!$G97*'Event Trigger'!$D97*(1-'Input Sheet year 1'!H98))</f>
        <v>400000</v>
      </c>
      <c r="E97" s="73">
        <f>'Risk Master'!$G97*-1+('Risk Master'!$G97*'Event Trigger'!$D97*(1-'Input Sheet year 2'!I98))</f>
        <v>400000</v>
      </c>
      <c r="F97" s="73">
        <f>'Risk Master'!$G97*-1+('Risk Master'!$G97*'Event Trigger'!$D97*(1-'Input Sheet year 2'!J98))</f>
        <v>400000</v>
      </c>
      <c r="G97" s="73">
        <f>'Risk Master'!$G97*-1+('Risk Master'!$G97*'Event Trigger'!$D97*(1-'Input Sheet year 2'!K98))</f>
        <v>400000</v>
      </c>
      <c r="H97" s="73">
        <f>'Risk Master'!$G97*-1+('Risk Master'!$G97*'Event Trigger'!$D97*(1-'Input Sheet year 2'!L98))</f>
        <v>400000</v>
      </c>
      <c r="I97" s="73">
        <f>'Risk Master'!$G97*-1+('Risk Master'!$G97*'Event Trigger'!$D97*(1-'Input Sheet year 2'!M98))</f>
        <v>400000</v>
      </c>
      <c r="J97" s="73">
        <f>'Risk Master'!$G97*-1+('Risk Master'!$G97*'Event Trigger'!$D97*(1-'Input Sheet year 2'!N98))</f>
        <v>400000</v>
      </c>
      <c r="K97" s="73">
        <f>'Risk Master'!$G97*-1+('Risk Master'!$G97*'Event Trigger'!$D97*(1-'Input Sheet year 2'!O98))</f>
        <v>400000</v>
      </c>
      <c r="L97" s="73">
        <f>'Risk Master'!$G97*-1+('Risk Master'!$G97*'Event Trigger'!$D97*(1-'Input Sheet year 2'!P98))</f>
        <v>400000</v>
      </c>
      <c r="M97" s="73">
        <f>'Risk Master'!$G97*-1+('Risk Master'!$G97*'Event Trigger'!$D97*(1-'Input Sheet year 2'!Q98))</f>
        <v>400000</v>
      </c>
      <c r="N97" s="88"/>
      <c r="O97" s="88">
        <f t="shared" si="10"/>
        <v>-400000</v>
      </c>
      <c r="P97" s="88">
        <f t="shared" si="11"/>
        <v>0</v>
      </c>
      <c r="Q97" s="88">
        <f t="shared" si="12"/>
        <v>-400000</v>
      </c>
      <c r="R97" s="88">
        <f t="shared" si="13"/>
        <v>0</v>
      </c>
      <c r="S97" s="88">
        <f t="shared" si="14"/>
        <v>-400000</v>
      </c>
      <c r="T97" s="88">
        <f t="shared" si="15"/>
        <v>0</v>
      </c>
      <c r="U97" s="88">
        <f t="shared" si="16"/>
        <v>0</v>
      </c>
      <c r="V97" s="88">
        <f t="shared" si="17"/>
        <v>0</v>
      </c>
      <c r="W97" s="88">
        <f t="shared" si="18"/>
        <v>0</v>
      </c>
      <c r="X97" s="88">
        <f t="shared" si="19"/>
        <v>-400000</v>
      </c>
      <c r="Z97" s="51" t="s">
        <v>260</v>
      </c>
      <c r="AA97" s="52">
        <f>IF(VLOOKUP($Z97,'Asset Master'!$A:$J,6,FALSE)*COUNTIF('Event Trigger'!$C:$C,'Year 1 Results'!$Z97)&gt;SUMIF('Event Trigger'!$C:$C,$Z97,D:D),0,VLOOKUP($Z97,'Asset Master'!$A:$J,6,FALSE))</f>
        <v>0</v>
      </c>
      <c r="AB97" s="52">
        <f>IF(VLOOKUP($Z97,'Asset Master'!$A:$J,6,FALSE)*COUNTIF('Event Trigger'!$C:$C,'Year 1 Results'!$Z97)&gt;SUMIF('Event Trigger'!$C:$C,$Z97,E:E),0,VLOOKUP($Z97,'Asset Master'!$A:$J,6,FALSE))</f>
        <v>0</v>
      </c>
      <c r="AC97" s="52">
        <f>IF(VLOOKUP($Z97,'Asset Master'!$A:$J,6,FALSE)*COUNTIF('Event Trigger'!$C:$C,'Year 1 Results'!$Z97)&gt;SUMIF('Event Trigger'!$C:$C,$Z97,F:F),0,VLOOKUP($Z97,'Asset Master'!$A:$J,6,FALSE))</f>
        <v>0</v>
      </c>
      <c r="AD97" s="52">
        <f>IF(VLOOKUP($Z97,'Asset Master'!$A:$J,6,FALSE)*COUNTIF('Event Trigger'!$C:$C,'Year 1 Results'!$Z97)&gt;SUMIF('Event Trigger'!$C:$C,$Z97,G:G),0,VLOOKUP($Z97,'Asset Master'!$A:$J,6,FALSE))</f>
        <v>0</v>
      </c>
      <c r="AE97" s="52">
        <f>IF(VLOOKUP($Z97,'Asset Master'!$A:$J,6,FALSE)*COUNTIF('Event Trigger'!$C:$C,'Year 1 Results'!$Z97)&gt;SUMIF('Event Trigger'!$C:$C,$Z97,H:H),0,VLOOKUP($Z97,'Asset Master'!$A:$J,6,FALSE))</f>
        <v>0</v>
      </c>
      <c r="AF97" s="52">
        <f>IF(VLOOKUP($Z97,'Asset Master'!$A:$J,6,FALSE)*COUNTIF('Event Trigger'!$C:$C,'Year 1 Results'!$Z97)&gt;SUMIF('Event Trigger'!$C:$C,$Z97,I:I),0,VLOOKUP($Z97,'Asset Master'!$A:$J,6,FALSE))</f>
        <v>0</v>
      </c>
      <c r="AG97" s="52">
        <f>IF(VLOOKUP($Z97,'Asset Master'!$A:$J,6,FALSE)*COUNTIF('Event Trigger'!$C:$C,'Year 1 Results'!$Z97)&gt;SUMIF('Event Trigger'!$C:$C,$Z97,J:J),0,VLOOKUP($Z97,'Asset Master'!$A:$J,6,FALSE))</f>
        <v>0</v>
      </c>
      <c r="AH97" s="52">
        <f>IF(VLOOKUP($Z97,'Asset Master'!$A:$J,6,FALSE)*COUNTIF('Event Trigger'!$C:$C,'Year 1 Results'!$Z97)&gt;SUMIF('Event Trigger'!$C:$C,$Z97,K:K),0,VLOOKUP($Z97,'Asset Master'!$A:$J,6,FALSE))</f>
        <v>0</v>
      </c>
      <c r="AI97" s="52">
        <f>IF(VLOOKUP($Z97,'Asset Master'!$A:$J,6,FALSE)*COUNTIF('Event Trigger'!$C:$C,'Year 1 Results'!$Z97)&gt;SUMIF('Event Trigger'!$C:$C,$Z97,L:L),0,VLOOKUP($Z97,'Asset Master'!$A:$J,6,FALSE))</f>
        <v>0</v>
      </c>
      <c r="AJ97" s="52">
        <f>IF(VLOOKUP($Z97,'Asset Master'!$A:$J,6,FALSE)*COUNTIF('Event Trigger'!$C:$C,'Year 1 Results'!$Z97)&gt;SUMIF('Event Trigger'!$C:$C,$Z97,M:M),0,VLOOKUP($Z97,'Asset Master'!$A:$J,6,FALSE))</f>
        <v>0</v>
      </c>
    </row>
    <row r="98" spans="1:36" x14ac:dyDescent="0.25">
      <c r="A98" s="37" t="str">
        <f>'Risk Master'!B98:B183&amp;"-"&amp;'Risk Master'!D98</f>
        <v>Fire-Manila</v>
      </c>
      <c r="B98" s="37" t="str">
        <f>'Input Sheet year 2'!B99</f>
        <v>Fire-Manila</v>
      </c>
      <c r="C98" s="29" t="str">
        <f>'Risk Master'!F98</f>
        <v>A34</v>
      </c>
      <c r="D98" s="73">
        <f>'Risk Master'!$G98*-1+('Risk Master'!$G98*'Event Trigger'!$D98*(1-'Input Sheet year 1'!H99))</f>
        <v>400000</v>
      </c>
      <c r="E98" s="73">
        <f>'Risk Master'!$G98*-1+('Risk Master'!$G98*'Event Trigger'!$D98*(1-'Input Sheet year 2'!I99))</f>
        <v>0</v>
      </c>
      <c r="F98" s="73">
        <f>'Risk Master'!$G98*-1+('Risk Master'!$G98*'Event Trigger'!$D98*(1-'Input Sheet year 2'!J99))</f>
        <v>400000</v>
      </c>
      <c r="G98" s="73">
        <f>'Risk Master'!$G98*-1+('Risk Master'!$G98*'Event Trigger'!$D98*(1-'Input Sheet year 2'!K99))</f>
        <v>0</v>
      </c>
      <c r="H98" s="73">
        <f>'Risk Master'!$G98*-1+('Risk Master'!$G98*'Event Trigger'!$D98*(1-'Input Sheet year 2'!L99))</f>
        <v>400000</v>
      </c>
      <c r="I98" s="73">
        <f>'Risk Master'!$G98*-1+('Risk Master'!$G98*'Event Trigger'!$D98*(1-'Input Sheet year 2'!M99))</f>
        <v>0</v>
      </c>
      <c r="J98" s="73">
        <f>'Risk Master'!$G98*-1+('Risk Master'!$G98*'Event Trigger'!$D98*(1-'Input Sheet year 2'!N99))</f>
        <v>0</v>
      </c>
      <c r="K98" s="73">
        <f>'Risk Master'!$G98*-1+('Risk Master'!$G98*'Event Trigger'!$D98*(1-'Input Sheet year 2'!O99))</f>
        <v>0</v>
      </c>
      <c r="L98" s="73">
        <f>'Risk Master'!$G98*-1+('Risk Master'!$G98*'Event Trigger'!$D98*(1-'Input Sheet year 2'!P99))</f>
        <v>0</v>
      </c>
      <c r="M98" s="73">
        <f>'Risk Master'!$G98*-1+('Risk Master'!$G98*'Event Trigger'!$D98*(1-'Input Sheet year 2'!Q99))</f>
        <v>400000</v>
      </c>
      <c r="N98" s="88"/>
      <c r="O98" s="88">
        <f t="shared" si="10"/>
        <v>-400000</v>
      </c>
      <c r="P98" s="88">
        <f t="shared" si="11"/>
        <v>0</v>
      </c>
      <c r="Q98" s="88">
        <f t="shared" si="12"/>
        <v>-400000</v>
      </c>
      <c r="R98" s="88">
        <f t="shared" si="13"/>
        <v>0</v>
      </c>
      <c r="S98" s="88">
        <f t="shared" si="14"/>
        <v>-400000</v>
      </c>
      <c r="T98" s="88">
        <f t="shared" si="15"/>
        <v>0</v>
      </c>
      <c r="U98" s="88">
        <f t="shared" si="16"/>
        <v>0</v>
      </c>
      <c r="V98" s="88">
        <f t="shared" si="17"/>
        <v>0</v>
      </c>
      <c r="W98" s="88">
        <f t="shared" si="18"/>
        <v>0</v>
      </c>
      <c r="X98" s="88">
        <f t="shared" si="19"/>
        <v>-400000</v>
      </c>
      <c r="Z98" s="51" t="s">
        <v>261</v>
      </c>
      <c r="AA98" s="52">
        <f>IF(VLOOKUP($Z98,'Asset Master'!$A:$J,6,FALSE)*COUNTIF('Event Trigger'!$C:$C,'Year 1 Results'!$Z98)&gt;SUMIF('Event Trigger'!$C:$C,$Z98,D:D),0,VLOOKUP($Z98,'Asset Master'!$A:$J,6,FALSE))</f>
        <v>0</v>
      </c>
      <c r="AB98" s="52">
        <f>IF(VLOOKUP($Z98,'Asset Master'!$A:$J,6,FALSE)*COUNTIF('Event Trigger'!$C:$C,'Year 1 Results'!$Z98)&gt;SUMIF('Event Trigger'!$C:$C,$Z98,E:E),0,VLOOKUP($Z98,'Asset Master'!$A:$J,6,FALSE))</f>
        <v>0</v>
      </c>
      <c r="AC98" s="52">
        <f>IF(VLOOKUP($Z98,'Asset Master'!$A:$J,6,FALSE)*COUNTIF('Event Trigger'!$C:$C,'Year 1 Results'!$Z98)&gt;SUMIF('Event Trigger'!$C:$C,$Z98,F:F),0,VLOOKUP($Z98,'Asset Master'!$A:$J,6,FALSE))</f>
        <v>0</v>
      </c>
      <c r="AD98" s="52">
        <f>IF(VLOOKUP($Z98,'Asset Master'!$A:$J,6,FALSE)*COUNTIF('Event Trigger'!$C:$C,'Year 1 Results'!$Z98)&gt;SUMIF('Event Trigger'!$C:$C,$Z98,G:G),0,VLOOKUP($Z98,'Asset Master'!$A:$J,6,FALSE))</f>
        <v>0</v>
      </c>
      <c r="AE98" s="52">
        <f>IF(VLOOKUP($Z98,'Asset Master'!$A:$J,6,FALSE)*COUNTIF('Event Trigger'!$C:$C,'Year 1 Results'!$Z98)&gt;SUMIF('Event Trigger'!$C:$C,$Z98,H:H),0,VLOOKUP($Z98,'Asset Master'!$A:$J,6,FALSE))</f>
        <v>0</v>
      </c>
      <c r="AF98" s="52">
        <f>IF(VLOOKUP($Z98,'Asset Master'!$A:$J,6,FALSE)*COUNTIF('Event Trigger'!$C:$C,'Year 1 Results'!$Z98)&gt;SUMIF('Event Trigger'!$C:$C,$Z98,I:I),0,VLOOKUP($Z98,'Asset Master'!$A:$J,6,FALSE))</f>
        <v>0</v>
      </c>
      <c r="AG98" s="52">
        <f>IF(VLOOKUP($Z98,'Asset Master'!$A:$J,6,FALSE)*COUNTIF('Event Trigger'!$C:$C,'Year 1 Results'!$Z98)&gt;SUMIF('Event Trigger'!$C:$C,$Z98,J:J),0,VLOOKUP($Z98,'Asset Master'!$A:$J,6,FALSE))</f>
        <v>0</v>
      </c>
      <c r="AH98" s="52">
        <f>IF(VLOOKUP($Z98,'Asset Master'!$A:$J,6,FALSE)*COUNTIF('Event Trigger'!$C:$C,'Year 1 Results'!$Z98)&gt;SUMIF('Event Trigger'!$C:$C,$Z98,K:K),0,VLOOKUP($Z98,'Asset Master'!$A:$J,6,FALSE))</f>
        <v>0</v>
      </c>
      <c r="AI98" s="52">
        <f>IF(VLOOKUP($Z98,'Asset Master'!$A:$J,6,FALSE)*COUNTIF('Event Trigger'!$C:$C,'Year 1 Results'!$Z98)&gt;SUMIF('Event Trigger'!$C:$C,$Z98,L:L),0,VLOOKUP($Z98,'Asset Master'!$A:$J,6,FALSE))</f>
        <v>0</v>
      </c>
      <c r="AJ98" s="52">
        <f>IF(VLOOKUP($Z98,'Asset Master'!$A:$J,6,FALSE)*COUNTIF('Event Trigger'!$C:$C,'Year 1 Results'!$Z98)&gt;SUMIF('Event Trigger'!$C:$C,$Z98,M:M),0,VLOOKUP($Z98,'Asset Master'!$A:$J,6,FALSE))</f>
        <v>0</v>
      </c>
    </row>
    <row r="99" spans="1:36" x14ac:dyDescent="0.25">
      <c r="A99" s="37" t="str">
        <f>'Risk Master'!B99:B183&amp;"-"&amp;'Risk Master'!D99</f>
        <v>Earthquake-Manila</v>
      </c>
      <c r="B99" s="37" t="str">
        <f>'Input Sheet year 2'!B100</f>
        <v>Earthquake-Manila</v>
      </c>
      <c r="C99" s="29" t="str">
        <f>'Risk Master'!F99</f>
        <v>A33</v>
      </c>
      <c r="D99" s="73">
        <f>'Risk Master'!$G99*-1+('Risk Master'!$G99*'Event Trigger'!$D99*(1-'Input Sheet year 1'!H100))</f>
        <v>400000</v>
      </c>
      <c r="E99" s="73">
        <f>'Risk Master'!$G99*-1+('Risk Master'!$G99*'Event Trigger'!$D99*(1-'Input Sheet year 2'!I100))</f>
        <v>400000</v>
      </c>
      <c r="F99" s="73">
        <f>'Risk Master'!$G99*-1+('Risk Master'!$G99*'Event Trigger'!$D99*(1-'Input Sheet year 2'!J100))</f>
        <v>400000</v>
      </c>
      <c r="G99" s="73">
        <f>'Risk Master'!$G99*-1+('Risk Master'!$G99*'Event Trigger'!$D99*(1-'Input Sheet year 2'!K100))</f>
        <v>400000</v>
      </c>
      <c r="H99" s="73">
        <f>'Risk Master'!$G99*-1+('Risk Master'!$G99*'Event Trigger'!$D99*(1-'Input Sheet year 2'!L100))</f>
        <v>400000</v>
      </c>
      <c r="I99" s="73">
        <f>'Risk Master'!$G99*-1+('Risk Master'!$G99*'Event Trigger'!$D99*(1-'Input Sheet year 2'!M100))</f>
        <v>400000</v>
      </c>
      <c r="J99" s="73">
        <f>'Risk Master'!$G99*-1+('Risk Master'!$G99*'Event Trigger'!$D99*(1-'Input Sheet year 2'!N100))</f>
        <v>400000</v>
      </c>
      <c r="K99" s="73">
        <f>'Risk Master'!$G99*-1+('Risk Master'!$G99*'Event Trigger'!$D99*(1-'Input Sheet year 2'!O100))</f>
        <v>400000</v>
      </c>
      <c r="L99" s="73">
        <f>'Risk Master'!$G99*-1+('Risk Master'!$G99*'Event Trigger'!$D99*(1-'Input Sheet year 2'!P100))</f>
        <v>400000</v>
      </c>
      <c r="M99" s="73">
        <f>'Risk Master'!$G99*-1+('Risk Master'!$G99*'Event Trigger'!$D99*(1-'Input Sheet year 2'!Q100))</f>
        <v>400000</v>
      </c>
      <c r="N99" s="88"/>
      <c r="O99" s="88">
        <f t="shared" si="10"/>
        <v>-400000</v>
      </c>
      <c r="P99" s="88">
        <f t="shared" si="11"/>
        <v>0</v>
      </c>
      <c r="Q99" s="88">
        <f t="shared" si="12"/>
        <v>0</v>
      </c>
      <c r="R99" s="88">
        <f t="shared" si="13"/>
        <v>0</v>
      </c>
      <c r="S99" s="88">
        <f t="shared" si="14"/>
        <v>0</v>
      </c>
      <c r="T99" s="88">
        <f t="shared" si="15"/>
        <v>0</v>
      </c>
      <c r="U99" s="88">
        <f t="shared" si="16"/>
        <v>-400000</v>
      </c>
      <c r="V99" s="88">
        <f t="shared" si="17"/>
        <v>0</v>
      </c>
      <c r="W99" s="88">
        <f t="shared" si="18"/>
        <v>0</v>
      </c>
      <c r="X99" s="88">
        <f t="shared" si="19"/>
        <v>0</v>
      </c>
      <c r="Z99" s="51" t="s">
        <v>262</v>
      </c>
      <c r="AA99" s="52">
        <f>IF(VLOOKUP($Z99,'Asset Master'!$A:$J,6,FALSE)*COUNTIF('Event Trigger'!$C:$C,'Year 1 Results'!$Z99)&gt;SUMIF('Event Trigger'!$C:$C,$Z99,D:D),0,VLOOKUP($Z99,'Asset Master'!$A:$J,6,FALSE))</f>
        <v>300000</v>
      </c>
      <c r="AB99" s="52">
        <f>IF(VLOOKUP($Z99,'Asset Master'!$A:$J,6,FALSE)*COUNTIF('Event Trigger'!$C:$C,'Year 1 Results'!$Z99)&gt;SUMIF('Event Trigger'!$C:$C,$Z99,E:E),0,VLOOKUP($Z99,'Asset Master'!$A:$J,6,FALSE))</f>
        <v>300000</v>
      </c>
      <c r="AC99" s="52">
        <f>IF(VLOOKUP($Z99,'Asset Master'!$A:$J,6,FALSE)*COUNTIF('Event Trigger'!$C:$C,'Year 1 Results'!$Z99)&gt;SUMIF('Event Trigger'!$C:$C,$Z99,F:F),0,VLOOKUP($Z99,'Asset Master'!$A:$J,6,FALSE))</f>
        <v>300000</v>
      </c>
      <c r="AD99" s="52">
        <f>IF(VLOOKUP($Z99,'Asset Master'!$A:$J,6,FALSE)*COUNTIF('Event Trigger'!$C:$C,'Year 1 Results'!$Z99)&gt;SUMIF('Event Trigger'!$C:$C,$Z99,G:G),0,VLOOKUP($Z99,'Asset Master'!$A:$J,6,FALSE))</f>
        <v>300000</v>
      </c>
      <c r="AE99" s="52">
        <f>IF(VLOOKUP($Z99,'Asset Master'!$A:$J,6,FALSE)*COUNTIF('Event Trigger'!$C:$C,'Year 1 Results'!$Z99)&gt;SUMIF('Event Trigger'!$C:$C,$Z99,H:H),0,VLOOKUP($Z99,'Asset Master'!$A:$J,6,FALSE))</f>
        <v>300000</v>
      </c>
      <c r="AF99" s="52">
        <f>IF(VLOOKUP($Z99,'Asset Master'!$A:$J,6,FALSE)*COUNTIF('Event Trigger'!$C:$C,'Year 1 Results'!$Z99)&gt;SUMIF('Event Trigger'!$C:$C,$Z99,I:I),0,VLOOKUP($Z99,'Asset Master'!$A:$J,6,FALSE))</f>
        <v>300000</v>
      </c>
      <c r="AG99" s="52">
        <f>IF(VLOOKUP($Z99,'Asset Master'!$A:$J,6,FALSE)*COUNTIF('Event Trigger'!$C:$C,'Year 1 Results'!$Z99)&gt;SUMIF('Event Trigger'!$C:$C,$Z99,J:J),0,VLOOKUP($Z99,'Asset Master'!$A:$J,6,FALSE))</f>
        <v>300000</v>
      </c>
      <c r="AH99" s="52">
        <f>IF(VLOOKUP($Z99,'Asset Master'!$A:$J,6,FALSE)*COUNTIF('Event Trigger'!$C:$C,'Year 1 Results'!$Z99)&gt;SUMIF('Event Trigger'!$C:$C,$Z99,K:K),0,VLOOKUP($Z99,'Asset Master'!$A:$J,6,FALSE))</f>
        <v>300000</v>
      </c>
      <c r="AI99" s="52">
        <f>IF(VLOOKUP($Z99,'Asset Master'!$A:$J,6,FALSE)*COUNTIF('Event Trigger'!$C:$C,'Year 1 Results'!$Z99)&gt;SUMIF('Event Trigger'!$C:$C,$Z99,L:L),0,VLOOKUP($Z99,'Asset Master'!$A:$J,6,FALSE))</f>
        <v>300000</v>
      </c>
      <c r="AJ99" s="52">
        <f>IF(VLOOKUP($Z99,'Asset Master'!$A:$J,6,FALSE)*COUNTIF('Event Trigger'!$C:$C,'Year 1 Results'!$Z99)&gt;SUMIF('Event Trigger'!$C:$C,$Z99,M:M),0,VLOOKUP($Z99,'Asset Master'!$A:$J,6,FALSE))</f>
        <v>300000</v>
      </c>
    </row>
    <row r="100" spans="1:36" x14ac:dyDescent="0.25">
      <c r="A100" s="37" t="str">
        <f>'Risk Master'!B100:B183&amp;"-"&amp;'Risk Master'!D100</f>
        <v>Fire-Manila</v>
      </c>
      <c r="B100" s="37" t="str">
        <f>'Input Sheet year 2'!B101</f>
        <v>Fire-Manila</v>
      </c>
      <c r="C100" s="29" t="str">
        <f>'Risk Master'!F100</f>
        <v>A33</v>
      </c>
      <c r="D100" s="73">
        <f>'Risk Master'!$G100*-1+('Risk Master'!$G100*'Event Trigger'!$D100*(1-'Input Sheet year 1'!H101))</f>
        <v>400000</v>
      </c>
      <c r="E100" s="73">
        <f>'Risk Master'!$G100*-1+('Risk Master'!$G100*'Event Trigger'!$D100*(1-'Input Sheet year 2'!I101))</f>
        <v>0</v>
      </c>
      <c r="F100" s="73">
        <f>'Risk Master'!$G100*-1+('Risk Master'!$G100*'Event Trigger'!$D100*(1-'Input Sheet year 2'!J101))</f>
        <v>0</v>
      </c>
      <c r="G100" s="73">
        <f>'Risk Master'!$G100*-1+('Risk Master'!$G100*'Event Trigger'!$D100*(1-'Input Sheet year 2'!K101))</f>
        <v>0</v>
      </c>
      <c r="H100" s="73">
        <f>'Risk Master'!$G100*-1+('Risk Master'!$G100*'Event Trigger'!$D100*(1-'Input Sheet year 2'!L101))</f>
        <v>0</v>
      </c>
      <c r="I100" s="73">
        <f>'Risk Master'!$G100*-1+('Risk Master'!$G100*'Event Trigger'!$D100*(1-'Input Sheet year 2'!M101))</f>
        <v>0</v>
      </c>
      <c r="J100" s="73">
        <f>'Risk Master'!$G100*-1+('Risk Master'!$G100*'Event Trigger'!$D100*(1-'Input Sheet year 2'!N101))</f>
        <v>400000</v>
      </c>
      <c r="K100" s="73">
        <f>'Risk Master'!$G100*-1+('Risk Master'!$G100*'Event Trigger'!$D100*(1-'Input Sheet year 2'!O101))</f>
        <v>0</v>
      </c>
      <c r="L100" s="73">
        <f>'Risk Master'!$G100*-1+('Risk Master'!$G100*'Event Trigger'!$D100*(1-'Input Sheet year 2'!P101))</f>
        <v>0</v>
      </c>
      <c r="M100" s="73">
        <f>'Risk Master'!$G100*-1+('Risk Master'!$G100*'Event Trigger'!$D100*(1-'Input Sheet year 2'!Q101))</f>
        <v>0</v>
      </c>
      <c r="N100" s="88"/>
      <c r="O100" s="88">
        <f t="shared" si="10"/>
        <v>-400000</v>
      </c>
      <c r="P100" s="88">
        <f t="shared" si="11"/>
        <v>0</v>
      </c>
      <c r="Q100" s="88">
        <f t="shared" si="12"/>
        <v>0</v>
      </c>
      <c r="R100" s="88">
        <f t="shared" si="13"/>
        <v>0</v>
      </c>
      <c r="S100" s="88">
        <f t="shared" si="14"/>
        <v>0</v>
      </c>
      <c r="T100" s="88">
        <f t="shared" si="15"/>
        <v>0</v>
      </c>
      <c r="U100" s="88">
        <f t="shared" si="16"/>
        <v>-400000</v>
      </c>
      <c r="V100" s="88">
        <f t="shared" si="17"/>
        <v>0</v>
      </c>
      <c r="W100" s="88">
        <f t="shared" si="18"/>
        <v>0</v>
      </c>
      <c r="X100" s="88">
        <f t="shared" si="19"/>
        <v>0</v>
      </c>
      <c r="Z100" s="51" t="s">
        <v>263</v>
      </c>
      <c r="AA100" s="52">
        <f>IF(VLOOKUP($Z100,'Asset Master'!$A:$J,6,FALSE)*COUNTIF('Event Trigger'!$C:$C,'Year 1 Results'!$Z100)&gt;SUMIF('Event Trigger'!$C:$C,$Z100,D:D),0,VLOOKUP($Z100,'Asset Master'!$A:$J,6,FALSE))</f>
        <v>300000</v>
      </c>
      <c r="AB100" s="52">
        <f>IF(VLOOKUP($Z100,'Asset Master'!$A:$J,6,FALSE)*COUNTIF('Event Trigger'!$C:$C,'Year 1 Results'!$Z100)&gt;SUMIF('Event Trigger'!$C:$C,$Z100,E:E),0,VLOOKUP($Z100,'Asset Master'!$A:$J,6,FALSE))</f>
        <v>300000</v>
      </c>
      <c r="AC100" s="52">
        <f>IF(VLOOKUP($Z100,'Asset Master'!$A:$J,6,FALSE)*COUNTIF('Event Trigger'!$C:$C,'Year 1 Results'!$Z100)&gt;SUMIF('Event Trigger'!$C:$C,$Z100,F:F),0,VLOOKUP($Z100,'Asset Master'!$A:$J,6,FALSE))</f>
        <v>300000</v>
      </c>
      <c r="AD100" s="52">
        <f>IF(VLOOKUP($Z100,'Asset Master'!$A:$J,6,FALSE)*COUNTIF('Event Trigger'!$C:$C,'Year 1 Results'!$Z100)&gt;SUMIF('Event Trigger'!$C:$C,$Z100,G:G),0,VLOOKUP($Z100,'Asset Master'!$A:$J,6,FALSE))</f>
        <v>300000</v>
      </c>
      <c r="AE100" s="52">
        <f>IF(VLOOKUP($Z100,'Asset Master'!$A:$J,6,FALSE)*COUNTIF('Event Trigger'!$C:$C,'Year 1 Results'!$Z100)&gt;SUMIF('Event Trigger'!$C:$C,$Z100,H:H),0,VLOOKUP($Z100,'Asset Master'!$A:$J,6,FALSE))</f>
        <v>300000</v>
      </c>
      <c r="AF100" s="52">
        <f>IF(VLOOKUP($Z100,'Asset Master'!$A:$J,6,FALSE)*COUNTIF('Event Trigger'!$C:$C,'Year 1 Results'!$Z100)&gt;SUMIF('Event Trigger'!$C:$C,$Z100,I:I),0,VLOOKUP($Z100,'Asset Master'!$A:$J,6,FALSE))</f>
        <v>300000</v>
      </c>
      <c r="AG100" s="52">
        <f>IF(VLOOKUP($Z100,'Asset Master'!$A:$J,6,FALSE)*COUNTIF('Event Trigger'!$C:$C,'Year 1 Results'!$Z100)&gt;SUMIF('Event Trigger'!$C:$C,$Z100,J:J),0,VLOOKUP($Z100,'Asset Master'!$A:$J,6,FALSE))</f>
        <v>300000</v>
      </c>
      <c r="AH100" s="52">
        <f>IF(VLOOKUP($Z100,'Asset Master'!$A:$J,6,FALSE)*COUNTIF('Event Trigger'!$C:$C,'Year 1 Results'!$Z100)&gt;SUMIF('Event Trigger'!$C:$C,$Z100,K:K),0,VLOOKUP($Z100,'Asset Master'!$A:$J,6,FALSE))</f>
        <v>300000</v>
      </c>
      <c r="AI100" s="52">
        <f>IF(VLOOKUP($Z100,'Asset Master'!$A:$J,6,FALSE)*COUNTIF('Event Trigger'!$C:$C,'Year 1 Results'!$Z100)&gt;SUMIF('Event Trigger'!$C:$C,$Z100,L:L),0,VLOOKUP($Z100,'Asset Master'!$A:$J,6,FALSE))</f>
        <v>300000</v>
      </c>
      <c r="AJ100" s="52">
        <f>IF(VLOOKUP($Z100,'Asset Master'!$A:$J,6,FALSE)*COUNTIF('Event Trigger'!$C:$C,'Year 1 Results'!$Z100)&gt;SUMIF('Event Trigger'!$C:$C,$Z100,M:M),0,VLOOKUP($Z100,'Asset Master'!$A:$J,6,FALSE))</f>
        <v>300000</v>
      </c>
    </row>
    <row r="101" spans="1:36" x14ac:dyDescent="0.25">
      <c r="A101" s="37" t="str">
        <f>'Risk Master'!B101:B184&amp;"-"&amp;'Risk Master'!D101</f>
        <v>Typhoon Nari (Santi) -Manila</v>
      </c>
      <c r="B101" s="37" t="str">
        <f>'Input Sheet year 2'!B102</f>
        <v>Hurricane-Typhoon -Manila</v>
      </c>
      <c r="C101" s="29" t="str">
        <f>'Risk Master'!F101</f>
        <v>A36</v>
      </c>
      <c r="D101" s="73">
        <f>'Risk Master'!$G101*-1+('Risk Master'!$G101*'Event Trigger'!$D101*(1-'Input Sheet year 1'!H102))</f>
        <v>300000</v>
      </c>
      <c r="E101" s="73">
        <f>'Risk Master'!$G101*-1+('Risk Master'!$G101*'Event Trigger'!$D101*(1-'Input Sheet year 2'!I102))</f>
        <v>300000</v>
      </c>
      <c r="F101" s="73">
        <f>'Risk Master'!$G101*-1+('Risk Master'!$G101*'Event Trigger'!$D101*(1-'Input Sheet year 2'!J102))</f>
        <v>300000</v>
      </c>
      <c r="G101" s="73">
        <f>'Risk Master'!$G101*-1+('Risk Master'!$G101*'Event Trigger'!$D101*(1-'Input Sheet year 2'!K102))</f>
        <v>300000</v>
      </c>
      <c r="H101" s="73">
        <f>'Risk Master'!$G101*-1+('Risk Master'!$G101*'Event Trigger'!$D101*(1-'Input Sheet year 2'!L102))</f>
        <v>300000</v>
      </c>
      <c r="I101" s="73">
        <f>'Risk Master'!$G101*-1+('Risk Master'!$G101*'Event Trigger'!$D101*(1-'Input Sheet year 2'!M102))</f>
        <v>300000</v>
      </c>
      <c r="J101" s="73">
        <f>'Risk Master'!$G101*-1+('Risk Master'!$G101*'Event Trigger'!$D101*(1-'Input Sheet year 2'!N102))</f>
        <v>300000</v>
      </c>
      <c r="K101" s="73">
        <f>'Risk Master'!$G101*-1+('Risk Master'!$G101*'Event Trigger'!$D101*(1-'Input Sheet year 2'!O102))</f>
        <v>300000</v>
      </c>
      <c r="L101" s="73">
        <f>'Risk Master'!$G101*-1+('Risk Master'!$G101*'Event Trigger'!$D101*(1-'Input Sheet year 2'!P102))</f>
        <v>300000</v>
      </c>
      <c r="M101" s="73">
        <f>'Risk Master'!$G101*-1+('Risk Master'!$G101*'Event Trigger'!$D101*(1-'Input Sheet year 2'!Q102))</f>
        <v>300000</v>
      </c>
      <c r="N101" s="88"/>
      <c r="O101" s="88">
        <f t="shared" si="10"/>
        <v>-300000</v>
      </c>
      <c r="P101" s="88">
        <f t="shared" si="11"/>
        <v>-300000</v>
      </c>
      <c r="Q101" s="88">
        <f t="shared" si="12"/>
        <v>-300000</v>
      </c>
      <c r="R101" s="88">
        <f t="shared" si="13"/>
        <v>-300000</v>
      </c>
      <c r="S101" s="88">
        <f t="shared" si="14"/>
        <v>-300000</v>
      </c>
      <c r="T101" s="88">
        <f t="shared" si="15"/>
        <v>-300000</v>
      </c>
      <c r="U101" s="88">
        <f t="shared" si="16"/>
        <v>-300000</v>
      </c>
      <c r="V101" s="88">
        <f t="shared" si="17"/>
        <v>-300000</v>
      </c>
      <c r="W101" s="88">
        <f t="shared" si="18"/>
        <v>-300000</v>
      </c>
      <c r="X101" s="88">
        <f t="shared" si="19"/>
        <v>-300000</v>
      </c>
      <c r="Z101" s="51" t="s">
        <v>264</v>
      </c>
      <c r="AA101" s="52">
        <f>IF(VLOOKUP($Z101,'Asset Master'!$A:$J,6,FALSE)*COUNTIF('Event Trigger'!$C:$C,'Year 1 Results'!$Z101)&gt;SUMIF('Event Trigger'!$C:$C,$Z101,D:D),0,VLOOKUP($Z101,'Asset Master'!$A:$J,6,FALSE))</f>
        <v>0</v>
      </c>
      <c r="AB101" s="52">
        <f>IF(VLOOKUP($Z101,'Asset Master'!$A:$J,6,FALSE)*COUNTIF('Event Trigger'!$C:$C,'Year 1 Results'!$Z101)&gt;SUMIF('Event Trigger'!$C:$C,$Z101,E:E),0,VLOOKUP($Z101,'Asset Master'!$A:$J,6,FALSE))</f>
        <v>0</v>
      </c>
      <c r="AC101" s="52">
        <f>IF(VLOOKUP($Z101,'Asset Master'!$A:$J,6,FALSE)*COUNTIF('Event Trigger'!$C:$C,'Year 1 Results'!$Z101)&gt;SUMIF('Event Trigger'!$C:$C,$Z101,F:F),0,VLOOKUP($Z101,'Asset Master'!$A:$J,6,FALSE))</f>
        <v>0</v>
      </c>
      <c r="AD101" s="52">
        <f>IF(VLOOKUP($Z101,'Asset Master'!$A:$J,6,FALSE)*COUNTIF('Event Trigger'!$C:$C,'Year 1 Results'!$Z101)&gt;SUMIF('Event Trigger'!$C:$C,$Z101,G:G),0,VLOOKUP($Z101,'Asset Master'!$A:$J,6,FALSE))</f>
        <v>0</v>
      </c>
      <c r="AE101" s="52">
        <f>IF(VLOOKUP($Z101,'Asset Master'!$A:$J,6,FALSE)*COUNTIF('Event Trigger'!$C:$C,'Year 1 Results'!$Z101)&gt;SUMIF('Event Trigger'!$C:$C,$Z101,H:H),0,VLOOKUP($Z101,'Asset Master'!$A:$J,6,FALSE))</f>
        <v>0</v>
      </c>
      <c r="AF101" s="52">
        <f>IF(VLOOKUP($Z101,'Asset Master'!$A:$J,6,FALSE)*COUNTIF('Event Trigger'!$C:$C,'Year 1 Results'!$Z101)&gt;SUMIF('Event Trigger'!$C:$C,$Z101,I:I),0,VLOOKUP($Z101,'Asset Master'!$A:$J,6,FALSE))</f>
        <v>0</v>
      </c>
      <c r="AG101" s="52">
        <f>IF(VLOOKUP($Z101,'Asset Master'!$A:$J,6,FALSE)*COUNTIF('Event Trigger'!$C:$C,'Year 1 Results'!$Z101)&gt;SUMIF('Event Trigger'!$C:$C,$Z101,J:J),0,VLOOKUP($Z101,'Asset Master'!$A:$J,6,FALSE))</f>
        <v>0</v>
      </c>
      <c r="AH101" s="52">
        <f>IF(VLOOKUP($Z101,'Asset Master'!$A:$J,6,FALSE)*COUNTIF('Event Trigger'!$C:$C,'Year 1 Results'!$Z101)&gt;SUMIF('Event Trigger'!$C:$C,$Z101,K:K),0,VLOOKUP($Z101,'Asset Master'!$A:$J,6,FALSE))</f>
        <v>0</v>
      </c>
      <c r="AI101" s="52">
        <f>IF(VLOOKUP($Z101,'Asset Master'!$A:$J,6,FALSE)*COUNTIF('Event Trigger'!$C:$C,'Year 1 Results'!$Z101)&gt;SUMIF('Event Trigger'!$C:$C,$Z101,L:L),0,VLOOKUP($Z101,'Asset Master'!$A:$J,6,FALSE))</f>
        <v>0</v>
      </c>
      <c r="AJ101" s="52">
        <f>IF(VLOOKUP($Z101,'Asset Master'!$A:$J,6,FALSE)*COUNTIF('Event Trigger'!$C:$C,'Year 1 Results'!$Z101)&gt;SUMIF('Event Trigger'!$C:$C,$Z101,M:M),0,VLOOKUP($Z101,'Asset Master'!$A:$J,6,FALSE))</f>
        <v>0</v>
      </c>
    </row>
    <row r="102" spans="1:36" x14ac:dyDescent="0.25">
      <c r="A102" s="37" t="str">
        <f>'Risk Master'!B102:B185&amp;"-"&amp;'Risk Master'!D102</f>
        <v>Earthquake-Manila</v>
      </c>
      <c r="B102" s="37" t="str">
        <f>'Input Sheet year 2'!B103</f>
        <v>Earthquake-Manila</v>
      </c>
      <c r="C102" s="29" t="str">
        <f>'Risk Master'!F102</f>
        <v>A38</v>
      </c>
      <c r="D102" s="73">
        <f>'Risk Master'!$G102*-1+('Risk Master'!$G102*'Event Trigger'!$D102*(1-'Input Sheet year 1'!H103))</f>
        <v>500000</v>
      </c>
      <c r="E102" s="73">
        <f>'Risk Master'!$G102*-1+('Risk Master'!$G102*'Event Trigger'!$D102*(1-'Input Sheet year 2'!I103))</f>
        <v>500000</v>
      </c>
      <c r="F102" s="73">
        <f>'Risk Master'!$G102*-1+('Risk Master'!$G102*'Event Trigger'!$D102*(1-'Input Sheet year 2'!J103))</f>
        <v>500000</v>
      </c>
      <c r="G102" s="73">
        <f>'Risk Master'!$G102*-1+('Risk Master'!$G102*'Event Trigger'!$D102*(1-'Input Sheet year 2'!K103))</f>
        <v>500000</v>
      </c>
      <c r="H102" s="73">
        <f>'Risk Master'!$G102*-1+('Risk Master'!$G102*'Event Trigger'!$D102*(1-'Input Sheet year 2'!L103))</f>
        <v>500000</v>
      </c>
      <c r="I102" s="73">
        <f>'Risk Master'!$G102*-1+('Risk Master'!$G102*'Event Trigger'!$D102*(1-'Input Sheet year 2'!M103))</f>
        <v>500000</v>
      </c>
      <c r="J102" s="73">
        <f>'Risk Master'!$G102*-1+('Risk Master'!$G102*'Event Trigger'!$D102*(1-'Input Sheet year 2'!N103))</f>
        <v>500000</v>
      </c>
      <c r="K102" s="73">
        <f>'Risk Master'!$G102*-1+('Risk Master'!$G102*'Event Trigger'!$D102*(1-'Input Sheet year 2'!O103))</f>
        <v>500000</v>
      </c>
      <c r="L102" s="73">
        <f>'Risk Master'!$G102*-1+('Risk Master'!$G102*'Event Trigger'!$D102*(1-'Input Sheet year 2'!P103))</f>
        <v>500000</v>
      </c>
      <c r="M102" s="73">
        <f>'Risk Master'!$G102*-1+('Risk Master'!$G102*'Event Trigger'!$D102*(1-'Input Sheet year 2'!Q103))</f>
        <v>500000</v>
      </c>
      <c r="N102" s="88"/>
      <c r="O102" s="88">
        <f t="shared" si="10"/>
        <v>-500000</v>
      </c>
      <c r="P102" s="88">
        <f t="shared" si="11"/>
        <v>-500000</v>
      </c>
      <c r="Q102" s="88">
        <f t="shared" si="12"/>
        <v>-500000</v>
      </c>
      <c r="R102" s="88">
        <f t="shared" si="13"/>
        <v>-500000</v>
      </c>
      <c r="S102" s="88">
        <f t="shared" si="14"/>
        <v>-500000</v>
      </c>
      <c r="T102" s="88">
        <f t="shared" si="15"/>
        <v>-500000</v>
      </c>
      <c r="U102" s="88">
        <f t="shared" si="16"/>
        <v>-500000</v>
      </c>
      <c r="V102" s="88">
        <f t="shared" si="17"/>
        <v>-500000</v>
      </c>
      <c r="W102" s="88">
        <f t="shared" si="18"/>
        <v>-500000</v>
      </c>
      <c r="X102" s="88">
        <f t="shared" si="19"/>
        <v>-500000</v>
      </c>
      <c r="Z102" s="51" t="s">
        <v>265</v>
      </c>
      <c r="AA102" s="52">
        <f>IF(VLOOKUP($Z102,'Asset Master'!$A:$J,6,FALSE)*COUNTIF('Event Trigger'!$C:$C,'Year 1 Results'!$Z102)&gt;SUMIF('Event Trigger'!$C:$C,$Z102,D:D),0,VLOOKUP($Z102,'Asset Master'!$A:$J,6,FALSE))</f>
        <v>0</v>
      </c>
      <c r="AB102" s="52">
        <f>IF(VLOOKUP($Z102,'Asset Master'!$A:$J,6,FALSE)*COUNTIF('Event Trigger'!$C:$C,'Year 1 Results'!$Z102)&gt;SUMIF('Event Trigger'!$C:$C,$Z102,E:E),0,VLOOKUP($Z102,'Asset Master'!$A:$J,6,FALSE))</f>
        <v>0</v>
      </c>
      <c r="AC102" s="52">
        <f>IF(VLOOKUP($Z102,'Asset Master'!$A:$J,6,FALSE)*COUNTIF('Event Trigger'!$C:$C,'Year 1 Results'!$Z102)&gt;SUMIF('Event Trigger'!$C:$C,$Z102,F:F),0,VLOOKUP($Z102,'Asset Master'!$A:$J,6,FALSE))</f>
        <v>0</v>
      </c>
      <c r="AD102" s="52">
        <f>IF(VLOOKUP($Z102,'Asset Master'!$A:$J,6,FALSE)*COUNTIF('Event Trigger'!$C:$C,'Year 1 Results'!$Z102)&gt;SUMIF('Event Trigger'!$C:$C,$Z102,G:G),0,VLOOKUP($Z102,'Asset Master'!$A:$J,6,FALSE))</f>
        <v>0</v>
      </c>
      <c r="AE102" s="52">
        <f>IF(VLOOKUP($Z102,'Asset Master'!$A:$J,6,FALSE)*COUNTIF('Event Trigger'!$C:$C,'Year 1 Results'!$Z102)&gt;SUMIF('Event Trigger'!$C:$C,$Z102,H:H),0,VLOOKUP($Z102,'Asset Master'!$A:$J,6,FALSE))</f>
        <v>0</v>
      </c>
      <c r="AF102" s="52">
        <f>IF(VLOOKUP($Z102,'Asset Master'!$A:$J,6,FALSE)*COUNTIF('Event Trigger'!$C:$C,'Year 1 Results'!$Z102)&gt;SUMIF('Event Trigger'!$C:$C,$Z102,I:I),0,VLOOKUP($Z102,'Asset Master'!$A:$J,6,FALSE))</f>
        <v>0</v>
      </c>
      <c r="AG102" s="52">
        <f>IF(VLOOKUP($Z102,'Asset Master'!$A:$J,6,FALSE)*COUNTIF('Event Trigger'!$C:$C,'Year 1 Results'!$Z102)&gt;SUMIF('Event Trigger'!$C:$C,$Z102,J:J),0,VLOOKUP($Z102,'Asset Master'!$A:$J,6,FALSE))</f>
        <v>0</v>
      </c>
      <c r="AH102" s="52">
        <f>IF(VLOOKUP($Z102,'Asset Master'!$A:$J,6,FALSE)*COUNTIF('Event Trigger'!$C:$C,'Year 1 Results'!$Z102)&gt;SUMIF('Event Trigger'!$C:$C,$Z102,K:K),0,VLOOKUP($Z102,'Asset Master'!$A:$J,6,FALSE))</f>
        <v>0</v>
      </c>
      <c r="AI102" s="52">
        <f>IF(VLOOKUP($Z102,'Asset Master'!$A:$J,6,FALSE)*COUNTIF('Event Trigger'!$C:$C,'Year 1 Results'!$Z102)&gt;SUMIF('Event Trigger'!$C:$C,$Z102,L:L),0,VLOOKUP($Z102,'Asset Master'!$A:$J,6,FALSE))</f>
        <v>0</v>
      </c>
      <c r="AJ102" s="52">
        <f>IF(VLOOKUP($Z102,'Asset Master'!$A:$J,6,FALSE)*COUNTIF('Event Trigger'!$C:$C,'Year 1 Results'!$Z102)&gt;SUMIF('Event Trigger'!$C:$C,$Z102,M:M),0,VLOOKUP($Z102,'Asset Master'!$A:$J,6,FALSE))</f>
        <v>0</v>
      </c>
    </row>
    <row r="103" spans="1:36" x14ac:dyDescent="0.25">
      <c r="A103" s="37" t="str">
        <f>'Risk Master'!B103:B186&amp;"-"&amp;'Risk Master'!D103</f>
        <v>Fire-Manila</v>
      </c>
      <c r="B103" s="37" t="str">
        <f>'Input Sheet year 2'!B104</f>
        <v>Fire-Manila</v>
      </c>
      <c r="C103" s="29" t="str">
        <f>'Risk Master'!F103</f>
        <v>A40</v>
      </c>
      <c r="D103" s="73">
        <f>'Risk Master'!$G103*-1+('Risk Master'!$G103*'Event Trigger'!$D103*(1-'Input Sheet year 1'!H104))</f>
        <v>0</v>
      </c>
      <c r="E103" s="73">
        <f>'Risk Master'!$G103*-1+('Risk Master'!$G103*'Event Trigger'!$D103*(1-'Input Sheet year 2'!I104))</f>
        <v>0</v>
      </c>
      <c r="F103" s="73">
        <f>'Risk Master'!$G103*-1+('Risk Master'!$G103*'Event Trigger'!$D103*(1-'Input Sheet year 2'!J104))</f>
        <v>0</v>
      </c>
      <c r="G103" s="73">
        <f>'Risk Master'!$G103*-1+('Risk Master'!$G103*'Event Trigger'!$D103*(1-'Input Sheet year 2'!K104))</f>
        <v>0</v>
      </c>
      <c r="H103" s="73">
        <f>'Risk Master'!$G103*-1+('Risk Master'!$G103*'Event Trigger'!$D103*(1-'Input Sheet year 2'!L104))</f>
        <v>0</v>
      </c>
      <c r="I103" s="73">
        <f>'Risk Master'!$G103*-1+('Risk Master'!$G103*'Event Trigger'!$D103*(1-'Input Sheet year 2'!M104))</f>
        <v>0</v>
      </c>
      <c r="J103" s="73">
        <f>'Risk Master'!$G103*-1+('Risk Master'!$G103*'Event Trigger'!$D103*(1-'Input Sheet year 2'!N104))</f>
        <v>0</v>
      </c>
      <c r="K103" s="73">
        <f>'Risk Master'!$G103*-1+('Risk Master'!$G103*'Event Trigger'!$D103*(1-'Input Sheet year 2'!O104))</f>
        <v>300000</v>
      </c>
      <c r="L103" s="73">
        <f>'Risk Master'!$G103*-1+('Risk Master'!$G103*'Event Trigger'!$D103*(1-'Input Sheet year 2'!P104))</f>
        <v>0</v>
      </c>
      <c r="M103" s="73">
        <f>'Risk Master'!$G103*-1+('Risk Master'!$G103*'Event Trigger'!$D103*(1-'Input Sheet year 2'!Q104))</f>
        <v>0</v>
      </c>
      <c r="N103" s="88"/>
      <c r="O103" s="88">
        <f t="shared" si="10"/>
        <v>0</v>
      </c>
      <c r="P103" s="88">
        <f t="shared" si="11"/>
        <v>0</v>
      </c>
      <c r="Q103" s="88">
        <f t="shared" si="12"/>
        <v>0</v>
      </c>
      <c r="R103" s="88">
        <f t="shared" si="13"/>
        <v>0</v>
      </c>
      <c r="S103" s="88">
        <f t="shared" si="14"/>
        <v>0</v>
      </c>
      <c r="T103" s="88">
        <f t="shared" si="15"/>
        <v>0</v>
      </c>
      <c r="U103" s="88">
        <f t="shared" si="16"/>
        <v>0</v>
      </c>
      <c r="V103" s="88">
        <f t="shared" si="17"/>
        <v>-300000</v>
      </c>
      <c r="W103" s="88">
        <f t="shared" si="18"/>
        <v>0</v>
      </c>
      <c r="X103" s="88">
        <f t="shared" si="19"/>
        <v>0</v>
      </c>
      <c r="Z103" s="51" t="s">
        <v>266</v>
      </c>
      <c r="AA103" s="52">
        <f>IF(VLOOKUP($Z103,'Asset Master'!$A:$J,6,FALSE)*COUNTIF('Event Trigger'!$C:$C,'Year 1 Results'!$Z103)&gt;SUMIF('Event Trigger'!$C:$C,$Z103,D:D),0,VLOOKUP($Z103,'Asset Master'!$A:$J,6,FALSE))</f>
        <v>0</v>
      </c>
      <c r="AB103" s="52">
        <f>IF(VLOOKUP($Z103,'Asset Master'!$A:$J,6,FALSE)*COUNTIF('Event Trigger'!$C:$C,'Year 1 Results'!$Z103)&gt;SUMIF('Event Trigger'!$C:$C,$Z103,E:E),0,VLOOKUP($Z103,'Asset Master'!$A:$J,6,FALSE))</f>
        <v>0</v>
      </c>
      <c r="AC103" s="52">
        <f>IF(VLOOKUP($Z103,'Asset Master'!$A:$J,6,FALSE)*COUNTIF('Event Trigger'!$C:$C,'Year 1 Results'!$Z103)&gt;SUMIF('Event Trigger'!$C:$C,$Z103,F:F),0,VLOOKUP($Z103,'Asset Master'!$A:$J,6,FALSE))</f>
        <v>0</v>
      </c>
      <c r="AD103" s="52">
        <f>IF(VLOOKUP($Z103,'Asset Master'!$A:$J,6,FALSE)*COUNTIF('Event Trigger'!$C:$C,'Year 1 Results'!$Z103)&gt;SUMIF('Event Trigger'!$C:$C,$Z103,G:G),0,VLOOKUP($Z103,'Asset Master'!$A:$J,6,FALSE))</f>
        <v>0</v>
      </c>
      <c r="AE103" s="52">
        <f>IF(VLOOKUP($Z103,'Asset Master'!$A:$J,6,FALSE)*COUNTIF('Event Trigger'!$C:$C,'Year 1 Results'!$Z103)&gt;SUMIF('Event Trigger'!$C:$C,$Z103,H:H),0,VLOOKUP($Z103,'Asset Master'!$A:$J,6,FALSE))</f>
        <v>0</v>
      </c>
      <c r="AF103" s="52">
        <f>IF(VLOOKUP($Z103,'Asset Master'!$A:$J,6,FALSE)*COUNTIF('Event Trigger'!$C:$C,'Year 1 Results'!$Z103)&gt;SUMIF('Event Trigger'!$C:$C,$Z103,I:I),0,VLOOKUP($Z103,'Asset Master'!$A:$J,6,FALSE))</f>
        <v>0</v>
      </c>
      <c r="AG103" s="52">
        <f>IF(VLOOKUP($Z103,'Asset Master'!$A:$J,6,FALSE)*COUNTIF('Event Trigger'!$C:$C,'Year 1 Results'!$Z103)&gt;SUMIF('Event Trigger'!$C:$C,$Z103,J:J),0,VLOOKUP($Z103,'Asset Master'!$A:$J,6,FALSE))</f>
        <v>0</v>
      </c>
      <c r="AH103" s="52">
        <f>IF(VLOOKUP($Z103,'Asset Master'!$A:$J,6,FALSE)*COUNTIF('Event Trigger'!$C:$C,'Year 1 Results'!$Z103)&gt;SUMIF('Event Trigger'!$C:$C,$Z103,K:K),0,VLOOKUP($Z103,'Asset Master'!$A:$J,6,FALSE))</f>
        <v>0</v>
      </c>
      <c r="AI103" s="52">
        <f>IF(VLOOKUP($Z103,'Asset Master'!$A:$J,6,FALSE)*COUNTIF('Event Trigger'!$C:$C,'Year 1 Results'!$Z103)&gt;SUMIF('Event Trigger'!$C:$C,$Z103,L:L),0,VLOOKUP($Z103,'Asset Master'!$A:$J,6,FALSE))</f>
        <v>0</v>
      </c>
      <c r="AJ103" s="52">
        <f>IF(VLOOKUP($Z103,'Asset Master'!$A:$J,6,FALSE)*COUNTIF('Event Trigger'!$C:$C,'Year 1 Results'!$Z103)&gt;SUMIF('Event Trigger'!$C:$C,$Z103,M:M),0,VLOOKUP($Z103,'Asset Master'!$A:$J,6,FALSE))</f>
        <v>0</v>
      </c>
    </row>
    <row r="104" spans="1:36" x14ac:dyDescent="0.25">
      <c r="A104" s="37" t="str">
        <f>'Risk Master'!B104:B187&amp;"-"&amp;'Risk Master'!D104</f>
        <v>Typhoon Utor (Labuyo)-Manila</v>
      </c>
      <c r="B104" s="37" t="str">
        <f>'Input Sheet year 2'!B105</f>
        <v>Hurricane-Typhoon -Manila</v>
      </c>
      <c r="C104" s="29" t="str">
        <f>'Risk Master'!F104</f>
        <v>A43</v>
      </c>
      <c r="D104" s="73">
        <f>'Risk Master'!$G104*-1+('Risk Master'!$G104*'Event Trigger'!$D104*(1-'Input Sheet year 1'!H105))</f>
        <v>500000</v>
      </c>
      <c r="E104" s="73">
        <f>'Risk Master'!$G104*-1+('Risk Master'!$G104*'Event Trigger'!$D104*(1-'Input Sheet year 2'!I105))</f>
        <v>500000</v>
      </c>
      <c r="F104" s="73">
        <f>'Risk Master'!$G104*-1+('Risk Master'!$G104*'Event Trigger'!$D104*(1-'Input Sheet year 2'!J105))</f>
        <v>500000</v>
      </c>
      <c r="G104" s="73">
        <f>'Risk Master'!$G104*-1+('Risk Master'!$G104*'Event Trigger'!$D104*(1-'Input Sheet year 2'!K105))</f>
        <v>500000</v>
      </c>
      <c r="H104" s="73">
        <f>'Risk Master'!$G104*-1+('Risk Master'!$G104*'Event Trigger'!$D104*(1-'Input Sheet year 2'!L105))</f>
        <v>500000</v>
      </c>
      <c r="I104" s="73">
        <f>'Risk Master'!$G104*-1+('Risk Master'!$G104*'Event Trigger'!$D104*(1-'Input Sheet year 2'!M105))</f>
        <v>500000</v>
      </c>
      <c r="J104" s="73">
        <f>'Risk Master'!$G104*-1+('Risk Master'!$G104*'Event Trigger'!$D104*(1-'Input Sheet year 2'!N105))</f>
        <v>500000</v>
      </c>
      <c r="K104" s="73">
        <f>'Risk Master'!$G104*-1+('Risk Master'!$G104*'Event Trigger'!$D104*(1-'Input Sheet year 2'!O105))</f>
        <v>500000</v>
      </c>
      <c r="L104" s="73">
        <f>'Risk Master'!$G104*-1+('Risk Master'!$G104*'Event Trigger'!$D104*(1-'Input Sheet year 2'!P105))</f>
        <v>500000</v>
      </c>
      <c r="M104" s="73">
        <f>'Risk Master'!$G104*-1+('Risk Master'!$G104*'Event Trigger'!$D104*(1-'Input Sheet year 2'!Q105))</f>
        <v>500000</v>
      </c>
      <c r="N104" s="88"/>
      <c r="O104" s="88">
        <f t="shared" si="10"/>
        <v>0</v>
      </c>
      <c r="P104" s="88">
        <f t="shared" si="11"/>
        <v>0</v>
      </c>
      <c r="Q104" s="88">
        <f t="shared" si="12"/>
        <v>0</v>
      </c>
      <c r="R104" s="88">
        <f t="shared" si="13"/>
        <v>0</v>
      </c>
      <c r="S104" s="88">
        <f t="shared" si="14"/>
        <v>0</v>
      </c>
      <c r="T104" s="88">
        <f t="shared" si="15"/>
        <v>0</v>
      </c>
      <c r="U104" s="88">
        <f t="shared" si="16"/>
        <v>-500000</v>
      </c>
      <c r="V104" s="88">
        <f t="shared" si="17"/>
        <v>0</v>
      </c>
      <c r="W104" s="88">
        <f t="shared" si="18"/>
        <v>-500000</v>
      </c>
      <c r="X104" s="88">
        <f t="shared" si="19"/>
        <v>0</v>
      </c>
      <c r="Z104" s="51" t="s">
        <v>267</v>
      </c>
      <c r="AA104" s="52">
        <f>IF(VLOOKUP($Z104,'Asset Master'!$A:$J,6,FALSE)*COUNTIF('Event Trigger'!$C:$C,'Year 1 Results'!$Z104)&gt;SUMIF('Event Trigger'!$C:$C,$Z104,D:D),0,VLOOKUP($Z104,'Asset Master'!$A:$J,6,FALSE))</f>
        <v>200000</v>
      </c>
      <c r="AB104" s="52">
        <f>IF(VLOOKUP($Z104,'Asset Master'!$A:$J,6,FALSE)*COUNTIF('Event Trigger'!$C:$C,'Year 1 Results'!$Z104)&gt;SUMIF('Event Trigger'!$C:$C,$Z104,E:E),0,VLOOKUP($Z104,'Asset Master'!$A:$J,6,FALSE))</f>
        <v>200000</v>
      </c>
      <c r="AC104" s="52">
        <f>IF(VLOOKUP($Z104,'Asset Master'!$A:$J,6,FALSE)*COUNTIF('Event Trigger'!$C:$C,'Year 1 Results'!$Z104)&gt;SUMIF('Event Trigger'!$C:$C,$Z104,F:F),0,VLOOKUP($Z104,'Asset Master'!$A:$J,6,FALSE))</f>
        <v>200000</v>
      </c>
      <c r="AD104" s="52">
        <f>IF(VLOOKUP($Z104,'Asset Master'!$A:$J,6,FALSE)*COUNTIF('Event Trigger'!$C:$C,'Year 1 Results'!$Z104)&gt;SUMIF('Event Trigger'!$C:$C,$Z104,G:G),0,VLOOKUP($Z104,'Asset Master'!$A:$J,6,FALSE))</f>
        <v>200000</v>
      </c>
      <c r="AE104" s="52">
        <f>IF(VLOOKUP($Z104,'Asset Master'!$A:$J,6,FALSE)*COUNTIF('Event Trigger'!$C:$C,'Year 1 Results'!$Z104)&gt;SUMIF('Event Trigger'!$C:$C,$Z104,H:H),0,VLOOKUP($Z104,'Asset Master'!$A:$J,6,FALSE))</f>
        <v>200000</v>
      </c>
      <c r="AF104" s="52">
        <f>IF(VLOOKUP($Z104,'Asset Master'!$A:$J,6,FALSE)*COUNTIF('Event Trigger'!$C:$C,'Year 1 Results'!$Z104)&gt;SUMIF('Event Trigger'!$C:$C,$Z104,I:I),0,VLOOKUP($Z104,'Asset Master'!$A:$J,6,FALSE))</f>
        <v>200000</v>
      </c>
      <c r="AG104" s="52">
        <f>IF(VLOOKUP($Z104,'Asset Master'!$A:$J,6,FALSE)*COUNTIF('Event Trigger'!$C:$C,'Year 1 Results'!$Z104)&gt;SUMIF('Event Trigger'!$C:$C,$Z104,J:J),0,VLOOKUP($Z104,'Asset Master'!$A:$J,6,FALSE))</f>
        <v>200000</v>
      </c>
      <c r="AH104" s="52">
        <f>IF(VLOOKUP($Z104,'Asset Master'!$A:$J,6,FALSE)*COUNTIF('Event Trigger'!$C:$C,'Year 1 Results'!$Z104)&gt;SUMIF('Event Trigger'!$C:$C,$Z104,K:K),0,VLOOKUP($Z104,'Asset Master'!$A:$J,6,FALSE))</f>
        <v>200000</v>
      </c>
      <c r="AI104" s="52">
        <f>IF(VLOOKUP($Z104,'Asset Master'!$A:$J,6,FALSE)*COUNTIF('Event Trigger'!$C:$C,'Year 1 Results'!$Z104)&gt;SUMIF('Event Trigger'!$C:$C,$Z104,L:L),0,VLOOKUP($Z104,'Asset Master'!$A:$J,6,FALSE))</f>
        <v>200000</v>
      </c>
      <c r="AJ104" s="52">
        <f>IF(VLOOKUP($Z104,'Asset Master'!$A:$J,6,FALSE)*COUNTIF('Event Trigger'!$C:$C,'Year 1 Results'!$Z104)&gt;SUMIF('Event Trigger'!$C:$C,$Z104,M:M),0,VLOOKUP($Z104,'Asset Master'!$A:$J,6,FALSE))</f>
        <v>200000</v>
      </c>
    </row>
    <row r="105" spans="1:36" x14ac:dyDescent="0.25">
      <c r="A105" s="37" t="str">
        <f>'Risk Master'!B105:B188&amp;"-"&amp;'Risk Master'!D105</f>
        <v>Earthquake-Manila</v>
      </c>
      <c r="B105" s="37" t="str">
        <f>'Input Sheet year 2'!B106</f>
        <v>Earthquake-Manila</v>
      </c>
      <c r="C105" s="29" t="str">
        <f>'Risk Master'!F105</f>
        <v>A43</v>
      </c>
      <c r="D105" s="73">
        <f>'Risk Master'!$G105*-1+('Risk Master'!$G105*'Event Trigger'!$D105*(1-'Input Sheet year 1'!H106))</f>
        <v>500000</v>
      </c>
      <c r="E105" s="73">
        <f>'Risk Master'!$G105*-1+('Risk Master'!$G105*'Event Trigger'!$D105*(1-'Input Sheet year 2'!I106))</f>
        <v>500000</v>
      </c>
      <c r="F105" s="73">
        <f>'Risk Master'!$G105*-1+('Risk Master'!$G105*'Event Trigger'!$D105*(1-'Input Sheet year 2'!J106))</f>
        <v>500000</v>
      </c>
      <c r="G105" s="73">
        <f>'Risk Master'!$G105*-1+('Risk Master'!$G105*'Event Trigger'!$D105*(1-'Input Sheet year 2'!K106))</f>
        <v>500000</v>
      </c>
      <c r="H105" s="73">
        <f>'Risk Master'!$G105*-1+('Risk Master'!$G105*'Event Trigger'!$D105*(1-'Input Sheet year 2'!L106))</f>
        <v>500000</v>
      </c>
      <c r="I105" s="73">
        <f>'Risk Master'!$G105*-1+('Risk Master'!$G105*'Event Trigger'!$D105*(1-'Input Sheet year 2'!M106))</f>
        <v>500000</v>
      </c>
      <c r="J105" s="73">
        <f>'Risk Master'!$G105*-1+('Risk Master'!$G105*'Event Trigger'!$D105*(1-'Input Sheet year 2'!N106))</f>
        <v>500000</v>
      </c>
      <c r="K105" s="73">
        <f>'Risk Master'!$G105*-1+('Risk Master'!$G105*'Event Trigger'!$D105*(1-'Input Sheet year 2'!O106))</f>
        <v>500000</v>
      </c>
      <c r="L105" s="73">
        <f>'Risk Master'!$G105*-1+('Risk Master'!$G105*'Event Trigger'!$D105*(1-'Input Sheet year 2'!P106))</f>
        <v>500000</v>
      </c>
      <c r="M105" s="73">
        <f>'Risk Master'!$G105*-1+('Risk Master'!$G105*'Event Trigger'!$D105*(1-'Input Sheet year 2'!Q106))</f>
        <v>500000</v>
      </c>
      <c r="N105" s="88"/>
      <c r="O105" s="88">
        <f t="shared" si="10"/>
        <v>0</v>
      </c>
      <c r="P105" s="88">
        <f t="shared" si="11"/>
        <v>0</v>
      </c>
      <c r="Q105" s="88">
        <f t="shared" si="12"/>
        <v>0</v>
      </c>
      <c r="R105" s="88">
        <f t="shared" si="13"/>
        <v>0</v>
      </c>
      <c r="S105" s="88">
        <f t="shared" si="14"/>
        <v>0</v>
      </c>
      <c r="T105" s="88">
        <f t="shared" si="15"/>
        <v>0</v>
      </c>
      <c r="U105" s="88">
        <f t="shared" si="16"/>
        <v>-500000</v>
      </c>
      <c r="V105" s="88">
        <f t="shared" si="17"/>
        <v>0</v>
      </c>
      <c r="W105" s="88">
        <f t="shared" si="18"/>
        <v>-500000</v>
      </c>
      <c r="X105" s="88">
        <f t="shared" si="19"/>
        <v>0</v>
      </c>
      <c r="Z105" s="51" t="s">
        <v>268</v>
      </c>
      <c r="AA105" s="52">
        <f>IF(VLOOKUP($Z105,'Asset Master'!$A:$J,6,FALSE)*COUNTIF('Event Trigger'!$C:$C,'Year 1 Results'!$Z105)&gt;SUMIF('Event Trigger'!$C:$C,$Z105,D:D),0,VLOOKUP($Z105,'Asset Master'!$A:$J,6,FALSE))</f>
        <v>0</v>
      </c>
      <c r="AB105" s="52">
        <f>IF(VLOOKUP($Z105,'Asset Master'!$A:$J,6,FALSE)*COUNTIF('Event Trigger'!$C:$C,'Year 1 Results'!$Z105)&gt;SUMIF('Event Trigger'!$C:$C,$Z105,E:E),0,VLOOKUP($Z105,'Asset Master'!$A:$J,6,FALSE))</f>
        <v>0</v>
      </c>
      <c r="AC105" s="52">
        <f>IF(VLOOKUP($Z105,'Asset Master'!$A:$J,6,FALSE)*COUNTIF('Event Trigger'!$C:$C,'Year 1 Results'!$Z105)&gt;SUMIF('Event Trigger'!$C:$C,$Z105,F:F),0,VLOOKUP($Z105,'Asset Master'!$A:$J,6,FALSE))</f>
        <v>0</v>
      </c>
      <c r="AD105" s="52">
        <f>IF(VLOOKUP($Z105,'Asset Master'!$A:$J,6,FALSE)*COUNTIF('Event Trigger'!$C:$C,'Year 1 Results'!$Z105)&gt;SUMIF('Event Trigger'!$C:$C,$Z105,G:G),0,VLOOKUP($Z105,'Asset Master'!$A:$J,6,FALSE))</f>
        <v>0</v>
      </c>
      <c r="AE105" s="52">
        <f>IF(VLOOKUP($Z105,'Asset Master'!$A:$J,6,FALSE)*COUNTIF('Event Trigger'!$C:$C,'Year 1 Results'!$Z105)&gt;SUMIF('Event Trigger'!$C:$C,$Z105,H:H),0,VLOOKUP($Z105,'Asset Master'!$A:$J,6,FALSE))</f>
        <v>0</v>
      </c>
      <c r="AF105" s="52">
        <f>IF(VLOOKUP($Z105,'Asset Master'!$A:$J,6,FALSE)*COUNTIF('Event Trigger'!$C:$C,'Year 1 Results'!$Z105)&gt;SUMIF('Event Trigger'!$C:$C,$Z105,I:I),0,VLOOKUP($Z105,'Asset Master'!$A:$J,6,FALSE))</f>
        <v>0</v>
      </c>
      <c r="AG105" s="52">
        <f>IF(VLOOKUP($Z105,'Asset Master'!$A:$J,6,FALSE)*COUNTIF('Event Trigger'!$C:$C,'Year 1 Results'!$Z105)&gt;SUMIF('Event Trigger'!$C:$C,$Z105,J:J),0,VLOOKUP($Z105,'Asset Master'!$A:$J,6,FALSE))</f>
        <v>0</v>
      </c>
      <c r="AH105" s="52">
        <f>IF(VLOOKUP($Z105,'Asset Master'!$A:$J,6,FALSE)*COUNTIF('Event Trigger'!$C:$C,'Year 1 Results'!$Z105)&gt;SUMIF('Event Trigger'!$C:$C,$Z105,K:K),0,VLOOKUP($Z105,'Asset Master'!$A:$J,6,FALSE))</f>
        <v>0</v>
      </c>
      <c r="AI105" s="52">
        <f>IF(VLOOKUP($Z105,'Asset Master'!$A:$J,6,FALSE)*COUNTIF('Event Trigger'!$C:$C,'Year 1 Results'!$Z105)&gt;SUMIF('Event Trigger'!$C:$C,$Z105,L:L),0,VLOOKUP($Z105,'Asset Master'!$A:$J,6,FALSE))</f>
        <v>0</v>
      </c>
      <c r="AJ105" s="52">
        <f>IF(VLOOKUP($Z105,'Asset Master'!$A:$J,6,FALSE)*COUNTIF('Event Trigger'!$C:$C,'Year 1 Results'!$Z105)&gt;SUMIF('Event Trigger'!$C:$C,$Z105,M:M),0,VLOOKUP($Z105,'Asset Master'!$A:$J,6,FALSE))</f>
        <v>0</v>
      </c>
    </row>
    <row r="106" spans="1:36" x14ac:dyDescent="0.25">
      <c r="A106" s="37" t="str">
        <f>'Risk Master'!B106:B189&amp;"-"&amp;'Risk Master'!D106</f>
        <v>Fire-Manila</v>
      </c>
      <c r="B106" s="37" t="str">
        <f>'Input Sheet year 2'!B107</f>
        <v>Fire-Manila</v>
      </c>
      <c r="C106" s="29" t="str">
        <f>'Risk Master'!F106</f>
        <v>A43</v>
      </c>
      <c r="D106" s="73">
        <f>'Risk Master'!$G106*-1+('Risk Master'!$G106*'Event Trigger'!$D106*(1-'Input Sheet year 1'!H107))</f>
        <v>0</v>
      </c>
      <c r="E106" s="73">
        <f>'Risk Master'!$G106*-1+('Risk Master'!$G106*'Event Trigger'!$D106*(1-'Input Sheet year 2'!I107))</f>
        <v>0</v>
      </c>
      <c r="F106" s="73">
        <f>'Risk Master'!$G106*-1+('Risk Master'!$G106*'Event Trigger'!$D106*(1-'Input Sheet year 2'!J107))</f>
        <v>0</v>
      </c>
      <c r="G106" s="73">
        <f>'Risk Master'!$G106*-1+('Risk Master'!$G106*'Event Trigger'!$D106*(1-'Input Sheet year 2'!K107))</f>
        <v>0</v>
      </c>
      <c r="H106" s="73">
        <f>'Risk Master'!$G106*-1+('Risk Master'!$G106*'Event Trigger'!$D106*(1-'Input Sheet year 2'!L107))</f>
        <v>0</v>
      </c>
      <c r="I106" s="73">
        <f>'Risk Master'!$G106*-1+('Risk Master'!$G106*'Event Trigger'!$D106*(1-'Input Sheet year 2'!M107))</f>
        <v>0</v>
      </c>
      <c r="J106" s="73">
        <f>'Risk Master'!$G106*-1+('Risk Master'!$G106*'Event Trigger'!$D106*(1-'Input Sheet year 2'!N107))</f>
        <v>500000</v>
      </c>
      <c r="K106" s="73">
        <f>'Risk Master'!$G106*-1+('Risk Master'!$G106*'Event Trigger'!$D106*(1-'Input Sheet year 2'!O107))</f>
        <v>0</v>
      </c>
      <c r="L106" s="73">
        <f>'Risk Master'!$G106*-1+('Risk Master'!$G106*'Event Trigger'!$D106*(1-'Input Sheet year 2'!P107))</f>
        <v>500000</v>
      </c>
      <c r="M106" s="73">
        <f>'Risk Master'!$G106*-1+('Risk Master'!$G106*'Event Trigger'!$D106*(1-'Input Sheet year 2'!Q107))</f>
        <v>0</v>
      </c>
      <c r="N106" s="88"/>
      <c r="O106" s="88">
        <f t="shared" si="10"/>
        <v>0</v>
      </c>
      <c r="P106" s="88">
        <f t="shared" si="11"/>
        <v>0</v>
      </c>
      <c r="Q106" s="88">
        <f t="shared" si="12"/>
        <v>0</v>
      </c>
      <c r="R106" s="88">
        <f t="shared" si="13"/>
        <v>0</v>
      </c>
      <c r="S106" s="88">
        <f t="shared" si="14"/>
        <v>0</v>
      </c>
      <c r="T106" s="88">
        <f t="shared" si="15"/>
        <v>0</v>
      </c>
      <c r="U106" s="88">
        <f t="shared" si="16"/>
        <v>-500000</v>
      </c>
      <c r="V106" s="88">
        <f t="shared" si="17"/>
        <v>0</v>
      </c>
      <c r="W106" s="88">
        <f t="shared" si="18"/>
        <v>-500000</v>
      </c>
      <c r="X106" s="88">
        <f t="shared" si="19"/>
        <v>0</v>
      </c>
      <c r="Z106" s="51" t="s">
        <v>269</v>
      </c>
      <c r="AA106" s="52">
        <f>IF(VLOOKUP($Z106,'Asset Master'!$A:$J,6,FALSE)*COUNTIF('Event Trigger'!$C:$C,'Year 1 Results'!$Z106)&gt;SUMIF('Event Trigger'!$C:$C,$Z106,D:D),0,VLOOKUP($Z106,'Asset Master'!$A:$J,6,FALSE))</f>
        <v>400000</v>
      </c>
      <c r="AB106" s="52">
        <f>IF(VLOOKUP($Z106,'Asset Master'!$A:$J,6,FALSE)*COUNTIF('Event Trigger'!$C:$C,'Year 1 Results'!$Z106)&gt;SUMIF('Event Trigger'!$C:$C,$Z106,E:E),0,VLOOKUP($Z106,'Asset Master'!$A:$J,6,FALSE))</f>
        <v>400000</v>
      </c>
      <c r="AC106" s="52">
        <f>IF(VLOOKUP($Z106,'Asset Master'!$A:$J,6,FALSE)*COUNTIF('Event Trigger'!$C:$C,'Year 1 Results'!$Z106)&gt;SUMIF('Event Trigger'!$C:$C,$Z106,F:F),0,VLOOKUP($Z106,'Asset Master'!$A:$J,6,FALSE))</f>
        <v>400000</v>
      </c>
      <c r="AD106" s="52">
        <f>IF(VLOOKUP($Z106,'Asset Master'!$A:$J,6,FALSE)*COUNTIF('Event Trigger'!$C:$C,'Year 1 Results'!$Z106)&gt;SUMIF('Event Trigger'!$C:$C,$Z106,G:G),0,VLOOKUP($Z106,'Asset Master'!$A:$J,6,FALSE))</f>
        <v>400000</v>
      </c>
      <c r="AE106" s="52">
        <f>IF(VLOOKUP($Z106,'Asset Master'!$A:$J,6,FALSE)*COUNTIF('Event Trigger'!$C:$C,'Year 1 Results'!$Z106)&gt;SUMIF('Event Trigger'!$C:$C,$Z106,H:H),0,VLOOKUP($Z106,'Asset Master'!$A:$J,6,FALSE))</f>
        <v>400000</v>
      </c>
      <c r="AF106" s="52">
        <f>IF(VLOOKUP($Z106,'Asset Master'!$A:$J,6,FALSE)*COUNTIF('Event Trigger'!$C:$C,'Year 1 Results'!$Z106)&gt;SUMIF('Event Trigger'!$C:$C,$Z106,I:I),0,VLOOKUP($Z106,'Asset Master'!$A:$J,6,FALSE))</f>
        <v>400000</v>
      </c>
      <c r="AG106" s="52">
        <f>IF(VLOOKUP($Z106,'Asset Master'!$A:$J,6,FALSE)*COUNTIF('Event Trigger'!$C:$C,'Year 1 Results'!$Z106)&gt;SUMIF('Event Trigger'!$C:$C,$Z106,J:J),0,VLOOKUP($Z106,'Asset Master'!$A:$J,6,FALSE))</f>
        <v>400000</v>
      </c>
      <c r="AH106" s="52">
        <f>IF(VLOOKUP($Z106,'Asset Master'!$A:$J,6,FALSE)*COUNTIF('Event Trigger'!$C:$C,'Year 1 Results'!$Z106)&gt;SUMIF('Event Trigger'!$C:$C,$Z106,K:K),0,VLOOKUP($Z106,'Asset Master'!$A:$J,6,FALSE))</f>
        <v>400000</v>
      </c>
      <c r="AI106" s="52">
        <f>IF(VLOOKUP($Z106,'Asset Master'!$A:$J,6,FALSE)*COUNTIF('Event Trigger'!$C:$C,'Year 1 Results'!$Z106)&gt;SUMIF('Event Trigger'!$C:$C,$Z106,L:L),0,VLOOKUP($Z106,'Asset Master'!$A:$J,6,FALSE))</f>
        <v>400000</v>
      </c>
      <c r="AJ106" s="52">
        <f>IF(VLOOKUP($Z106,'Asset Master'!$A:$J,6,FALSE)*COUNTIF('Event Trigger'!$C:$C,'Year 1 Results'!$Z106)&gt;SUMIF('Event Trigger'!$C:$C,$Z106,M:M),0,VLOOKUP($Z106,'Asset Master'!$A:$J,6,FALSE))</f>
        <v>400000</v>
      </c>
    </row>
    <row r="107" spans="1:36" x14ac:dyDescent="0.25">
      <c r="A107" s="37" t="str">
        <f>'Risk Master'!B107:B190&amp;"-"&amp;'Risk Master'!D107</f>
        <v>Super Typhoon Usagi-Manila</v>
      </c>
      <c r="B107" s="37" t="str">
        <f>'Input Sheet year 2'!B108</f>
        <v>Hurricane-Typhoon -Manila</v>
      </c>
      <c r="C107" s="29" t="str">
        <f>'Risk Master'!F107</f>
        <v>A45</v>
      </c>
      <c r="D107" s="73">
        <f>'Risk Master'!$G107*-1+('Risk Master'!$G107*'Event Trigger'!$D107*(1-'Input Sheet year 1'!H108))</f>
        <v>300000</v>
      </c>
      <c r="E107" s="73">
        <f>'Risk Master'!$G107*-1+('Risk Master'!$G107*'Event Trigger'!$D107*(1-'Input Sheet year 2'!I108))</f>
        <v>300000</v>
      </c>
      <c r="F107" s="73">
        <f>'Risk Master'!$G107*-1+('Risk Master'!$G107*'Event Trigger'!$D107*(1-'Input Sheet year 2'!J108))</f>
        <v>300000</v>
      </c>
      <c r="G107" s="73">
        <f>'Risk Master'!$G107*-1+('Risk Master'!$G107*'Event Trigger'!$D107*(1-'Input Sheet year 2'!K108))</f>
        <v>300000</v>
      </c>
      <c r="H107" s="73">
        <f>'Risk Master'!$G107*-1+('Risk Master'!$G107*'Event Trigger'!$D107*(1-'Input Sheet year 2'!L108))</f>
        <v>300000</v>
      </c>
      <c r="I107" s="73">
        <f>'Risk Master'!$G107*-1+('Risk Master'!$G107*'Event Trigger'!$D107*(1-'Input Sheet year 2'!M108))</f>
        <v>300000</v>
      </c>
      <c r="J107" s="73">
        <f>'Risk Master'!$G107*-1+('Risk Master'!$G107*'Event Trigger'!$D107*(1-'Input Sheet year 2'!N108))</f>
        <v>300000</v>
      </c>
      <c r="K107" s="73">
        <f>'Risk Master'!$G107*-1+('Risk Master'!$G107*'Event Trigger'!$D107*(1-'Input Sheet year 2'!O108))</f>
        <v>300000</v>
      </c>
      <c r="L107" s="73">
        <f>'Risk Master'!$G107*-1+('Risk Master'!$G107*'Event Trigger'!$D107*(1-'Input Sheet year 2'!P108))</f>
        <v>300000</v>
      </c>
      <c r="M107" s="73">
        <f>'Risk Master'!$G107*-1+('Risk Master'!$G107*'Event Trigger'!$D107*(1-'Input Sheet year 2'!Q108))</f>
        <v>300000</v>
      </c>
      <c r="N107" s="88"/>
      <c r="O107" s="88">
        <f t="shared" si="10"/>
        <v>-300000</v>
      </c>
      <c r="P107" s="88">
        <f t="shared" si="11"/>
        <v>-300000</v>
      </c>
      <c r="Q107" s="88">
        <f t="shared" si="12"/>
        <v>-300000</v>
      </c>
      <c r="R107" s="88">
        <f t="shared" si="13"/>
        <v>-300000</v>
      </c>
      <c r="S107" s="88">
        <f t="shared" si="14"/>
        <v>-300000</v>
      </c>
      <c r="T107" s="88">
        <f t="shared" si="15"/>
        <v>-300000</v>
      </c>
      <c r="U107" s="88">
        <f t="shared" si="16"/>
        <v>-300000</v>
      </c>
      <c r="V107" s="88">
        <f t="shared" si="17"/>
        <v>-300000</v>
      </c>
      <c r="W107" s="88">
        <f t="shared" si="18"/>
        <v>-300000</v>
      </c>
      <c r="X107" s="88">
        <f t="shared" si="19"/>
        <v>-300000</v>
      </c>
      <c r="Z107" s="51" t="s">
        <v>270</v>
      </c>
      <c r="AA107" s="52">
        <f>IF(VLOOKUP($Z107,'Asset Master'!$A:$J,6,FALSE)*COUNTIF('Event Trigger'!$C:$C,'Year 1 Results'!$Z107)&gt;SUMIF('Event Trigger'!$C:$C,$Z107,D:D),0,VLOOKUP($Z107,'Asset Master'!$A:$J,6,FALSE))</f>
        <v>0</v>
      </c>
      <c r="AB107" s="52">
        <f>IF(VLOOKUP($Z107,'Asset Master'!$A:$J,6,FALSE)*COUNTIF('Event Trigger'!$C:$C,'Year 1 Results'!$Z107)&gt;SUMIF('Event Trigger'!$C:$C,$Z107,E:E),0,VLOOKUP($Z107,'Asset Master'!$A:$J,6,FALSE))</f>
        <v>0</v>
      </c>
      <c r="AC107" s="52">
        <f>IF(VLOOKUP($Z107,'Asset Master'!$A:$J,6,FALSE)*COUNTIF('Event Trigger'!$C:$C,'Year 1 Results'!$Z107)&gt;SUMIF('Event Trigger'!$C:$C,$Z107,F:F),0,VLOOKUP($Z107,'Asset Master'!$A:$J,6,FALSE))</f>
        <v>0</v>
      </c>
      <c r="AD107" s="52">
        <f>IF(VLOOKUP($Z107,'Asset Master'!$A:$J,6,FALSE)*COUNTIF('Event Trigger'!$C:$C,'Year 1 Results'!$Z107)&gt;SUMIF('Event Trigger'!$C:$C,$Z107,G:G),0,VLOOKUP($Z107,'Asset Master'!$A:$J,6,FALSE))</f>
        <v>0</v>
      </c>
      <c r="AE107" s="52">
        <f>IF(VLOOKUP($Z107,'Asset Master'!$A:$J,6,FALSE)*COUNTIF('Event Trigger'!$C:$C,'Year 1 Results'!$Z107)&gt;SUMIF('Event Trigger'!$C:$C,$Z107,H:H),0,VLOOKUP($Z107,'Asset Master'!$A:$J,6,FALSE))</f>
        <v>0</v>
      </c>
      <c r="AF107" s="52">
        <f>IF(VLOOKUP($Z107,'Asset Master'!$A:$J,6,FALSE)*COUNTIF('Event Trigger'!$C:$C,'Year 1 Results'!$Z107)&gt;SUMIF('Event Trigger'!$C:$C,$Z107,I:I),0,VLOOKUP($Z107,'Asset Master'!$A:$J,6,FALSE))</f>
        <v>0</v>
      </c>
      <c r="AG107" s="52">
        <f>IF(VLOOKUP($Z107,'Asset Master'!$A:$J,6,FALSE)*COUNTIF('Event Trigger'!$C:$C,'Year 1 Results'!$Z107)&gt;SUMIF('Event Trigger'!$C:$C,$Z107,J:J),0,VLOOKUP($Z107,'Asset Master'!$A:$J,6,FALSE))</f>
        <v>0</v>
      </c>
      <c r="AH107" s="52">
        <f>IF(VLOOKUP($Z107,'Asset Master'!$A:$J,6,FALSE)*COUNTIF('Event Trigger'!$C:$C,'Year 1 Results'!$Z107)&gt;SUMIF('Event Trigger'!$C:$C,$Z107,K:K),0,VLOOKUP($Z107,'Asset Master'!$A:$J,6,FALSE))</f>
        <v>0</v>
      </c>
      <c r="AI107" s="52">
        <f>IF(VLOOKUP($Z107,'Asset Master'!$A:$J,6,FALSE)*COUNTIF('Event Trigger'!$C:$C,'Year 1 Results'!$Z107)&gt;SUMIF('Event Trigger'!$C:$C,$Z107,L:L),0,VLOOKUP($Z107,'Asset Master'!$A:$J,6,FALSE))</f>
        <v>0</v>
      </c>
      <c r="AJ107" s="52">
        <f>IF(VLOOKUP($Z107,'Asset Master'!$A:$J,6,FALSE)*COUNTIF('Event Trigger'!$C:$C,'Year 1 Results'!$Z107)&gt;SUMIF('Event Trigger'!$C:$C,$Z107,M:M),0,VLOOKUP($Z107,'Asset Master'!$A:$J,6,FALSE))</f>
        <v>0</v>
      </c>
    </row>
    <row r="108" spans="1:36" ht="25.5" x14ac:dyDescent="0.25">
      <c r="A108" s="37" t="str">
        <f>'Risk Master'!B108:B191&amp;"-"&amp;'Risk Master'!D108</f>
        <v>Thunderstorms, Tornados &amp; Hail-San Francisco</v>
      </c>
      <c r="B108" s="37" t="str">
        <f>'Input Sheet year 2'!B109</f>
        <v>Thunderstorms, Tornados &amp; Hail-San Francisco</v>
      </c>
      <c r="C108" s="29" t="str">
        <f>'Risk Master'!F108</f>
        <v>A47</v>
      </c>
      <c r="D108" s="73">
        <f>'Risk Master'!$G108*-1+('Risk Master'!$G108*'Event Trigger'!$D108*(1-'Input Sheet year 1'!H109))</f>
        <v>600000</v>
      </c>
      <c r="E108" s="73">
        <f>'Risk Master'!$G108*-1+('Risk Master'!$G108*'Event Trigger'!$D108*(1-'Input Sheet year 2'!I109))</f>
        <v>600000</v>
      </c>
      <c r="F108" s="73">
        <f>'Risk Master'!$G108*-1+('Risk Master'!$G108*'Event Trigger'!$D108*(1-'Input Sheet year 2'!J109))</f>
        <v>600000</v>
      </c>
      <c r="G108" s="73">
        <f>'Risk Master'!$G108*-1+('Risk Master'!$G108*'Event Trigger'!$D108*(1-'Input Sheet year 2'!K109))</f>
        <v>600000</v>
      </c>
      <c r="H108" s="73">
        <f>'Risk Master'!$G108*-1+('Risk Master'!$G108*'Event Trigger'!$D108*(1-'Input Sheet year 2'!L109))</f>
        <v>600000</v>
      </c>
      <c r="I108" s="73">
        <f>'Risk Master'!$G108*-1+('Risk Master'!$G108*'Event Trigger'!$D108*(1-'Input Sheet year 2'!M109))</f>
        <v>600000</v>
      </c>
      <c r="J108" s="73">
        <f>'Risk Master'!$G108*-1+('Risk Master'!$G108*'Event Trigger'!$D108*(1-'Input Sheet year 2'!N109))</f>
        <v>600000</v>
      </c>
      <c r="K108" s="73">
        <f>'Risk Master'!$G108*-1+('Risk Master'!$G108*'Event Trigger'!$D108*(1-'Input Sheet year 2'!O109))</f>
        <v>600000</v>
      </c>
      <c r="L108" s="73">
        <f>'Risk Master'!$G108*-1+('Risk Master'!$G108*'Event Trigger'!$D108*(1-'Input Sheet year 2'!P109))</f>
        <v>600000</v>
      </c>
      <c r="M108" s="73">
        <f>'Risk Master'!$G108*-1+('Risk Master'!$G108*'Event Trigger'!$D108*(1-'Input Sheet year 2'!Q109))</f>
        <v>600000</v>
      </c>
      <c r="N108" s="88"/>
      <c r="O108" s="88">
        <f t="shared" si="10"/>
        <v>-600000</v>
      </c>
      <c r="P108" s="88">
        <f t="shared" si="11"/>
        <v>-600000</v>
      </c>
      <c r="Q108" s="88">
        <f t="shared" si="12"/>
        <v>-600000</v>
      </c>
      <c r="R108" s="88">
        <f t="shared" si="13"/>
        <v>-600000</v>
      </c>
      <c r="S108" s="88">
        <f t="shared" si="14"/>
        <v>-600000</v>
      </c>
      <c r="T108" s="88">
        <f t="shared" si="15"/>
        <v>-600000</v>
      </c>
      <c r="U108" s="88">
        <f t="shared" si="16"/>
        <v>-600000</v>
      </c>
      <c r="V108" s="88">
        <f t="shared" si="17"/>
        <v>-600000</v>
      </c>
      <c r="W108" s="88">
        <f t="shared" si="18"/>
        <v>-600000</v>
      </c>
      <c r="X108" s="88">
        <f t="shared" si="19"/>
        <v>-600000</v>
      </c>
      <c r="Z108" s="51" t="s">
        <v>271</v>
      </c>
      <c r="AA108" s="52">
        <f>IF(VLOOKUP($Z108,'Asset Master'!$A:$J,6,FALSE)*COUNTIF('Event Trigger'!$C:$C,'Year 1 Results'!$Z108)&gt;SUMIF('Event Trigger'!$C:$C,$Z108,D:D),0,VLOOKUP($Z108,'Asset Master'!$A:$J,6,FALSE))</f>
        <v>0</v>
      </c>
      <c r="AB108" s="52">
        <f>IF(VLOOKUP($Z108,'Asset Master'!$A:$J,6,FALSE)*COUNTIF('Event Trigger'!$C:$C,'Year 1 Results'!$Z108)&gt;SUMIF('Event Trigger'!$C:$C,$Z108,E:E),0,VLOOKUP($Z108,'Asset Master'!$A:$J,6,FALSE))</f>
        <v>0</v>
      </c>
      <c r="AC108" s="52">
        <f>IF(VLOOKUP($Z108,'Asset Master'!$A:$J,6,FALSE)*COUNTIF('Event Trigger'!$C:$C,'Year 1 Results'!$Z108)&gt;SUMIF('Event Trigger'!$C:$C,$Z108,F:F),0,VLOOKUP($Z108,'Asset Master'!$A:$J,6,FALSE))</f>
        <v>0</v>
      </c>
      <c r="AD108" s="52">
        <f>IF(VLOOKUP($Z108,'Asset Master'!$A:$J,6,FALSE)*COUNTIF('Event Trigger'!$C:$C,'Year 1 Results'!$Z108)&gt;SUMIF('Event Trigger'!$C:$C,$Z108,G:G),0,VLOOKUP($Z108,'Asset Master'!$A:$J,6,FALSE))</f>
        <v>0</v>
      </c>
      <c r="AE108" s="52">
        <f>IF(VLOOKUP($Z108,'Asset Master'!$A:$J,6,FALSE)*COUNTIF('Event Trigger'!$C:$C,'Year 1 Results'!$Z108)&gt;SUMIF('Event Trigger'!$C:$C,$Z108,H:H),0,VLOOKUP($Z108,'Asset Master'!$A:$J,6,FALSE))</f>
        <v>0</v>
      </c>
      <c r="AF108" s="52">
        <f>IF(VLOOKUP($Z108,'Asset Master'!$A:$J,6,FALSE)*COUNTIF('Event Trigger'!$C:$C,'Year 1 Results'!$Z108)&gt;SUMIF('Event Trigger'!$C:$C,$Z108,I:I),0,VLOOKUP($Z108,'Asset Master'!$A:$J,6,FALSE))</f>
        <v>0</v>
      </c>
      <c r="AG108" s="52">
        <f>IF(VLOOKUP($Z108,'Asset Master'!$A:$J,6,FALSE)*COUNTIF('Event Trigger'!$C:$C,'Year 1 Results'!$Z108)&gt;SUMIF('Event Trigger'!$C:$C,$Z108,J:J),0,VLOOKUP($Z108,'Asset Master'!$A:$J,6,FALSE))</f>
        <v>0</v>
      </c>
      <c r="AH108" s="52">
        <f>IF(VLOOKUP($Z108,'Asset Master'!$A:$J,6,FALSE)*COUNTIF('Event Trigger'!$C:$C,'Year 1 Results'!$Z108)&gt;SUMIF('Event Trigger'!$C:$C,$Z108,K:K),0,VLOOKUP($Z108,'Asset Master'!$A:$J,6,FALSE))</f>
        <v>0</v>
      </c>
      <c r="AI108" s="52">
        <f>IF(VLOOKUP($Z108,'Asset Master'!$A:$J,6,FALSE)*COUNTIF('Event Trigger'!$C:$C,'Year 1 Results'!$Z108)&gt;SUMIF('Event Trigger'!$C:$C,$Z108,L:L),0,VLOOKUP($Z108,'Asset Master'!$A:$J,6,FALSE))</f>
        <v>0</v>
      </c>
      <c r="AJ108" s="52">
        <f>IF(VLOOKUP($Z108,'Asset Master'!$A:$J,6,FALSE)*COUNTIF('Event Trigger'!$C:$C,'Year 1 Results'!$Z108)&gt;SUMIF('Event Trigger'!$C:$C,$Z108,M:M),0,VLOOKUP($Z108,'Asset Master'!$A:$J,6,FALSE))</f>
        <v>0</v>
      </c>
    </row>
    <row r="109" spans="1:36" ht="25.5" x14ac:dyDescent="0.25">
      <c r="A109" s="37" t="str">
        <f>'Risk Master'!B109:B192&amp;"-"&amp;'Risk Master'!D109</f>
        <v>Hurricane-Typhoon -San Francisco</v>
      </c>
      <c r="B109" s="37" t="str">
        <f>'Input Sheet year 2'!B110</f>
        <v>Hurricane-Typhoon -San Francisco</v>
      </c>
      <c r="C109" s="29" t="str">
        <f>'Risk Master'!F109</f>
        <v>A47</v>
      </c>
      <c r="D109" s="73">
        <f>'Risk Master'!$G109*-1+('Risk Master'!$G109*'Event Trigger'!$D109*(1-'Input Sheet year 1'!H110))</f>
        <v>600000</v>
      </c>
      <c r="E109" s="73">
        <f>'Risk Master'!$G109*-1+('Risk Master'!$G109*'Event Trigger'!$D109*(1-'Input Sheet year 2'!I110))</f>
        <v>600000</v>
      </c>
      <c r="F109" s="73">
        <f>'Risk Master'!$G109*-1+('Risk Master'!$G109*'Event Trigger'!$D109*(1-'Input Sheet year 2'!J110))</f>
        <v>600000</v>
      </c>
      <c r="G109" s="73">
        <f>'Risk Master'!$G109*-1+('Risk Master'!$G109*'Event Trigger'!$D109*(1-'Input Sheet year 2'!K110))</f>
        <v>600000</v>
      </c>
      <c r="H109" s="73">
        <f>'Risk Master'!$G109*-1+('Risk Master'!$G109*'Event Trigger'!$D109*(1-'Input Sheet year 2'!L110))</f>
        <v>600000</v>
      </c>
      <c r="I109" s="73">
        <f>'Risk Master'!$G109*-1+('Risk Master'!$G109*'Event Trigger'!$D109*(1-'Input Sheet year 2'!M110))</f>
        <v>600000</v>
      </c>
      <c r="J109" s="73">
        <f>'Risk Master'!$G109*-1+('Risk Master'!$G109*'Event Trigger'!$D109*(1-'Input Sheet year 2'!N110))</f>
        <v>600000</v>
      </c>
      <c r="K109" s="73">
        <f>'Risk Master'!$G109*-1+('Risk Master'!$G109*'Event Trigger'!$D109*(1-'Input Sheet year 2'!O110))</f>
        <v>600000</v>
      </c>
      <c r="L109" s="73">
        <f>'Risk Master'!$G109*-1+('Risk Master'!$G109*'Event Trigger'!$D109*(1-'Input Sheet year 2'!P110))</f>
        <v>600000</v>
      </c>
      <c r="M109" s="73">
        <f>'Risk Master'!$G109*-1+('Risk Master'!$G109*'Event Trigger'!$D109*(1-'Input Sheet year 2'!Q110))</f>
        <v>600000</v>
      </c>
      <c r="N109" s="88"/>
      <c r="O109" s="88">
        <f t="shared" si="10"/>
        <v>-600000</v>
      </c>
      <c r="P109" s="88">
        <f t="shared" si="11"/>
        <v>-600000</v>
      </c>
      <c r="Q109" s="88">
        <f t="shared" si="12"/>
        <v>-600000</v>
      </c>
      <c r="R109" s="88">
        <f t="shared" si="13"/>
        <v>-600000</v>
      </c>
      <c r="S109" s="88">
        <f t="shared" si="14"/>
        <v>-600000</v>
      </c>
      <c r="T109" s="88">
        <f t="shared" si="15"/>
        <v>-600000</v>
      </c>
      <c r="U109" s="88">
        <f t="shared" si="16"/>
        <v>-600000</v>
      </c>
      <c r="V109" s="88">
        <f t="shared" si="17"/>
        <v>-600000</v>
      </c>
      <c r="W109" s="88">
        <f t="shared" si="18"/>
        <v>-600000</v>
      </c>
      <c r="X109" s="88">
        <f t="shared" si="19"/>
        <v>-600000</v>
      </c>
      <c r="Z109" s="51" t="s">
        <v>272</v>
      </c>
      <c r="AA109" s="52">
        <f>IF(VLOOKUP($Z109,'Asset Master'!$A:$J,6,FALSE)*COUNTIF('Event Trigger'!$C:$C,'Year 1 Results'!$Z109)&gt;SUMIF('Event Trigger'!$C:$C,$Z109,D:D),0,VLOOKUP($Z109,'Asset Master'!$A:$J,6,FALSE))</f>
        <v>0</v>
      </c>
      <c r="AB109" s="52">
        <f>IF(VLOOKUP($Z109,'Asset Master'!$A:$J,6,FALSE)*COUNTIF('Event Trigger'!$C:$C,'Year 1 Results'!$Z109)&gt;SUMIF('Event Trigger'!$C:$C,$Z109,E:E),0,VLOOKUP($Z109,'Asset Master'!$A:$J,6,FALSE))</f>
        <v>0</v>
      </c>
      <c r="AC109" s="52">
        <f>IF(VLOOKUP($Z109,'Asset Master'!$A:$J,6,FALSE)*COUNTIF('Event Trigger'!$C:$C,'Year 1 Results'!$Z109)&gt;SUMIF('Event Trigger'!$C:$C,$Z109,F:F),0,VLOOKUP($Z109,'Asset Master'!$A:$J,6,FALSE))</f>
        <v>0</v>
      </c>
      <c r="AD109" s="52">
        <f>IF(VLOOKUP($Z109,'Asset Master'!$A:$J,6,FALSE)*COUNTIF('Event Trigger'!$C:$C,'Year 1 Results'!$Z109)&gt;SUMIF('Event Trigger'!$C:$C,$Z109,G:G),0,VLOOKUP($Z109,'Asset Master'!$A:$J,6,FALSE))</f>
        <v>0</v>
      </c>
      <c r="AE109" s="52">
        <f>IF(VLOOKUP($Z109,'Asset Master'!$A:$J,6,FALSE)*COUNTIF('Event Trigger'!$C:$C,'Year 1 Results'!$Z109)&gt;SUMIF('Event Trigger'!$C:$C,$Z109,H:H),0,VLOOKUP($Z109,'Asset Master'!$A:$J,6,FALSE))</f>
        <v>0</v>
      </c>
      <c r="AF109" s="52">
        <f>IF(VLOOKUP($Z109,'Asset Master'!$A:$J,6,FALSE)*COUNTIF('Event Trigger'!$C:$C,'Year 1 Results'!$Z109)&gt;SUMIF('Event Trigger'!$C:$C,$Z109,I:I),0,VLOOKUP($Z109,'Asset Master'!$A:$J,6,FALSE))</f>
        <v>0</v>
      </c>
      <c r="AG109" s="52">
        <f>IF(VLOOKUP($Z109,'Asset Master'!$A:$J,6,FALSE)*COUNTIF('Event Trigger'!$C:$C,'Year 1 Results'!$Z109)&gt;SUMIF('Event Trigger'!$C:$C,$Z109,J:J),0,VLOOKUP($Z109,'Asset Master'!$A:$J,6,FALSE))</f>
        <v>0</v>
      </c>
      <c r="AH109" s="52">
        <f>IF(VLOOKUP($Z109,'Asset Master'!$A:$J,6,FALSE)*COUNTIF('Event Trigger'!$C:$C,'Year 1 Results'!$Z109)&gt;SUMIF('Event Trigger'!$C:$C,$Z109,K:K),0,VLOOKUP($Z109,'Asset Master'!$A:$J,6,FALSE))</f>
        <v>0</v>
      </c>
      <c r="AI109" s="52">
        <f>IF(VLOOKUP($Z109,'Asset Master'!$A:$J,6,FALSE)*COUNTIF('Event Trigger'!$C:$C,'Year 1 Results'!$Z109)&gt;SUMIF('Event Trigger'!$C:$C,$Z109,L:L),0,VLOOKUP($Z109,'Asset Master'!$A:$J,6,FALSE))</f>
        <v>0</v>
      </c>
      <c r="AJ109" s="52">
        <f>IF(VLOOKUP($Z109,'Asset Master'!$A:$J,6,FALSE)*COUNTIF('Event Trigger'!$C:$C,'Year 1 Results'!$Z109)&gt;SUMIF('Event Trigger'!$C:$C,$Z109,M:M),0,VLOOKUP($Z109,'Asset Master'!$A:$J,6,FALSE))</f>
        <v>0</v>
      </c>
    </row>
    <row r="110" spans="1:36" x14ac:dyDescent="0.25">
      <c r="A110" s="37" t="str">
        <f>'Risk Master'!B110:B193&amp;"-"&amp;'Risk Master'!D110</f>
        <v>Earthquake-San Francisco</v>
      </c>
      <c r="B110" s="37" t="str">
        <f>'Input Sheet year 2'!B111</f>
        <v>Earthquake-San Francisco</v>
      </c>
      <c r="C110" s="29" t="str">
        <f>'Risk Master'!F110</f>
        <v>A47</v>
      </c>
      <c r="D110" s="73">
        <f>'Risk Master'!$G110*-1+('Risk Master'!$G110*'Event Trigger'!$D110*(1-'Input Sheet year 1'!H111))</f>
        <v>600000</v>
      </c>
      <c r="E110" s="73">
        <f>'Risk Master'!$G110*-1+('Risk Master'!$G110*'Event Trigger'!$D110*(1-'Input Sheet year 2'!I111))</f>
        <v>600000</v>
      </c>
      <c r="F110" s="73">
        <f>'Risk Master'!$G110*-1+('Risk Master'!$G110*'Event Trigger'!$D110*(1-'Input Sheet year 2'!J111))</f>
        <v>600000</v>
      </c>
      <c r="G110" s="73">
        <f>'Risk Master'!$G110*-1+('Risk Master'!$G110*'Event Trigger'!$D110*(1-'Input Sheet year 2'!K111))</f>
        <v>600000</v>
      </c>
      <c r="H110" s="73">
        <f>'Risk Master'!$G110*-1+('Risk Master'!$G110*'Event Trigger'!$D110*(1-'Input Sheet year 2'!L111))</f>
        <v>600000</v>
      </c>
      <c r="I110" s="73">
        <f>'Risk Master'!$G110*-1+('Risk Master'!$G110*'Event Trigger'!$D110*(1-'Input Sheet year 2'!M111))</f>
        <v>600000</v>
      </c>
      <c r="J110" s="73">
        <f>'Risk Master'!$G110*-1+('Risk Master'!$G110*'Event Trigger'!$D110*(1-'Input Sheet year 2'!N111))</f>
        <v>600000</v>
      </c>
      <c r="K110" s="73">
        <f>'Risk Master'!$G110*-1+('Risk Master'!$G110*'Event Trigger'!$D110*(1-'Input Sheet year 2'!O111))</f>
        <v>600000</v>
      </c>
      <c r="L110" s="73">
        <f>'Risk Master'!$G110*-1+('Risk Master'!$G110*'Event Trigger'!$D110*(1-'Input Sheet year 2'!P111))</f>
        <v>600000</v>
      </c>
      <c r="M110" s="73">
        <f>'Risk Master'!$G110*-1+('Risk Master'!$G110*'Event Trigger'!$D110*(1-'Input Sheet year 2'!Q111))</f>
        <v>600000</v>
      </c>
      <c r="N110" s="88"/>
      <c r="O110" s="88">
        <f t="shared" si="10"/>
        <v>-600000</v>
      </c>
      <c r="P110" s="88">
        <f t="shared" si="11"/>
        <v>-600000</v>
      </c>
      <c r="Q110" s="88">
        <f t="shared" si="12"/>
        <v>-600000</v>
      </c>
      <c r="R110" s="88">
        <f t="shared" si="13"/>
        <v>-600000</v>
      </c>
      <c r="S110" s="88">
        <f t="shared" si="14"/>
        <v>-600000</v>
      </c>
      <c r="T110" s="88">
        <f t="shared" si="15"/>
        <v>-600000</v>
      </c>
      <c r="U110" s="88">
        <f t="shared" si="16"/>
        <v>-600000</v>
      </c>
      <c r="V110" s="88">
        <f t="shared" si="17"/>
        <v>-600000</v>
      </c>
      <c r="W110" s="88">
        <f t="shared" si="18"/>
        <v>-600000</v>
      </c>
      <c r="X110" s="88">
        <f t="shared" si="19"/>
        <v>-600000</v>
      </c>
      <c r="Z110" s="51" t="s">
        <v>273</v>
      </c>
      <c r="AA110" s="52">
        <f>IF(VLOOKUP($Z110,'Asset Master'!$A:$J,6,FALSE)*COUNTIF('Event Trigger'!$C:$C,'Year 1 Results'!$Z110)&gt;SUMIF('Event Trigger'!$C:$C,$Z110,D:D),0,VLOOKUP($Z110,'Asset Master'!$A:$J,6,FALSE))</f>
        <v>0</v>
      </c>
      <c r="AB110" s="52">
        <f>IF(VLOOKUP($Z110,'Asset Master'!$A:$J,6,FALSE)*COUNTIF('Event Trigger'!$C:$C,'Year 1 Results'!$Z110)&gt;SUMIF('Event Trigger'!$C:$C,$Z110,E:E),0,VLOOKUP($Z110,'Asset Master'!$A:$J,6,FALSE))</f>
        <v>0</v>
      </c>
      <c r="AC110" s="52">
        <f>IF(VLOOKUP($Z110,'Asset Master'!$A:$J,6,FALSE)*COUNTIF('Event Trigger'!$C:$C,'Year 1 Results'!$Z110)&gt;SUMIF('Event Trigger'!$C:$C,$Z110,F:F),0,VLOOKUP($Z110,'Asset Master'!$A:$J,6,FALSE))</f>
        <v>0</v>
      </c>
      <c r="AD110" s="52">
        <f>IF(VLOOKUP($Z110,'Asset Master'!$A:$J,6,FALSE)*COUNTIF('Event Trigger'!$C:$C,'Year 1 Results'!$Z110)&gt;SUMIF('Event Trigger'!$C:$C,$Z110,G:G),0,VLOOKUP($Z110,'Asset Master'!$A:$J,6,FALSE))</f>
        <v>0</v>
      </c>
      <c r="AE110" s="52">
        <f>IF(VLOOKUP($Z110,'Asset Master'!$A:$J,6,FALSE)*COUNTIF('Event Trigger'!$C:$C,'Year 1 Results'!$Z110)&gt;SUMIF('Event Trigger'!$C:$C,$Z110,H:H),0,VLOOKUP($Z110,'Asset Master'!$A:$J,6,FALSE))</f>
        <v>0</v>
      </c>
      <c r="AF110" s="52">
        <f>IF(VLOOKUP($Z110,'Asset Master'!$A:$J,6,FALSE)*COUNTIF('Event Trigger'!$C:$C,'Year 1 Results'!$Z110)&gt;SUMIF('Event Trigger'!$C:$C,$Z110,I:I),0,VLOOKUP($Z110,'Asset Master'!$A:$J,6,FALSE))</f>
        <v>0</v>
      </c>
      <c r="AG110" s="52">
        <f>IF(VLOOKUP($Z110,'Asset Master'!$A:$J,6,FALSE)*COUNTIF('Event Trigger'!$C:$C,'Year 1 Results'!$Z110)&gt;SUMIF('Event Trigger'!$C:$C,$Z110,J:J),0,VLOOKUP($Z110,'Asset Master'!$A:$J,6,FALSE))</f>
        <v>0</v>
      </c>
      <c r="AH110" s="52">
        <f>IF(VLOOKUP($Z110,'Asset Master'!$A:$J,6,FALSE)*COUNTIF('Event Trigger'!$C:$C,'Year 1 Results'!$Z110)&gt;SUMIF('Event Trigger'!$C:$C,$Z110,K:K),0,VLOOKUP($Z110,'Asset Master'!$A:$J,6,FALSE))</f>
        <v>0</v>
      </c>
      <c r="AI110" s="52">
        <f>IF(VLOOKUP($Z110,'Asset Master'!$A:$J,6,FALSE)*COUNTIF('Event Trigger'!$C:$C,'Year 1 Results'!$Z110)&gt;SUMIF('Event Trigger'!$C:$C,$Z110,L:L),0,VLOOKUP($Z110,'Asset Master'!$A:$J,6,FALSE))</f>
        <v>0</v>
      </c>
      <c r="AJ110" s="52">
        <f>IF(VLOOKUP($Z110,'Asset Master'!$A:$J,6,FALSE)*COUNTIF('Event Trigger'!$C:$C,'Year 1 Results'!$Z110)&gt;SUMIF('Event Trigger'!$C:$C,$Z110,M:M),0,VLOOKUP($Z110,'Asset Master'!$A:$J,6,FALSE))</f>
        <v>0</v>
      </c>
    </row>
    <row r="111" spans="1:36" ht="25.5" x14ac:dyDescent="0.25">
      <c r="A111" s="37" t="str">
        <f>'Risk Master'!B111:B194&amp;"-"&amp;'Risk Master'!D111</f>
        <v>Thunderstorms, Tornados &amp; Hail-San Francisco</v>
      </c>
      <c r="B111" s="37" t="str">
        <f>'Input Sheet year 2'!B112</f>
        <v>Thunderstorms, Tornados &amp; Hail-San Francisco</v>
      </c>
      <c r="C111" s="29" t="str">
        <f>'Risk Master'!F111</f>
        <v>A49</v>
      </c>
      <c r="D111" s="73">
        <f>'Risk Master'!$G111*-1+('Risk Master'!$G111*'Event Trigger'!$D111*(1-'Input Sheet year 1'!H112))</f>
        <v>800000</v>
      </c>
      <c r="E111" s="73">
        <f>'Risk Master'!$G111*-1+('Risk Master'!$G111*'Event Trigger'!$D111*(1-'Input Sheet year 2'!I112))</f>
        <v>800000</v>
      </c>
      <c r="F111" s="73">
        <f>'Risk Master'!$G111*-1+('Risk Master'!$G111*'Event Trigger'!$D111*(1-'Input Sheet year 2'!J112))</f>
        <v>800000</v>
      </c>
      <c r="G111" s="73">
        <f>'Risk Master'!$G111*-1+('Risk Master'!$G111*'Event Trigger'!$D111*(1-'Input Sheet year 2'!K112))</f>
        <v>800000</v>
      </c>
      <c r="H111" s="73">
        <f>'Risk Master'!$G111*-1+('Risk Master'!$G111*'Event Trigger'!$D111*(1-'Input Sheet year 2'!L112))</f>
        <v>800000</v>
      </c>
      <c r="I111" s="73">
        <f>'Risk Master'!$G111*-1+('Risk Master'!$G111*'Event Trigger'!$D111*(1-'Input Sheet year 2'!M112))</f>
        <v>800000</v>
      </c>
      <c r="J111" s="73">
        <f>'Risk Master'!$G111*-1+('Risk Master'!$G111*'Event Trigger'!$D111*(1-'Input Sheet year 2'!N112))</f>
        <v>800000</v>
      </c>
      <c r="K111" s="73">
        <f>'Risk Master'!$G111*-1+('Risk Master'!$G111*'Event Trigger'!$D111*(1-'Input Sheet year 2'!O112))</f>
        <v>800000</v>
      </c>
      <c r="L111" s="73">
        <f>'Risk Master'!$G111*-1+('Risk Master'!$G111*'Event Trigger'!$D111*(1-'Input Sheet year 2'!P112))</f>
        <v>800000</v>
      </c>
      <c r="M111" s="73">
        <f>'Risk Master'!$G111*-1+('Risk Master'!$G111*'Event Trigger'!$D111*(1-'Input Sheet year 2'!Q112))</f>
        <v>800000</v>
      </c>
      <c r="N111" s="88"/>
      <c r="O111" s="88">
        <f t="shared" si="10"/>
        <v>-800000</v>
      </c>
      <c r="P111" s="88">
        <f t="shared" si="11"/>
        <v>-800000</v>
      </c>
      <c r="Q111" s="88">
        <f t="shared" si="12"/>
        <v>-800000</v>
      </c>
      <c r="R111" s="88">
        <f t="shared" si="13"/>
        <v>-800000</v>
      </c>
      <c r="S111" s="88">
        <f t="shared" si="14"/>
        <v>-800000</v>
      </c>
      <c r="T111" s="88">
        <f t="shared" si="15"/>
        <v>-800000</v>
      </c>
      <c r="U111" s="88">
        <f t="shared" si="16"/>
        <v>-800000</v>
      </c>
      <c r="V111" s="88">
        <f t="shared" si="17"/>
        <v>-800000</v>
      </c>
      <c r="W111" s="88">
        <f t="shared" si="18"/>
        <v>-800000</v>
      </c>
      <c r="X111" s="88">
        <f t="shared" si="19"/>
        <v>-800000</v>
      </c>
      <c r="Z111" s="51" t="s">
        <v>274</v>
      </c>
      <c r="AA111" s="52">
        <f>IF(VLOOKUP($Z111,'Asset Master'!$A:$J,6,FALSE)*COUNTIF('Event Trigger'!$C:$C,'Year 1 Results'!$Z111)&gt;SUMIF('Event Trigger'!$C:$C,$Z111,D:D),0,VLOOKUP($Z111,'Asset Master'!$A:$J,6,FALSE))</f>
        <v>0</v>
      </c>
      <c r="AB111" s="52">
        <f>IF(VLOOKUP($Z111,'Asset Master'!$A:$J,6,FALSE)*COUNTIF('Event Trigger'!$C:$C,'Year 1 Results'!$Z111)&gt;SUMIF('Event Trigger'!$C:$C,$Z111,E:E),0,VLOOKUP($Z111,'Asset Master'!$A:$J,6,FALSE))</f>
        <v>0</v>
      </c>
      <c r="AC111" s="52">
        <f>IF(VLOOKUP($Z111,'Asset Master'!$A:$J,6,FALSE)*COUNTIF('Event Trigger'!$C:$C,'Year 1 Results'!$Z111)&gt;SUMIF('Event Trigger'!$C:$C,$Z111,F:F),0,VLOOKUP($Z111,'Asset Master'!$A:$J,6,FALSE))</f>
        <v>0</v>
      </c>
      <c r="AD111" s="52">
        <f>IF(VLOOKUP($Z111,'Asset Master'!$A:$J,6,FALSE)*COUNTIF('Event Trigger'!$C:$C,'Year 1 Results'!$Z111)&gt;SUMIF('Event Trigger'!$C:$C,$Z111,G:G),0,VLOOKUP($Z111,'Asset Master'!$A:$J,6,FALSE))</f>
        <v>0</v>
      </c>
      <c r="AE111" s="52">
        <f>IF(VLOOKUP($Z111,'Asset Master'!$A:$J,6,FALSE)*COUNTIF('Event Trigger'!$C:$C,'Year 1 Results'!$Z111)&gt;SUMIF('Event Trigger'!$C:$C,$Z111,H:H),0,VLOOKUP($Z111,'Asset Master'!$A:$J,6,FALSE))</f>
        <v>0</v>
      </c>
      <c r="AF111" s="52">
        <f>IF(VLOOKUP($Z111,'Asset Master'!$A:$J,6,FALSE)*COUNTIF('Event Trigger'!$C:$C,'Year 1 Results'!$Z111)&gt;SUMIF('Event Trigger'!$C:$C,$Z111,I:I),0,VLOOKUP($Z111,'Asset Master'!$A:$J,6,FALSE))</f>
        <v>0</v>
      </c>
      <c r="AG111" s="52">
        <f>IF(VLOOKUP($Z111,'Asset Master'!$A:$J,6,FALSE)*COUNTIF('Event Trigger'!$C:$C,'Year 1 Results'!$Z111)&gt;SUMIF('Event Trigger'!$C:$C,$Z111,J:J),0,VLOOKUP($Z111,'Asset Master'!$A:$J,6,FALSE))</f>
        <v>0</v>
      </c>
      <c r="AH111" s="52">
        <f>IF(VLOOKUP($Z111,'Asset Master'!$A:$J,6,FALSE)*COUNTIF('Event Trigger'!$C:$C,'Year 1 Results'!$Z111)&gt;SUMIF('Event Trigger'!$C:$C,$Z111,K:K),0,VLOOKUP($Z111,'Asset Master'!$A:$J,6,FALSE))</f>
        <v>0</v>
      </c>
      <c r="AI111" s="52">
        <f>IF(VLOOKUP($Z111,'Asset Master'!$A:$J,6,FALSE)*COUNTIF('Event Trigger'!$C:$C,'Year 1 Results'!$Z111)&gt;SUMIF('Event Trigger'!$C:$C,$Z111,L:L),0,VLOOKUP($Z111,'Asset Master'!$A:$J,6,FALSE))</f>
        <v>0</v>
      </c>
      <c r="AJ111" s="52">
        <f>IF(VLOOKUP($Z111,'Asset Master'!$A:$J,6,FALSE)*COUNTIF('Event Trigger'!$C:$C,'Year 1 Results'!$Z111)&gt;SUMIF('Event Trigger'!$C:$C,$Z111,M:M),0,VLOOKUP($Z111,'Asset Master'!$A:$J,6,FALSE))</f>
        <v>0</v>
      </c>
    </row>
    <row r="112" spans="1:36" ht="25.5" x14ac:dyDescent="0.25">
      <c r="A112" s="37" t="str">
        <f>'Risk Master'!B112:B195&amp;"-"&amp;'Risk Master'!D112</f>
        <v>Hurricane-Typhoon -San Francisco</v>
      </c>
      <c r="B112" s="37" t="str">
        <f>'Input Sheet year 2'!B113</f>
        <v>Hurricane-Typhoon -San Francisco</v>
      </c>
      <c r="C112" s="29" t="str">
        <f>'Risk Master'!F112</f>
        <v>A49</v>
      </c>
      <c r="D112" s="73">
        <f>'Risk Master'!$G112*-1+('Risk Master'!$G112*'Event Trigger'!$D112*(1-'Input Sheet year 1'!H113))</f>
        <v>800000</v>
      </c>
      <c r="E112" s="73">
        <f>'Risk Master'!$G112*-1+('Risk Master'!$G112*'Event Trigger'!$D112*(1-'Input Sheet year 2'!I113))</f>
        <v>800000</v>
      </c>
      <c r="F112" s="73">
        <f>'Risk Master'!$G112*-1+('Risk Master'!$G112*'Event Trigger'!$D112*(1-'Input Sheet year 2'!J113))</f>
        <v>800000</v>
      </c>
      <c r="G112" s="73">
        <f>'Risk Master'!$G112*-1+('Risk Master'!$G112*'Event Trigger'!$D112*(1-'Input Sheet year 2'!K113))</f>
        <v>800000</v>
      </c>
      <c r="H112" s="73">
        <f>'Risk Master'!$G112*-1+('Risk Master'!$G112*'Event Trigger'!$D112*(1-'Input Sheet year 2'!L113))</f>
        <v>800000</v>
      </c>
      <c r="I112" s="73">
        <f>'Risk Master'!$G112*-1+('Risk Master'!$G112*'Event Trigger'!$D112*(1-'Input Sheet year 2'!M113))</f>
        <v>800000</v>
      </c>
      <c r="J112" s="73">
        <f>'Risk Master'!$G112*-1+('Risk Master'!$G112*'Event Trigger'!$D112*(1-'Input Sheet year 2'!N113))</f>
        <v>800000</v>
      </c>
      <c r="K112" s="73">
        <f>'Risk Master'!$G112*-1+('Risk Master'!$G112*'Event Trigger'!$D112*(1-'Input Sheet year 2'!O113))</f>
        <v>800000</v>
      </c>
      <c r="L112" s="73">
        <f>'Risk Master'!$G112*-1+('Risk Master'!$G112*'Event Trigger'!$D112*(1-'Input Sheet year 2'!P113))</f>
        <v>800000</v>
      </c>
      <c r="M112" s="73">
        <f>'Risk Master'!$G112*-1+('Risk Master'!$G112*'Event Trigger'!$D112*(1-'Input Sheet year 2'!Q113))</f>
        <v>800000</v>
      </c>
      <c r="N112" s="88"/>
      <c r="O112" s="88">
        <f t="shared" si="10"/>
        <v>-800000</v>
      </c>
      <c r="P112" s="88">
        <f t="shared" si="11"/>
        <v>-800000</v>
      </c>
      <c r="Q112" s="88">
        <f t="shared" si="12"/>
        <v>-800000</v>
      </c>
      <c r="R112" s="88">
        <f t="shared" si="13"/>
        <v>-800000</v>
      </c>
      <c r="S112" s="88">
        <f t="shared" si="14"/>
        <v>-800000</v>
      </c>
      <c r="T112" s="88">
        <f t="shared" si="15"/>
        <v>-800000</v>
      </c>
      <c r="U112" s="88">
        <f t="shared" si="16"/>
        <v>-800000</v>
      </c>
      <c r="V112" s="88">
        <f t="shared" si="17"/>
        <v>-800000</v>
      </c>
      <c r="W112" s="88">
        <f t="shared" si="18"/>
        <v>-800000</v>
      </c>
      <c r="X112" s="88">
        <f t="shared" si="19"/>
        <v>-800000</v>
      </c>
      <c r="Z112" s="51" t="s">
        <v>275</v>
      </c>
      <c r="AA112" s="52">
        <f>IF(VLOOKUP($Z112,'Asset Master'!$A:$J,6,FALSE)*COUNTIF('Event Trigger'!$C:$C,'Year 1 Results'!$Z112)&gt;SUMIF('Event Trigger'!$C:$C,$Z112,D:D),0,VLOOKUP($Z112,'Asset Master'!$A:$J,6,FALSE))</f>
        <v>0</v>
      </c>
      <c r="AB112" s="52">
        <f>IF(VLOOKUP($Z112,'Asset Master'!$A:$J,6,FALSE)*COUNTIF('Event Trigger'!$C:$C,'Year 1 Results'!$Z112)&gt;SUMIF('Event Trigger'!$C:$C,$Z112,E:E),0,VLOOKUP($Z112,'Asset Master'!$A:$J,6,FALSE))</f>
        <v>0</v>
      </c>
      <c r="AC112" s="52">
        <f>IF(VLOOKUP($Z112,'Asset Master'!$A:$J,6,FALSE)*COUNTIF('Event Trigger'!$C:$C,'Year 1 Results'!$Z112)&gt;SUMIF('Event Trigger'!$C:$C,$Z112,F:F),0,VLOOKUP($Z112,'Asset Master'!$A:$J,6,FALSE))</f>
        <v>0</v>
      </c>
      <c r="AD112" s="52">
        <f>IF(VLOOKUP($Z112,'Asset Master'!$A:$J,6,FALSE)*COUNTIF('Event Trigger'!$C:$C,'Year 1 Results'!$Z112)&gt;SUMIF('Event Trigger'!$C:$C,$Z112,G:G),0,VLOOKUP($Z112,'Asset Master'!$A:$J,6,FALSE))</f>
        <v>0</v>
      </c>
      <c r="AE112" s="52">
        <f>IF(VLOOKUP($Z112,'Asset Master'!$A:$J,6,FALSE)*COUNTIF('Event Trigger'!$C:$C,'Year 1 Results'!$Z112)&gt;SUMIF('Event Trigger'!$C:$C,$Z112,H:H),0,VLOOKUP($Z112,'Asset Master'!$A:$J,6,FALSE))</f>
        <v>0</v>
      </c>
      <c r="AF112" s="52">
        <f>IF(VLOOKUP($Z112,'Asset Master'!$A:$J,6,FALSE)*COUNTIF('Event Trigger'!$C:$C,'Year 1 Results'!$Z112)&gt;SUMIF('Event Trigger'!$C:$C,$Z112,I:I),0,VLOOKUP($Z112,'Asset Master'!$A:$J,6,FALSE))</f>
        <v>0</v>
      </c>
      <c r="AG112" s="52">
        <f>IF(VLOOKUP($Z112,'Asset Master'!$A:$J,6,FALSE)*COUNTIF('Event Trigger'!$C:$C,'Year 1 Results'!$Z112)&gt;SUMIF('Event Trigger'!$C:$C,$Z112,J:J),0,VLOOKUP($Z112,'Asset Master'!$A:$J,6,FALSE))</f>
        <v>0</v>
      </c>
      <c r="AH112" s="52">
        <f>IF(VLOOKUP($Z112,'Asset Master'!$A:$J,6,FALSE)*COUNTIF('Event Trigger'!$C:$C,'Year 1 Results'!$Z112)&gt;SUMIF('Event Trigger'!$C:$C,$Z112,K:K),0,VLOOKUP($Z112,'Asset Master'!$A:$J,6,FALSE))</f>
        <v>0</v>
      </c>
      <c r="AI112" s="52">
        <f>IF(VLOOKUP($Z112,'Asset Master'!$A:$J,6,FALSE)*COUNTIF('Event Trigger'!$C:$C,'Year 1 Results'!$Z112)&gt;SUMIF('Event Trigger'!$C:$C,$Z112,L:L),0,VLOOKUP($Z112,'Asset Master'!$A:$J,6,FALSE))</f>
        <v>0</v>
      </c>
      <c r="AJ112" s="52">
        <f>IF(VLOOKUP($Z112,'Asset Master'!$A:$J,6,FALSE)*COUNTIF('Event Trigger'!$C:$C,'Year 1 Results'!$Z112)&gt;SUMIF('Event Trigger'!$C:$C,$Z112,M:M),0,VLOOKUP($Z112,'Asset Master'!$A:$J,6,FALSE))</f>
        <v>0</v>
      </c>
    </row>
    <row r="113" spans="1:36" x14ac:dyDescent="0.25">
      <c r="A113" s="37" t="str">
        <f>'Risk Master'!B113:B196&amp;"-"&amp;'Risk Master'!D113</f>
        <v>Earthquake-San Francisco</v>
      </c>
      <c r="B113" s="37" t="str">
        <f>'Input Sheet year 2'!B114</f>
        <v>Earthquake-San Francisco</v>
      </c>
      <c r="C113" s="29" t="str">
        <f>'Risk Master'!F113</f>
        <v>A49</v>
      </c>
      <c r="D113" s="73">
        <f>'Risk Master'!$G113*-1+('Risk Master'!$G113*'Event Trigger'!$D113*(1-'Input Sheet year 1'!H114))</f>
        <v>800000</v>
      </c>
      <c r="E113" s="73">
        <f>'Risk Master'!$G113*-1+('Risk Master'!$G113*'Event Trigger'!$D113*(1-'Input Sheet year 2'!I114))</f>
        <v>800000</v>
      </c>
      <c r="F113" s="73">
        <f>'Risk Master'!$G113*-1+('Risk Master'!$G113*'Event Trigger'!$D113*(1-'Input Sheet year 2'!J114))</f>
        <v>800000</v>
      </c>
      <c r="G113" s="73">
        <f>'Risk Master'!$G113*-1+('Risk Master'!$G113*'Event Trigger'!$D113*(1-'Input Sheet year 2'!K114))</f>
        <v>800000</v>
      </c>
      <c r="H113" s="73">
        <f>'Risk Master'!$G113*-1+('Risk Master'!$G113*'Event Trigger'!$D113*(1-'Input Sheet year 2'!L114))</f>
        <v>800000</v>
      </c>
      <c r="I113" s="73">
        <f>'Risk Master'!$G113*-1+('Risk Master'!$G113*'Event Trigger'!$D113*(1-'Input Sheet year 2'!M114))</f>
        <v>800000</v>
      </c>
      <c r="J113" s="73">
        <f>'Risk Master'!$G113*-1+('Risk Master'!$G113*'Event Trigger'!$D113*(1-'Input Sheet year 2'!N114))</f>
        <v>800000</v>
      </c>
      <c r="K113" s="73">
        <f>'Risk Master'!$G113*-1+('Risk Master'!$G113*'Event Trigger'!$D113*(1-'Input Sheet year 2'!O114))</f>
        <v>800000</v>
      </c>
      <c r="L113" s="73">
        <f>'Risk Master'!$G113*-1+('Risk Master'!$G113*'Event Trigger'!$D113*(1-'Input Sheet year 2'!P114))</f>
        <v>800000</v>
      </c>
      <c r="M113" s="73">
        <f>'Risk Master'!$G113*-1+('Risk Master'!$G113*'Event Trigger'!$D113*(1-'Input Sheet year 2'!Q114))</f>
        <v>800000</v>
      </c>
      <c r="N113" s="88"/>
      <c r="O113" s="88">
        <f t="shared" si="10"/>
        <v>-800000</v>
      </c>
      <c r="P113" s="88">
        <f t="shared" si="11"/>
        <v>-800000</v>
      </c>
      <c r="Q113" s="88">
        <f t="shared" si="12"/>
        <v>-800000</v>
      </c>
      <c r="R113" s="88">
        <f t="shared" si="13"/>
        <v>-800000</v>
      </c>
      <c r="S113" s="88">
        <f t="shared" si="14"/>
        <v>-800000</v>
      </c>
      <c r="T113" s="88">
        <f t="shared" si="15"/>
        <v>-800000</v>
      </c>
      <c r="U113" s="88">
        <f t="shared" si="16"/>
        <v>-800000</v>
      </c>
      <c r="V113" s="88">
        <f t="shared" si="17"/>
        <v>-800000</v>
      </c>
      <c r="W113" s="88">
        <f t="shared" si="18"/>
        <v>-800000</v>
      </c>
      <c r="X113" s="88">
        <f t="shared" si="19"/>
        <v>-800000</v>
      </c>
      <c r="Z113" s="51" t="s">
        <v>276</v>
      </c>
      <c r="AA113" s="52">
        <f>IF(VLOOKUP($Z113,'Asset Master'!$A:$J,6,FALSE)*COUNTIF('Event Trigger'!$C:$C,'Year 1 Results'!$Z113)&gt;SUMIF('Event Trigger'!$C:$C,$Z113,D:D),0,VLOOKUP($Z113,'Asset Master'!$A:$J,6,FALSE))</f>
        <v>0</v>
      </c>
      <c r="AB113" s="52">
        <f>IF(VLOOKUP($Z113,'Asset Master'!$A:$J,6,FALSE)*COUNTIF('Event Trigger'!$C:$C,'Year 1 Results'!$Z113)&gt;SUMIF('Event Trigger'!$C:$C,$Z113,E:E),0,VLOOKUP($Z113,'Asset Master'!$A:$J,6,FALSE))</f>
        <v>0</v>
      </c>
      <c r="AC113" s="52">
        <f>IF(VLOOKUP($Z113,'Asset Master'!$A:$J,6,FALSE)*COUNTIF('Event Trigger'!$C:$C,'Year 1 Results'!$Z113)&gt;SUMIF('Event Trigger'!$C:$C,$Z113,F:F),0,VLOOKUP($Z113,'Asset Master'!$A:$J,6,FALSE))</f>
        <v>0</v>
      </c>
      <c r="AD113" s="52">
        <f>IF(VLOOKUP($Z113,'Asset Master'!$A:$J,6,FALSE)*COUNTIF('Event Trigger'!$C:$C,'Year 1 Results'!$Z113)&gt;SUMIF('Event Trigger'!$C:$C,$Z113,G:G),0,VLOOKUP($Z113,'Asset Master'!$A:$J,6,FALSE))</f>
        <v>0</v>
      </c>
      <c r="AE113" s="52">
        <f>IF(VLOOKUP($Z113,'Asset Master'!$A:$J,6,FALSE)*COUNTIF('Event Trigger'!$C:$C,'Year 1 Results'!$Z113)&gt;SUMIF('Event Trigger'!$C:$C,$Z113,H:H),0,VLOOKUP($Z113,'Asset Master'!$A:$J,6,FALSE))</f>
        <v>0</v>
      </c>
      <c r="AF113" s="52">
        <f>IF(VLOOKUP($Z113,'Asset Master'!$A:$J,6,FALSE)*COUNTIF('Event Trigger'!$C:$C,'Year 1 Results'!$Z113)&gt;SUMIF('Event Trigger'!$C:$C,$Z113,I:I),0,VLOOKUP($Z113,'Asset Master'!$A:$J,6,FALSE))</f>
        <v>0</v>
      </c>
      <c r="AG113" s="52">
        <f>IF(VLOOKUP($Z113,'Asset Master'!$A:$J,6,FALSE)*COUNTIF('Event Trigger'!$C:$C,'Year 1 Results'!$Z113)&gt;SUMIF('Event Trigger'!$C:$C,$Z113,J:J),0,VLOOKUP($Z113,'Asset Master'!$A:$J,6,FALSE))</f>
        <v>0</v>
      </c>
      <c r="AH113" s="52">
        <f>IF(VLOOKUP($Z113,'Asset Master'!$A:$J,6,FALSE)*COUNTIF('Event Trigger'!$C:$C,'Year 1 Results'!$Z113)&gt;SUMIF('Event Trigger'!$C:$C,$Z113,K:K),0,VLOOKUP($Z113,'Asset Master'!$A:$J,6,FALSE))</f>
        <v>0</v>
      </c>
      <c r="AI113" s="52">
        <f>IF(VLOOKUP($Z113,'Asset Master'!$A:$J,6,FALSE)*COUNTIF('Event Trigger'!$C:$C,'Year 1 Results'!$Z113)&gt;SUMIF('Event Trigger'!$C:$C,$Z113,L:L),0,VLOOKUP($Z113,'Asset Master'!$A:$J,6,FALSE))</f>
        <v>0</v>
      </c>
      <c r="AJ113" s="52">
        <f>IF(VLOOKUP($Z113,'Asset Master'!$A:$J,6,FALSE)*COUNTIF('Event Trigger'!$C:$C,'Year 1 Results'!$Z113)&gt;SUMIF('Event Trigger'!$C:$C,$Z113,M:M),0,VLOOKUP($Z113,'Asset Master'!$A:$J,6,FALSE))</f>
        <v>0</v>
      </c>
    </row>
    <row r="114" spans="1:36" ht="25.5" x14ac:dyDescent="0.25">
      <c r="A114" s="37" t="str">
        <f>'Risk Master'!B114:B197&amp;"-"&amp;'Risk Master'!D114</f>
        <v>Thunderstorms, Tornados &amp; Hail-San Francisco</v>
      </c>
      <c r="B114" s="37" t="str">
        <f>'Input Sheet year 2'!B115</f>
        <v>Thunderstorms, Tornados &amp; Hail-San Francisco</v>
      </c>
      <c r="C114" s="29" t="str">
        <f>'Risk Master'!F114</f>
        <v>A53</v>
      </c>
      <c r="D114" s="73">
        <f>'Risk Master'!$G114*-1+('Risk Master'!$G114*'Event Trigger'!$D114*(1-'Input Sheet year 1'!H115))</f>
        <v>500000</v>
      </c>
      <c r="E114" s="73">
        <f>'Risk Master'!$G114*-1+('Risk Master'!$G114*'Event Trigger'!$D114*(1-'Input Sheet year 2'!I115))</f>
        <v>500000</v>
      </c>
      <c r="F114" s="73">
        <f>'Risk Master'!$G114*-1+('Risk Master'!$G114*'Event Trigger'!$D114*(1-'Input Sheet year 2'!J115))</f>
        <v>500000</v>
      </c>
      <c r="G114" s="73">
        <f>'Risk Master'!$G114*-1+('Risk Master'!$G114*'Event Trigger'!$D114*(1-'Input Sheet year 2'!K115))</f>
        <v>500000</v>
      </c>
      <c r="H114" s="73">
        <f>'Risk Master'!$G114*-1+('Risk Master'!$G114*'Event Trigger'!$D114*(1-'Input Sheet year 2'!L115))</f>
        <v>500000</v>
      </c>
      <c r="I114" s="73">
        <f>'Risk Master'!$G114*-1+('Risk Master'!$G114*'Event Trigger'!$D114*(1-'Input Sheet year 2'!M115))</f>
        <v>500000</v>
      </c>
      <c r="J114" s="73">
        <f>'Risk Master'!$G114*-1+('Risk Master'!$G114*'Event Trigger'!$D114*(1-'Input Sheet year 2'!N115))</f>
        <v>500000</v>
      </c>
      <c r="K114" s="73">
        <f>'Risk Master'!$G114*-1+('Risk Master'!$G114*'Event Trigger'!$D114*(1-'Input Sheet year 2'!O115))</f>
        <v>500000</v>
      </c>
      <c r="L114" s="73">
        <f>'Risk Master'!$G114*-1+('Risk Master'!$G114*'Event Trigger'!$D114*(1-'Input Sheet year 2'!P115))</f>
        <v>500000</v>
      </c>
      <c r="M114" s="73">
        <f>'Risk Master'!$G114*-1+('Risk Master'!$G114*'Event Trigger'!$D114*(1-'Input Sheet year 2'!Q115))</f>
        <v>500000</v>
      </c>
      <c r="N114" s="88"/>
      <c r="O114" s="88">
        <f t="shared" si="10"/>
        <v>-500000</v>
      </c>
      <c r="P114" s="88">
        <f t="shared" si="11"/>
        <v>-500000</v>
      </c>
      <c r="Q114" s="88">
        <f t="shared" si="12"/>
        <v>-500000</v>
      </c>
      <c r="R114" s="88">
        <f t="shared" si="13"/>
        <v>-500000</v>
      </c>
      <c r="S114" s="88">
        <f t="shared" si="14"/>
        <v>-500000</v>
      </c>
      <c r="T114" s="88">
        <f t="shared" si="15"/>
        <v>-500000</v>
      </c>
      <c r="U114" s="88">
        <f t="shared" si="16"/>
        <v>-500000</v>
      </c>
      <c r="V114" s="88">
        <f t="shared" si="17"/>
        <v>-500000</v>
      </c>
      <c r="W114" s="88">
        <f t="shared" si="18"/>
        <v>-500000</v>
      </c>
      <c r="X114" s="88">
        <f t="shared" si="19"/>
        <v>-500000</v>
      </c>
      <c r="Z114" s="51" t="s">
        <v>277</v>
      </c>
      <c r="AA114" s="52">
        <f>IF(VLOOKUP($Z114,'Asset Master'!$A:$J,6,FALSE)*COUNTIF('Event Trigger'!$C:$C,'Year 1 Results'!$Z114)&gt;SUMIF('Event Trigger'!$C:$C,$Z114,D:D),0,VLOOKUP($Z114,'Asset Master'!$A:$J,6,FALSE))</f>
        <v>0</v>
      </c>
      <c r="AB114" s="52">
        <f>IF(VLOOKUP($Z114,'Asset Master'!$A:$J,6,FALSE)*COUNTIF('Event Trigger'!$C:$C,'Year 1 Results'!$Z114)&gt;SUMIF('Event Trigger'!$C:$C,$Z114,E:E),0,VLOOKUP($Z114,'Asset Master'!$A:$J,6,FALSE))</f>
        <v>0</v>
      </c>
      <c r="AC114" s="52">
        <f>IF(VLOOKUP($Z114,'Asset Master'!$A:$J,6,FALSE)*COUNTIF('Event Trigger'!$C:$C,'Year 1 Results'!$Z114)&gt;SUMIF('Event Trigger'!$C:$C,$Z114,F:F),0,VLOOKUP($Z114,'Asset Master'!$A:$J,6,FALSE))</f>
        <v>0</v>
      </c>
      <c r="AD114" s="52">
        <f>IF(VLOOKUP($Z114,'Asset Master'!$A:$J,6,FALSE)*COUNTIF('Event Trigger'!$C:$C,'Year 1 Results'!$Z114)&gt;SUMIF('Event Trigger'!$C:$C,$Z114,G:G),0,VLOOKUP($Z114,'Asset Master'!$A:$J,6,FALSE))</f>
        <v>0</v>
      </c>
      <c r="AE114" s="52">
        <f>IF(VLOOKUP($Z114,'Asset Master'!$A:$J,6,FALSE)*COUNTIF('Event Trigger'!$C:$C,'Year 1 Results'!$Z114)&gt;SUMIF('Event Trigger'!$C:$C,$Z114,H:H),0,VLOOKUP($Z114,'Asset Master'!$A:$J,6,FALSE))</f>
        <v>0</v>
      </c>
      <c r="AF114" s="52">
        <f>IF(VLOOKUP($Z114,'Asset Master'!$A:$J,6,FALSE)*COUNTIF('Event Trigger'!$C:$C,'Year 1 Results'!$Z114)&gt;SUMIF('Event Trigger'!$C:$C,$Z114,I:I),0,VLOOKUP($Z114,'Asset Master'!$A:$J,6,FALSE))</f>
        <v>0</v>
      </c>
      <c r="AG114" s="52">
        <f>IF(VLOOKUP($Z114,'Asset Master'!$A:$J,6,FALSE)*COUNTIF('Event Trigger'!$C:$C,'Year 1 Results'!$Z114)&gt;SUMIF('Event Trigger'!$C:$C,$Z114,J:J),0,VLOOKUP($Z114,'Asset Master'!$A:$J,6,FALSE))</f>
        <v>0</v>
      </c>
      <c r="AH114" s="52">
        <f>IF(VLOOKUP($Z114,'Asset Master'!$A:$J,6,FALSE)*COUNTIF('Event Trigger'!$C:$C,'Year 1 Results'!$Z114)&gt;SUMIF('Event Trigger'!$C:$C,$Z114,K:K),0,VLOOKUP($Z114,'Asset Master'!$A:$J,6,FALSE))</f>
        <v>600000</v>
      </c>
      <c r="AI114" s="52">
        <f>IF(VLOOKUP($Z114,'Asset Master'!$A:$J,6,FALSE)*COUNTIF('Event Trigger'!$C:$C,'Year 1 Results'!$Z114)&gt;SUMIF('Event Trigger'!$C:$C,$Z114,L:L),0,VLOOKUP($Z114,'Asset Master'!$A:$J,6,FALSE))</f>
        <v>0</v>
      </c>
      <c r="AJ114" s="52">
        <f>IF(VLOOKUP($Z114,'Asset Master'!$A:$J,6,FALSE)*COUNTIF('Event Trigger'!$C:$C,'Year 1 Results'!$Z114)&gt;SUMIF('Event Trigger'!$C:$C,$Z114,M:M),0,VLOOKUP($Z114,'Asset Master'!$A:$J,6,FALSE))</f>
        <v>600000</v>
      </c>
    </row>
    <row r="115" spans="1:36" ht="25.5" x14ac:dyDescent="0.25">
      <c r="A115" s="37" t="str">
        <f>'Risk Master'!B115:B198&amp;"-"&amp;'Risk Master'!D115</f>
        <v>Hurricane-Typhoon -San Francisco</v>
      </c>
      <c r="B115" s="37" t="str">
        <f>'Input Sheet year 2'!B116</f>
        <v>Hurricane-Typhoon -San Francisco</v>
      </c>
      <c r="C115" s="29" t="str">
        <f>'Risk Master'!F115</f>
        <v>A53</v>
      </c>
      <c r="D115" s="73">
        <f>'Risk Master'!$G115*-1+('Risk Master'!$G115*'Event Trigger'!$D115*(1-'Input Sheet year 1'!H116))</f>
        <v>500000</v>
      </c>
      <c r="E115" s="73">
        <f>'Risk Master'!$G115*-1+('Risk Master'!$G115*'Event Trigger'!$D115*(1-'Input Sheet year 2'!I116))</f>
        <v>500000</v>
      </c>
      <c r="F115" s="73">
        <f>'Risk Master'!$G115*-1+('Risk Master'!$G115*'Event Trigger'!$D115*(1-'Input Sheet year 2'!J116))</f>
        <v>500000</v>
      </c>
      <c r="G115" s="73">
        <f>'Risk Master'!$G115*-1+('Risk Master'!$G115*'Event Trigger'!$D115*(1-'Input Sheet year 2'!K116))</f>
        <v>500000</v>
      </c>
      <c r="H115" s="73">
        <f>'Risk Master'!$G115*-1+('Risk Master'!$G115*'Event Trigger'!$D115*(1-'Input Sheet year 2'!L116))</f>
        <v>500000</v>
      </c>
      <c r="I115" s="73">
        <f>'Risk Master'!$G115*-1+('Risk Master'!$G115*'Event Trigger'!$D115*(1-'Input Sheet year 2'!M116))</f>
        <v>500000</v>
      </c>
      <c r="J115" s="73">
        <f>'Risk Master'!$G115*-1+('Risk Master'!$G115*'Event Trigger'!$D115*(1-'Input Sheet year 2'!N116))</f>
        <v>500000</v>
      </c>
      <c r="K115" s="73">
        <f>'Risk Master'!$G115*-1+('Risk Master'!$G115*'Event Trigger'!$D115*(1-'Input Sheet year 2'!O116))</f>
        <v>500000</v>
      </c>
      <c r="L115" s="73">
        <f>'Risk Master'!$G115*-1+('Risk Master'!$G115*'Event Trigger'!$D115*(1-'Input Sheet year 2'!P116))</f>
        <v>500000</v>
      </c>
      <c r="M115" s="73">
        <f>'Risk Master'!$G115*-1+('Risk Master'!$G115*'Event Trigger'!$D115*(1-'Input Sheet year 2'!Q116))</f>
        <v>500000</v>
      </c>
      <c r="N115" s="88"/>
      <c r="O115" s="88">
        <f t="shared" si="10"/>
        <v>-500000</v>
      </c>
      <c r="P115" s="88">
        <f t="shared" si="11"/>
        <v>-500000</v>
      </c>
      <c r="Q115" s="88">
        <f t="shared" si="12"/>
        <v>-500000</v>
      </c>
      <c r="R115" s="88">
        <f t="shared" si="13"/>
        <v>-500000</v>
      </c>
      <c r="S115" s="88">
        <f t="shared" si="14"/>
        <v>-500000</v>
      </c>
      <c r="T115" s="88">
        <f t="shared" si="15"/>
        <v>-500000</v>
      </c>
      <c r="U115" s="88">
        <f t="shared" si="16"/>
        <v>-500000</v>
      </c>
      <c r="V115" s="88">
        <f t="shared" si="17"/>
        <v>-500000</v>
      </c>
      <c r="W115" s="88">
        <f t="shared" si="18"/>
        <v>-500000</v>
      </c>
      <c r="X115" s="88">
        <f t="shared" si="19"/>
        <v>-500000</v>
      </c>
      <c r="Z115" s="51" t="s">
        <v>278</v>
      </c>
      <c r="AA115" s="52">
        <f>IF(VLOOKUP($Z115,'Asset Master'!$A:$J,6,FALSE)*COUNTIF('Event Trigger'!$C:$C,'Year 1 Results'!$Z115)&gt;SUMIF('Event Trigger'!$C:$C,$Z115,D:D),0,VLOOKUP($Z115,'Asset Master'!$A:$J,6,FALSE))</f>
        <v>0</v>
      </c>
      <c r="AB115" s="52">
        <f>IF(VLOOKUP($Z115,'Asset Master'!$A:$J,6,FALSE)*COUNTIF('Event Trigger'!$C:$C,'Year 1 Results'!$Z115)&gt;SUMIF('Event Trigger'!$C:$C,$Z115,E:E),0,VLOOKUP($Z115,'Asset Master'!$A:$J,6,FALSE))</f>
        <v>0</v>
      </c>
      <c r="AC115" s="52">
        <f>IF(VLOOKUP($Z115,'Asset Master'!$A:$J,6,FALSE)*COUNTIF('Event Trigger'!$C:$C,'Year 1 Results'!$Z115)&gt;SUMIF('Event Trigger'!$C:$C,$Z115,F:F),0,VLOOKUP($Z115,'Asset Master'!$A:$J,6,FALSE))</f>
        <v>0</v>
      </c>
      <c r="AD115" s="52">
        <f>IF(VLOOKUP($Z115,'Asset Master'!$A:$J,6,FALSE)*COUNTIF('Event Trigger'!$C:$C,'Year 1 Results'!$Z115)&gt;SUMIF('Event Trigger'!$C:$C,$Z115,G:G),0,VLOOKUP($Z115,'Asset Master'!$A:$J,6,FALSE))</f>
        <v>0</v>
      </c>
      <c r="AE115" s="52">
        <f>IF(VLOOKUP($Z115,'Asset Master'!$A:$J,6,FALSE)*COUNTIF('Event Trigger'!$C:$C,'Year 1 Results'!$Z115)&gt;SUMIF('Event Trigger'!$C:$C,$Z115,H:H),0,VLOOKUP($Z115,'Asset Master'!$A:$J,6,FALSE))</f>
        <v>0</v>
      </c>
      <c r="AF115" s="52">
        <f>IF(VLOOKUP($Z115,'Asset Master'!$A:$J,6,FALSE)*COUNTIF('Event Trigger'!$C:$C,'Year 1 Results'!$Z115)&gt;SUMIF('Event Trigger'!$C:$C,$Z115,I:I),0,VLOOKUP($Z115,'Asset Master'!$A:$J,6,FALSE))</f>
        <v>0</v>
      </c>
      <c r="AG115" s="52">
        <f>IF(VLOOKUP($Z115,'Asset Master'!$A:$J,6,FALSE)*COUNTIF('Event Trigger'!$C:$C,'Year 1 Results'!$Z115)&gt;SUMIF('Event Trigger'!$C:$C,$Z115,J:J),0,VLOOKUP($Z115,'Asset Master'!$A:$J,6,FALSE))</f>
        <v>0</v>
      </c>
      <c r="AH115" s="52">
        <f>IF(VLOOKUP($Z115,'Asset Master'!$A:$J,6,FALSE)*COUNTIF('Event Trigger'!$C:$C,'Year 1 Results'!$Z115)&gt;SUMIF('Event Trigger'!$C:$C,$Z115,K:K),0,VLOOKUP($Z115,'Asset Master'!$A:$J,6,FALSE))</f>
        <v>0</v>
      </c>
      <c r="AI115" s="52">
        <f>IF(VLOOKUP($Z115,'Asset Master'!$A:$J,6,FALSE)*COUNTIF('Event Trigger'!$C:$C,'Year 1 Results'!$Z115)&gt;SUMIF('Event Trigger'!$C:$C,$Z115,L:L),0,VLOOKUP($Z115,'Asset Master'!$A:$J,6,FALSE))</f>
        <v>0</v>
      </c>
      <c r="AJ115" s="52">
        <f>IF(VLOOKUP($Z115,'Asset Master'!$A:$J,6,FALSE)*COUNTIF('Event Trigger'!$C:$C,'Year 1 Results'!$Z115)&gt;SUMIF('Event Trigger'!$C:$C,$Z115,M:M),0,VLOOKUP($Z115,'Asset Master'!$A:$J,6,FALSE))</f>
        <v>0</v>
      </c>
    </row>
    <row r="116" spans="1:36" x14ac:dyDescent="0.25">
      <c r="A116" s="37" t="str">
        <f>'Risk Master'!B116:B199&amp;"-"&amp;'Risk Master'!D116</f>
        <v>Earthquake-San Francisco</v>
      </c>
      <c r="B116" s="37" t="str">
        <f>'Input Sheet year 2'!B117</f>
        <v>Earthquake-San Francisco</v>
      </c>
      <c r="C116" s="29" t="str">
        <f>'Risk Master'!F116</f>
        <v>A53</v>
      </c>
      <c r="D116" s="73">
        <f>'Risk Master'!$G116*-1+('Risk Master'!$G116*'Event Trigger'!$D116*(1-'Input Sheet year 1'!H117))</f>
        <v>500000</v>
      </c>
      <c r="E116" s="73">
        <f>'Risk Master'!$G116*-1+('Risk Master'!$G116*'Event Trigger'!$D116*(1-'Input Sheet year 2'!I117))</f>
        <v>500000</v>
      </c>
      <c r="F116" s="73">
        <f>'Risk Master'!$G116*-1+('Risk Master'!$G116*'Event Trigger'!$D116*(1-'Input Sheet year 2'!J117))</f>
        <v>500000</v>
      </c>
      <c r="G116" s="73">
        <f>'Risk Master'!$G116*-1+('Risk Master'!$G116*'Event Trigger'!$D116*(1-'Input Sheet year 2'!K117))</f>
        <v>500000</v>
      </c>
      <c r="H116" s="73">
        <f>'Risk Master'!$G116*-1+('Risk Master'!$G116*'Event Trigger'!$D116*(1-'Input Sheet year 2'!L117))</f>
        <v>500000</v>
      </c>
      <c r="I116" s="73">
        <f>'Risk Master'!$G116*-1+('Risk Master'!$G116*'Event Trigger'!$D116*(1-'Input Sheet year 2'!M117))</f>
        <v>500000</v>
      </c>
      <c r="J116" s="73">
        <f>'Risk Master'!$G116*-1+('Risk Master'!$G116*'Event Trigger'!$D116*(1-'Input Sheet year 2'!N117))</f>
        <v>500000</v>
      </c>
      <c r="K116" s="73">
        <f>'Risk Master'!$G116*-1+('Risk Master'!$G116*'Event Trigger'!$D116*(1-'Input Sheet year 2'!O117))</f>
        <v>500000</v>
      </c>
      <c r="L116" s="73">
        <f>'Risk Master'!$G116*-1+('Risk Master'!$G116*'Event Trigger'!$D116*(1-'Input Sheet year 2'!P117))</f>
        <v>500000</v>
      </c>
      <c r="M116" s="73">
        <f>'Risk Master'!$G116*-1+('Risk Master'!$G116*'Event Trigger'!$D116*(1-'Input Sheet year 2'!Q117))</f>
        <v>500000</v>
      </c>
      <c r="N116" s="88"/>
      <c r="O116" s="88">
        <f t="shared" si="10"/>
        <v>-500000</v>
      </c>
      <c r="P116" s="88">
        <f t="shared" si="11"/>
        <v>-500000</v>
      </c>
      <c r="Q116" s="88">
        <f t="shared" si="12"/>
        <v>-500000</v>
      </c>
      <c r="R116" s="88">
        <f t="shared" si="13"/>
        <v>-500000</v>
      </c>
      <c r="S116" s="88">
        <f t="shared" si="14"/>
        <v>-500000</v>
      </c>
      <c r="T116" s="88">
        <f t="shared" si="15"/>
        <v>-500000</v>
      </c>
      <c r="U116" s="88">
        <f t="shared" si="16"/>
        <v>-500000</v>
      </c>
      <c r="V116" s="88">
        <f t="shared" si="17"/>
        <v>-500000</v>
      </c>
      <c r="W116" s="88">
        <f t="shared" si="18"/>
        <v>-500000</v>
      </c>
      <c r="X116" s="88">
        <f t="shared" si="19"/>
        <v>-500000</v>
      </c>
      <c r="Z116" s="51" t="s">
        <v>279</v>
      </c>
      <c r="AA116" s="52">
        <f>IF(VLOOKUP($Z116,'Asset Master'!$A:$J,6,FALSE)*COUNTIF('Event Trigger'!$C:$C,'Year 1 Results'!$Z116)&gt;SUMIF('Event Trigger'!$C:$C,$Z116,D:D),0,VLOOKUP($Z116,'Asset Master'!$A:$J,6,FALSE))</f>
        <v>0</v>
      </c>
      <c r="AB116" s="52">
        <f>IF(VLOOKUP($Z116,'Asset Master'!$A:$J,6,FALSE)*COUNTIF('Event Trigger'!$C:$C,'Year 1 Results'!$Z116)&gt;SUMIF('Event Trigger'!$C:$C,$Z116,E:E),0,VLOOKUP($Z116,'Asset Master'!$A:$J,6,FALSE))</f>
        <v>0</v>
      </c>
      <c r="AC116" s="52">
        <f>IF(VLOOKUP($Z116,'Asset Master'!$A:$J,6,FALSE)*COUNTIF('Event Trigger'!$C:$C,'Year 1 Results'!$Z116)&gt;SUMIF('Event Trigger'!$C:$C,$Z116,F:F),0,VLOOKUP($Z116,'Asset Master'!$A:$J,6,FALSE))</f>
        <v>0</v>
      </c>
      <c r="AD116" s="52">
        <f>IF(VLOOKUP($Z116,'Asset Master'!$A:$J,6,FALSE)*COUNTIF('Event Trigger'!$C:$C,'Year 1 Results'!$Z116)&gt;SUMIF('Event Trigger'!$C:$C,$Z116,G:G),0,VLOOKUP($Z116,'Asset Master'!$A:$J,6,FALSE))</f>
        <v>0</v>
      </c>
      <c r="AE116" s="52">
        <f>IF(VLOOKUP($Z116,'Asset Master'!$A:$J,6,FALSE)*COUNTIF('Event Trigger'!$C:$C,'Year 1 Results'!$Z116)&gt;SUMIF('Event Trigger'!$C:$C,$Z116,H:H),0,VLOOKUP($Z116,'Asset Master'!$A:$J,6,FALSE))</f>
        <v>0</v>
      </c>
      <c r="AF116" s="52">
        <f>IF(VLOOKUP($Z116,'Asset Master'!$A:$J,6,FALSE)*COUNTIF('Event Trigger'!$C:$C,'Year 1 Results'!$Z116)&gt;SUMIF('Event Trigger'!$C:$C,$Z116,I:I),0,VLOOKUP($Z116,'Asset Master'!$A:$J,6,FALSE))</f>
        <v>0</v>
      </c>
      <c r="AG116" s="52">
        <f>IF(VLOOKUP($Z116,'Asset Master'!$A:$J,6,FALSE)*COUNTIF('Event Trigger'!$C:$C,'Year 1 Results'!$Z116)&gt;SUMIF('Event Trigger'!$C:$C,$Z116,J:J),0,VLOOKUP($Z116,'Asset Master'!$A:$J,6,FALSE))</f>
        <v>0</v>
      </c>
      <c r="AH116" s="52">
        <f>IF(VLOOKUP($Z116,'Asset Master'!$A:$J,6,FALSE)*COUNTIF('Event Trigger'!$C:$C,'Year 1 Results'!$Z116)&gt;SUMIF('Event Trigger'!$C:$C,$Z116,K:K),0,VLOOKUP($Z116,'Asset Master'!$A:$J,6,FALSE))</f>
        <v>0</v>
      </c>
      <c r="AI116" s="52">
        <f>IF(VLOOKUP($Z116,'Asset Master'!$A:$J,6,FALSE)*COUNTIF('Event Trigger'!$C:$C,'Year 1 Results'!$Z116)&gt;SUMIF('Event Trigger'!$C:$C,$Z116,L:L),0,VLOOKUP($Z116,'Asset Master'!$A:$J,6,FALSE))</f>
        <v>0</v>
      </c>
      <c r="AJ116" s="52">
        <f>IF(VLOOKUP($Z116,'Asset Master'!$A:$J,6,FALSE)*COUNTIF('Event Trigger'!$C:$C,'Year 1 Results'!$Z116)&gt;SUMIF('Event Trigger'!$C:$C,$Z116,M:M),0,VLOOKUP($Z116,'Asset Master'!$A:$J,6,FALSE))</f>
        <v>0</v>
      </c>
    </row>
    <row r="117" spans="1:36" ht="25.5" x14ac:dyDescent="0.25">
      <c r="A117" s="37" t="str">
        <f>'Risk Master'!B117:B200&amp;"-"&amp;'Risk Master'!D117</f>
        <v>Thunderstorms, Tornados &amp; Hail-San Francisco</v>
      </c>
      <c r="B117" s="37" t="str">
        <f>'Input Sheet year 2'!B118</f>
        <v>Thunderstorms, Tornados &amp; Hail-San Francisco</v>
      </c>
      <c r="C117" s="29" t="str">
        <f>'Risk Master'!F117</f>
        <v>A54</v>
      </c>
      <c r="D117" s="73">
        <f>'Risk Master'!$G117*-1+('Risk Master'!$G117*'Event Trigger'!$D117*(1-'Input Sheet year 1'!H118))</f>
        <v>300000</v>
      </c>
      <c r="E117" s="73">
        <f>'Risk Master'!$G117*-1+('Risk Master'!$G117*'Event Trigger'!$D117*(1-'Input Sheet year 2'!I118))</f>
        <v>300000</v>
      </c>
      <c r="F117" s="73">
        <f>'Risk Master'!$G117*-1+('Risk Master'!$G117*'Event Trigger'!$D117*(1-'Input Sheet year 2'!J118))</f>
        <v>300000</v>
      </c>
      <c r="G117" s="73">
        <f>'Risk Master'!$G117*-1+('Risk Master'!$G117*'Event Trigger'!$D117*(1-'Input Sheet year 2'!K118))</f>
        <v>300000</v>
      </c>
      <c r="H117" s="73">
        <f>'Risk Master'!$G117*-1+('Risk Master'!$G117*'Event Trigger'!$D117*(1-'Input Sheet year 2'!L118))</f>
        <v>300000</v>
      </c>
      <c r="I117" s="73">
        <f>'Risk Master'!$G117*-1+('Risk Master'!$G117*'Event Trigger'!$D117*(1-'Input Sheet year 2'!M118))</f>
        <v>300000</v>
      </c>
      <c r="J117" s="73">
        <f>'Risk Master'!$G117*-1+('Risk Master'!$G117*'Event Trigger'!$D117*(1-'Input Sheet year 2'!N118))</f>
        <v>300000</v>
      </c>
      <c r="K117" s="73">
        <f>'Risk Master'!$G117*-1+('Risk Master'!$G117*'Event Trigger'!$D117*(1-'Input Sheet year 2'!O118))</f>
        <v>300000</v>
      </c>
      <c r="L117" s="73">
        <f>'Risk Master'!$G117*-1+('Risk Master'!$G117*'Event Trigger'!$D117*(1-'Input Sheet year 2'!P118))</f>
        <v>300000</v>
      </c>
      <c r="M117" s="73">
        <f>'Risk Master'!$G117*-1+('Risk Master'!$G117*'Event Trigger'!$D117*(1-'Input Sheet year 2'!Q118))</f>
        <v>300000</v>
      </c>
      <c r="N117" s="88"/>
      <c r="O117" s="88">
        <f t="shared" si="10"/>
        <v>-300000</v>
      </c>
      <c r="P117" s="88">
        <f t="shared" si="11"/>
        <v>-300000</v>
      </c>
      <c r="Q117" s="88">
        <f t="shared" si="12"/>
        <v>-300000</v>
      </c>
      <c r="R117" s="88">
        <f t="shared" si="13"/>
        <v>-300000</v>
      </c>
      <c r="S117" s="88">
        <f t="shared" si="14"/>
        <v>-300000</v>
      </c>
      <c r="T117" s="88">
        <f t="shared" si="15"/>
        <v>-300000</v>
      </c>
      <c r="U117" s="88">
        <f t="shared" si="16"/>
        <v>-300000</v>
      </c>
      <c r="V117" s="88">
        <f t="shared" si="17"/>
        <v>-300000</v>
      </c>
      <c r="W117" s="88">
        <f t="shared" si="18"/>
        <v>-300000</v>
      </c>
      <c r="X117" s="88">
        <f t="shared" si="19"/>
        <v>-300000</v>
      </c>
      <c r="Z117" s="51" t="s">
        <v>280</v>
      </c>
      <c r="AA117" s="52">
        <f>IF(VLOOKUP($Z117,'Asset Master'!$A:$J,6,FALSE)*COUNTIF('Event Trigger'!$C:$C,'Year 1 Results'!$Z117)&gt;SUMIF('Event Trigger'!$C:$C,$Z117,D:D),0,VLOOKUP($Z117,'Asset Master'!$A:$J,6,FALSE))</f>
        <v>0</v>
      </c>
      <c r="AB117" s="52">
        <f>IF(VLOOKUP($Z117,'Asset Master'!$A:$J,6,FALSE)*COUNTIF('Event Trigger'!$C:$C,'Year 1 Results'!$Z117)&gt;SUMIF('Event Trigger'!$C:$C,$Z117,E:E),0,VLOOKUP($Z117,'Asset Master'!$A:$J,6,FALSE))</f>
        <v>0</v>
      </c>
      <c r="AC117" s="52">
        <f>IF(VLOOKUP($Z117,'Asset Master'!$A:$J,6,FALSE)*COUNTIF('Event Trigger'!$C:$C,'Year 1 Results'!$Z117)&gt;SUMIF('Event Trigger'!$C:$C,$Z117,F:F),0,VLOOKUP($Z117,'Asset Master'!$A:$J,6,FALSE))</f>
        <v>0</v>
      </c>
      <c r="AD117" s="52">
        <f>IF(VLOOKUP($Z117,'Asset Master'!$A:$J,6,FALSE)*COUNTIF('Event Trigger'!$C:$C,'Year 1 Results'!$Z117)&gt;SUMIF('Event Trigger'!$C:$C,$Z117,G:G),0,VLOOKUP($Z117,'Asset Master'!$A:$J,6,FALSE))</f>
        <v>0</v>
      </c>
      <c r="AE117" s="52">
        <f>IF(VLOOKUP($Z117,'Asset Master'!$A:$J,6,FALSE)*COUNTIF('Event Trigger'!$C:$C,'Year 1 Results'!$Z117)&gt;SUMIF('Event Trigger'!$C:$C,$Z117,H:H),0,VLOOKUP($Z117,'Asset Master'!$A:$J,6,FALSE))</f>
        <v>0</v>
      </c>
      <c r="AF117" s="52">
        <f>IF(VLOOKUP($Z117,'Asset Master'!$A:$J,6,FALSE)*COUNTIF('Event Trigger'!$C:$C,'Year 1 Results'!$Z117)&gt;SUMIF('Event Trigger'!$C:$C,$Z117,I:I),0,VLOOKUP($Z117,'Asset Master'!$A:$J,6,FALSE))</f>
        <v>0</v>
      </c>
      <c r="AG117" s="52">
        <f>IF(VLOOKUP($Z117,'Asset Master'!$A:$J,6,FALSE)*COUNTIF('Event Trigger'!$C:$C,'Year 1 Results'!$Z117)&gt;SUMIF('Event Trigger'!$C:$C,$Z117,J:J),0,VLOOKUP($Z117,'Asset Master'!$A:$J,6,FALSE))</f>
        <v>0</v>
      </c>
      <c r="AH117" s="52">
        <f>IF(VLOOKUP($Z117,'Asset Master'!$A:$J,6,FALSE)*COUNTIF('Event Trigger'!$C:$C,'Year 1 Results'!$Z117)&gt;SUMIF('Event Trigger'!$C:$C,$Z117,K:K),0,VLOOKUP($Z117,'Asset Master'!$A:$J,6,FALSE))</f>
        <v>0</v>
      </c>
      <c r="AI117" s="52">
        <f>IF(VLOOKUP($Z117,'Asset Master'!$A:$J,6,FALSE)*COUNTIF('Event Trigger'!$C:$C,'Year 1 Results'!$Z117)&gt;SUMIF('Event Trigger'!$C:$C,$Z117,L:L),0,VLOOKUP($Z117,'Asset Master'!$A:$J,6,FALSE))</f>
        <v>0</v>
      </c>
      <c r="AJ117" s="52">
        <f>IF(VLOOKUP($Z117,'Asset Master'!$A:$J,6,FALSE)*COUNTIF('Event Trigger'!$C:$C,'Year 1 Results'!$Z117)&gt;SUMIF('Event Trigger'!$C:$C,$Z117,M:M),0,VLOOKUP($Z117,'Asset Master'!$A:$J,6,FALSE))</f>
        <v>0</v>
      </c>
    </row>
    <row r="118" spans="1:36" ht="25.5" x14ac:dyDescent="0.25">
      <c r="A118" s="37" t="str">
        <f>'Risk Master'!B118:B201&amp;"-"&amp;'Risk Master'!D118</f>
        <v>Hurricane-Typhoon -San Francisco</v>
      </c>
      <c r="B118" s="37" t="str">
        <f>'Input Sheet year 2'!B119</f>
        <v>Hurricane-Typhoon -San Francisco</v>
      </c>
      <c r="C118" s="29" t="str">
        <f>'Risk Master'!F118</f>
        <v>A55</v>
      </c>
      <c r="D118" s="73">
        <f>'Risk Master'!$G118*-1+('Risk Master'!$G118*'Event Trigger'!$D118*(1-'Input Sheet year 1'!H119))</f>
        <v>500000</v>
      </c>
      <c r="E118" s="73">
        <f>'Risk Master'!$G118*-1+('Risk Master'!$G118*'Event Trigger'!$D118*(1-'Input Sheet year 2'!I119))</f>
        <v>500000</v>
      </c>
      <c r="F118" s="73">
        <f>'Risk Master'!$G118*-1+('Risk Master'!$G118*'Event Trigger'!$D118*(1-'Input Sheet year 2'!J119))</f>
        <v>500000</v>
      </c>
      <c r="G118" s="73">
        <f>'Risk Master'!$G118*-1+('Risk Master'!$G118*'Event Trigger'!$D118*(1-'Input Sheet year 2'!K119))</f>
        <v>500000</v>
      </c>
      <c r="H118" s="73">
        <f>'Risk Master'!$G118*-1+('Risk Master'!$G118*'Event Trigger'!$D118*(1-'Input Sheet year 2'!L119))</f>
        <v>500000</v>
      </c>
      <c r="I118" s="73">
        <f>'Risk Master'!$G118*-1+('Risk Master'!$G118*'Event Trigger'!$D118*(1-'Input Sheet year 2'!M119))</f>
        <v>500000</v>
      </c>
      <c r="J118" s="73">
        <f>'Risk Master'!$G118*-1+('Risk Master'!$G118*'Event Trigger'!$D118*(1-'Input Sheet year 2'!N119))</f>
        <v>500000</v>
      </c>
      <c r="K118" s="73">
        <f>'Risk Master'!$G118*-1+('Risk Master'!$G118*'Event Trigger'!$D118*(1-'Input Sheet year 2'!O119))</f>
        <v>500000</v>
      </c>
      <c r="L118" s="73">
        <f>'Risk Master'!$G118*-1+('Risk Master'!$G118*'Event Trigger'!$D118*(1-'Input Sheet year 2'!P119))</f>
        <v>500000</v>
      </c>
      <c r="M118" s="73">
        <f>'Risk Master'!$G118*-1+('Risk Master'!$G118*'Event Trigger'!$D118*(1-'Input Sheet year 2'!Q119))</f>
        <v>500000</v>
      </c>
      <c r="N118" s="88"/>
      <c r="O118" s="88">
        <f t="shared" si="10"/>
        <v>-500000</v>
      </c>
      <c r="P118" s="88">
        <f t="shared" si="11"/>
        <v>-500000</v>
      </c>
      <c r="Q118" s="88">
        <f t="shared" si="12"/>
        <v>-500000</v>
      </c>
      <c r="R118" s="88">
        <f t="shared" si="13"/>
        <v>-500000</v>
      </c>
      <c r="S118" s="88">
        <f t="shared" si="14"/>
        <v>-500000</v>
      </c>
      <c r="T118" s="88">
        <f t="shared" si="15"/>
        <v>-500000</v>
      </c>
      <c r="U118" s="88">
        <f t="shared" si="16"/>
        <v>-500000</v>
      </c>
      <c r="V118" s="88">
        <f t="shared" si="17"/>
        <v>-500000</v>
      </c>
      <c r="W118" s="88">
        <f t="shared" si="18"/>
        <v>-500000</v>
      </c>
      <c r="X118" s="88">
        <f t="shared" si="19"/>
        <v>-500000</v>
      </c>
      <c r="Z118" s="51" t="s">
        <v>281</v>
      </c>
      <c r="AA118" s="52">
        <f>IF(VLOOKUP($Z118,'Asset Master'!$A:$J,6,FALSE)*COUNTIF('Event Trigger'!$C:$C,'Year 1 Results'!$Z118)&gt;SUMIF('Event Trigger'!$C:$C,$Z118,D:D),0,VLOOKUP($Z118,'Asset Master'!$A:$J,6,FALSE))</f>
        <v>0</v>
      </c>
      <c r="AB118" s="52">
        <f>IF(VLOOKUP($Z118,'Asset Master'!$A:$J,6,FALSE)*COUNTIF('Event Trigger'!$C:$C,'Year 1 Results'!$Z118)&gt;SUMIF('Event Trigger'!$C:$C,$Z118,E:E),0,VLOOKUP($Z118,'Asset Master'!$A:$J,6,FALSE))</f>
        <v>0</v>
      </c>
      <c r="AC118" s="52">
        <f>IF(VLOOKUP($Z118,'Asset Master'!$A:$J,6,FALSE)*COUNTIF('Event Trigger'!$C:$C,'Year 1 Results'!$Z118)&gt;SUMIF('Event Trigger'!$C:$C,$Z118,F:F),0,VLOOKUP($Z118,'Asset Master'!$A:$J,6,FALSE))</f>
        <v>0</v>
      </c>
      <c r="AD118" s="52">
        <f>IF(VLOOKUP($Z118,'Asset Master'!$A:$J,6,FALSE)*COUNTIF('Event Trigger'!$C:$C,'Year 1 Results'!$Z118)&gt;SUMIF('Event Trigger'!$C:$C,$Z118,G:G),0,VLOOKUP($Z118,'Asset Master'!$A:$J,6,FALSE))</f>
        <v>0</v>
      </c>
      <c r="AE118" s="52">
        <f>IF(VLOOKUP($Z118,'Asset Master'!$A:$J,6,FALSE)*COUNTIF('Event Trigger'!$C:$C,'Year 1 Results'!$Z118)&gt;SUMIF('Event Trigger'!$C:$C,$Z118,H:H),0,VLOOKUP($Z118,'Asset Master'!$A:$J,6,FALSE))</f>
        <v>0</v>
      </c>
      <c r="AF118" s="52">
        <f>IF(VLOOKUP($Z118,'Asset Master'!$A:$J,6,FALSE)*COUNTIF('Event Trigger'!$C:$C,'Year 1 Results'!$Z118)&gt;SUMIF('Event Trigger'!$C:$C,$Z118,I:I),0,VLOOKUP($Z118,'Asset Master'!$A:$J,6,FALSE))</f>
        <v>0</v>
      </c>
      <c r="AG118" s="52">
        <f>IF(VLOOKUP($Z118,'Asset Master'!$A:$J,6,FALSE)*COUNTIF('Event Trigger'!$C:$C,'Year 1 Results'!$Z118)&gt;SUMIF('Event Trigger'!$C:$C,$Z118,J:J),0,VLOOKUP($Z118,'Asset Master'!$A:$J,6,FALSE))</f>
        <v>0</v>
      </c>
      <c r="AH118" s="52">
        <f>IF(VLOOKUP($Z118,'Asset Master'!$A:$J,6,FALSE)*COUNTIF('Event Trigger'!$C:$C,'Year 1 Results'!$Z118)&gt;SUMIF('Event Trigger'!$C:$C,$Z118,K:K),0,VLOOKUP($Z118,'Asset Master'!$A:$J,6,FALSE))</f>
        <v>0</v>
      </c>
      <c r="AI118" s="52">
        <f>IF(VLOOKUP($Z118,'Asset Master'!$A:$J,6,FALSE)*COUNTIF('Event Trigger'!$C:$C,'Year 1 Results'!$Z118)&gt;SUMIF('Event Trigger'!$C:$C,$Z118,L:L),0,VLOOKUP($Z118,'Asset Master'!$A:$J,6,FALSE))</f>
        <v>0</v>
      </c>
      <c r="AJ118" s="52">
        <f>IF(VLOOKUP($Z118,'Asset Master'!$A:$J,6,FALSE)*COUNTIF('Event Trigger'!$C:$C,'Year 1 Results'!$Z118)&gt;SUMIF('Event Trigger'!$C:$C,$Z118,M:M),0,VLOOKUP($Z118,'Asset Master'!$A:$J,6,FALSE))</f>
        <v>0</v>
      </c>
    </row>
    <row r="119" spans="1:36" x14ac:dyDescent="0.25">
      <c r="A119" s="37" t="str">
        <f>'Risk Master'!B119:B202&amp;"-"&amp;'Risk Master'!D119</f>
        <v>Earthquake-San Francisco</v>
      </c>
      <c r="B119" s="37" t="str">
        <f>'Input Sheet year 2'!B120</f>
        <v>Earthquake-San Francisco</v>
      </c>
      <c r="C119" s="29" t="str">
        <f>'Risk Master'!F119</f>
        <v>A60</v>
      </c>
      <c r="D119" s="73">
        <f>'Risk Master'!$G119*-1+('Risk Master'!$G119*'Event Trigger'!$D119*(1-'Input Sheet year 1'!H120))</f>
        <v>400000</v>
      </c>
      <c r="E119" s="73">
        <f>'Risk Master'!$G119*-1+('Risk Master'!$G119*'Event Trigger'!$D119*(1-'Input Sheet year 2'!I120))</f>
        <v>400000</v>
      </c>
      <c r="F119" s="73">
        <f>'Risk Master'!$G119*-1+('Risk Master'!$G119*'Event Trigger'!$D119*(1-'Input Sheet year 2'!J120))</f>
        <v>400000</v>
      </c>
      <c r="G119" s="73">
        <f>'Risk Master'!$G119*-1+('Risk Master'!$G119*'Event Trigger'!$D119*(1-'Input Sheet year 2'!K120))</f>
        <v>400000</v>
      </c>
      <c r="H119" s="73">
        <f>'Risk Master'!$G119*-1+('Risk Master'!$G119*'Event Trigger'!$D119*(1-'Input Sheet year 2'!L120))</f>
        <v>400000</v>
      </c>
      <c r="I119" s="73">
        <f>'Risk Master'!$G119*-1+('Risk Master'!$G119*'Event Trigger'!$D119*(1-'Input Sheet year 2'!M120))</f>
        <v>400000</v>
      </c>
      <c r="J119" s="73">
        <f>'Risk Master'!$G119*-1+('Risk Master'!$G119*'Event Trigger'!$D119*(1-'Input Sheet year 2'!N120))</f>
        <v>400000</v>
      </c>
      <c r="K119" s="73">
        <f>'Risk Master'!$G119*-1+('Risk Master'!$G119*'Event Trigger'!$D119*(1-'Input Sheet year 2'!O120))</f>
        <v>400000</v>
      </c>
      <c r="L119" s="73">
        <f>'Risk Master'!$G119*-1+('Risk Master'!$G119*'Event Trigger'!$D119*(1-'Input Sheet year 2'!P120))</f>
        <v>400000</v>
      </c>
      <c r="M119" s="73">
        <f>'Risk Master'!$G119*-1+('Risk Master'!$G119*'Event Trigger'!$D119*(1-'Input Sheet year 2'!Q120))</f>
        <v>400000</v>
      </c>
      <c r="N119" s="88"/>
      <c r="O119" s="88">
        <f t="shared" si="10"/>
        <v>-400000</v>
      </c>
      <c r="P119" s="88">
        <f t="shared" si="11"/>
        <v>-400000</v>
      </c>
      <c r="Q119" s="88">
        <f t="shared" si="12"/>
        <v>-400000</v>
      </c>
      <c r="R119" s="88">
        <f t="shared" si="13"/>
        <v>-400000</v>
      </c>
      <c r="S119" s="88">
        <f t="shared" si="14"/>
        <v>-400000</v>
      </c>
      <c r="T119" s="88">
        <f t="shared" si="15"/>
        <v>-400000</v>
      </c>
      <c r="U119" s="88">
        <f t="shared" si="16"/>
        <v>-400000</v>
      </c>
      <c r="V119" s="88">
        <f t="shared" si="17"/>
        <v>-400000</v>
      </c>
      <c r="W119" s="88">
        <f t="shared" si="18"/>
        <v>-400000</v>
      </c>
      <c r="X119" s="88">
        <f t="shared" si="19"/>
        <v>-400000</v>
      </c>
      <c r="Z119" s="51" t="s">
        <v>282</v>
      </c>
      <c r="AA119" s="52">
        <f>IF(VLOOKUP($Z119,'Asset Master'!$A:$J,6,FALSE)*COUNTIF('Event Trigger'!$C:$C,'Year 1 Results'!$Z119)&gt;SUMIF('Event Trigger'!$C:$C,$Z119,D:D),0,VLOOKUP($Z119,'Asset Master'!$A:$J,6,FALSE))</f>
        <v>0</v>
      </c>
      <c r="AB119" s="52">
        <f>IF(VLOOKUP($Z119,'Asset Master'!$A:$J,6,FALSE)*COUNTIF('Event Trigger'!$C:$C,'Year 1 Results'!$Z119)&gt;SUMIF('Event Trigger'!$C:$C,$Z119,E:E),0,VLOOKUP($Z119,'Asset Master'!$A:$J,6,FALSE))</f>
        <v>0</v>
      </c>
      <c r="AC119" s="52">
        <f>IF(VLOOKUP($Z119,'Asset Master'!$A:$J,6,FALSE)*COUNTIF('Event Trigger'!$C:$C,'Year 1 Results'!$Z119)&gt;SUMIF('Event Trigger'!$C:$C,$Z119,F:F),0,VLOOKUP($Z119,'Asset Master'!$A:$J,6,FALSE))</f>
        <v>0</v>
      </c>
      <c r="AD119" s="52">
        <f>IF(VLOOKUP($Z119,'Asset Master'!$A:$J,6,FALSE)*COUNTIF('Event Trigger'!$C:$C,'Year 1 Results'!$Z119)&gt;SUMIF('Event Trigger'!$C:$C,$Z119,G:G),0,VLOOKUP($Z119,'Asset Master'!$A:$J,6,FALSE))</f>
        <v>0</v>
      </c>
      <c r="AE119" s="52">
        <f>IF(VLOOKUP($Z119,'Asset Master'!$A:$J,6,FALSE)*COUNTIF('Event Trigger'!$C:$C,'Year 1 Results'!$Z119)&gt;SUMIF('Event Trigger'!$C:$C,$Z119,H:H),0,VLOOKUP($Z119,'Asset Master'!$A:$J,6,FALSE))</f>
        <v>0</v>
      </c>
      <c r="AF119" s="52">
        <f>IF(VLOOKUP($Z119,'Asset Master'!$A:$J,6,FALSE)*COUNTIF('Event Trigger'!$C:$C,'Year 1 Results'!$Z119)&gt;SUMIF('Event Trigger'!$C:$C,$Z119,I:I),0,VLOOKUP($Z119,'Asset Master'!$A:$J,6,FALSE))</f>
        <v>0</v>
      </c>
      <c r="AG119" s="52">
        <f>IF(VLOOKUP($Z119,'Asset Master'!$A:$J,6,FALSE)*COUNTIF('Event Trigger'!$C:$C,'Year 1 Results'!$Z119)&gt;SUMIF('Event Trigger'!$C:$C,$Z119,J:J),0,VLOOKUP($Z119,'Asset Master'!$A:$J,6,FALSE))</f>
        <v>0</v>
      </c>
      <c r="AH119" s="52">
        <f>IF(VLOOKUP($Z119,'Asset Master'!$A:$J,6,FALSE)*COUNTIF('Event Trigger'!$C:$C,'Year 1 Results'!$Z119)&gt;SUMIF('Event Trigger'!$C:$C,$Z119,K:K),0,VLOOKUP($Z119,'Asset Master'!$A:$J,6,FALSE))</f>
        <v>0</v>
      </c>
      <c r="AI119" s="52">
        <f>IF(VLOOKUP($Z119,'Asset Master'!$A:$J,6,FALSE)*COUNTIF('Event Trigger'!$C:$C,'Year 1 Results'!$Z119)&gt;SUMIF('Event Trigger'!$C:$C,$Z119,L:L),0,VLOOKUP($Z119,'Asset Master'!$A:$J,6,FALSE))</f>
        <v>0</v>
      </c>
      <c r="AJ119" s="52">
        <f>IF(VLOOKUP($Z119,'Asset Master'!$A:$J,6,FALSE)*COUNTIF('Event Trigger'!$C:$C,'Year 1 Results'!$Z119)&gt;SUMIF('Event Trigger'!$C:$C,$Z119,M:M),0,VLOOKUP($Z119,'Asset Master'!$A:$J,6,FALSE))</f>
        <v>0</v>
      </c>
    </row>
    <row r="120" spans="1:36" ht="25.5" x14ac:dyDescent="0.25">
      <c r="A120" s="37" t="str">
        <f>'Risk Master'!B120:B203&amp;"-"&amp;'Risk Master'!D120</f>
        <v>Hurricane-Typhoon -San Francisco</v>
      </c>
      <c r="B120" s="37" t="str">
        <f>'Input Sheet year 2'!B121</f>
        <v>Hurricane-Typhoon -San Francisco</v>
      </c>
      <c r="C120" s="29" t="str">
        <f>'Risk Master'!F120</f>
        <v>A58</v>
      </c>
      <c r="D120" s="73">
        <f>'Risk Master'!$G120*-1+('Risk Master'!$G120*'Event Trigger'!$D120*(1-'Input Sheet year 1'!H121))</f>
        <v>200000</v>
      </c>
      <c r="E120" s="73">
        <f>'Risk Master'!$G120*-1+('Risk Master'!$G120*'Event Trigger'!$D120*(1-'Input Sheet year 2'!I121))</f>
        <v>200000</v>
      </c>
      <c r="F120" s="73">
        <f>'Risk Master'!$G120*-1+('Risk Master'!$G120*'Event Trigger'!$D120*(1-'Input Sheet year 2'!J121))</f>
        <v>200000</v>
      </c>
      <c r="G120" s="73">
        <f>'Risk Master'!$G120*-1+('Risk Master'!$G120*'Event Trigger'!$D120*(1-'Input Sheet year 2'!K121))</f>
        <v>200000</v>
      </c>
      <c r="H120" s="73">
        <f>'Risk Master'!$G120*-1+('Risk Master'!$G120*'Event Trigger'!$D120*(1-'Input Sheet year 2'!L121))</f>
        <v>200000</v>
      </c>
      <c r="I120" s="73">
        <f>'Risk Master'!$G120*-1+('Risk Master'!$G120*'Event Trigger'!$D120*(1-'Input Sheet year 2'!M121))</f>
        <v>200000</v>
      </c>
      <c r="J120" s="73">
        <f>'Risk Master'!$G120*-1+('Risk Master'!$G120*'Event Trigger'!$D120*(1-'Input Sheet year 2'!N121))</f>
        <v>200000</v>
      </c>
      <c r="K120" s="73">
        <f>'Risk Master'!$G120*-1+('Risk Master'!$G120*'Event Trigger'!$D120*(1-'Input Sheet year 2'!O121))</f>
        <v>200000</v>
      </c>
      <c r="L120" s="73">
        <f>'Risk Master'!$G120*-1+('Risk Master'!$G120*'Event Trigger'!$D120*(1-'Input Sheet year 2'!P121))</f>
        <v>200000</v>
      </c>
      <c r="M120" s="73">
        <f>'Risk Master'!$G120*-1+('Risk Master'!$G120*'Event Trigger'!$D120*(1-'Input Sheet year 2'!Q121))</f>
        <v>200000</v>
      </c>
      <c r="N120" s="88"/>
      <c r="O120" s="88">
        <f t="shared" si="10"/>
        <v>-200000</v>
      </c>
      <c r="P120" s="88">
        <f t="shared" si="11"/>
        <v>-200000</v>
      </c>
      <c r="Q120" s="88">
        <f t="shared" si="12"/>
        <v>-200000</v>
      </c>
      <c r="R120" s="88">
        <f t="shared" si="13"/>
        <v>-200000</v>
      </c>
      <c r="S120" s="88">
        <f t="shared" si="14"/>
        <v>-200000</v>
      </c>
      <c r="T120" s="88">
        <f t="shared" si="15"/>
        <v>-200000</v>
      </c>
      <c r="U120" s="88">
        <f t="shared" si="16"/>
        <v>-200000</v>
      </c>
      <c r="V120" s="88">
        <f t="shared" si="17"/>
        <v>-200000</v>
      </c>
      <c r="W120" s="88">
        <f t="shared" si="18"/>
        <v>-200000</v>
      </c>
      <c r="X120" s="88">
        <f t="shared" si="19"/>
        <v>-200000</v>
      </c>
      <c r="Z120" s="51" t="s">
        <v>283</v>
      </c>
      <c r="AA120" s="52">
        <f>IF(VLOOKUP($Z120,'Asset Master'!$A:$J,6,FALSE)*COUNTIF('Event Trigger'!$C:$C,'Year 1 Results'!$Z120)&gt;SUMIF('Event Trigger'!$C:$C,$Z120,D:D),0,VLOOKUP($Z120,'Asset Master'!$A:$J,6,FALSE))</f>
        <v>0</v>
      </c>
      <c r="AB120" s="52">
        <f>IF(VLOOKUP($Z120,'Asset Master'!$A:$J,6,FALSE)*COUNTIF('Event Trigger'!$C:$C,'Year 1 Results'!$Z120)&gt;SUMIF('Event Trigger'!$C:$C,$Z120,E:E),0,VLOOKUP($Z120,'Asset Master'!$A:$J,6,FALSE))</f>
        <v>0</v>
      </c>
      <c r="AC120" s="52">
        <f>IF(VLOOKUP($Z120,'Asset Master'!$A:$J,6,FALSE)*COUNTIF('Event Trigger'!$C:$C,'Year 1 Results'!$Z120)&gt;SUMIF('Event Trigger'!$C:$C,$Z120,F:F),0,VLOOKUP($Z120,'Asset Master'!$A:$J,6,FALSE))</f>
        <v>0</v>
      </c>
      <c r="AD120" s="52">
        <f>IF(VLOOKUP($Z120,'Asset Master'!$A:$J,6,FALSE)*COUNTIF('Event Trigger'!$C:$C,'Year 1 Results'!$Z120)&gt;SUMIF('Event Trigger'!$C:$C,$Z120,G:G),0,VLOOKUP($Z120,'Asset Master'!$A:$J,6,FALSE))</f>
        <v>0</v>
      </c>
      <c r="AE120" s="52">
        <f>IF(VLOOKUP($Z120,'Asset Master'!$A:$J,6,FALSE)*COUNTIF('Event Trigger'!$C:$C,'Year 1 Results'!$Z120)&gt;SUMIF('Event Trigger'!$C:$C,$Z120,H:H),0,VLOOKUP($Z120,'Asset Master'!$A:$J,6,FALSE))</f>
        <v>0</v>
      </c>
      <c r="AF120" s="52">
        <f>IF(VLOOKUP($Z120,'Asset Master'!$A:$J,6,FALSE)*COUNTIF('Event Trigger'!$C:$C,'Year 1 Results'!$Z120)&gt;SUMIF('Event Trigger'!$C:$C,$Z120,I:I),0,VLOOKUP($Z120,'Asset Master'!$A:$J,6,FALSE))</f>
        <v>0</v>
      </c>
      <c r="AG120" s="52">
        <f>IF(VLOOKUP($Z120,'Asset Master'!$A:$J,6,FALSE)*COUNTIF('Event Trigger'!$C:$C,'Year 1 Results'!$Z120)&gt;SUMIF('Event Trigger'!$C:$C,$Z120,J:J),0,VLOOKUP($Z120,'Asset Master'!$A:$J,6,FALSE))</f>
        <v>0</v>
      </c>
      <c r="AH120" s="52">
        <f>IF(VLOOKUP($Z120,'Asset Master'!$A:$J,6,FALSE)*COUNTIF('Event Trigger'!$C:$C,'Year 1 Results'!$Z120)&gt;SUMIF('Event Trigger'!$C:$C,$Z120,K:K),0,VLOOKUP($Z120,'Asset Master'!$A:$J,6,FALSE))</f>
        <v>0</v>
      </c>
      <c r="AI120" s="52">
        <f>IF(VLOOKUP($Z120,'Asset Master'!$A:$J,6,FALSE)*COUNTIF('Event Trigger'!$C:$C,'Year 1 Results'!$Z120)&gt;SUMIF('Event Trigger'!$C:$C,$Z120,L:L),0,VLOOKUP($Z120,'Asset Master'!$A:$J,6,FALSE))</f>
        <v>0</v>
      </c>
      <c r="AJ120" s="52">
        <f>IF(VLOOKUP($Z120,'Asset Master'!$A:$J,6,FALSE)*COUNTIF('Event Trigger'!$C:$C,'Year 1 Results'!$Z120)&gt;SUMIF('Event Trigger'!$C:$C,$Z120,M:M),0,VLOOKUP($Z120,'Asset Master'!$A:$J,6,FALSE))</f>
        <v>0</v>
      </c>
    </row>
    <row r="121" spans="1:36" ht="25.5" x14ac:dyDescent="0.25">
      <c r="A121" s="37" t="str">
        <f>'Risk Master'!B121:B204&amp;"-"&amp;'Risk Master'!D121</f>
        <v>Thunderstorms, Tornados &amp; Hail-Calgary</v>
      </c>
      <c r="B121" s="37" t="str">
        <f>'Input Sheet year 2'!B122</f>
        <v>Thunderstorms, Tornados &amp; Hail-Calgary</v>
      </c>
      <c r="C121" s="29" t="str">
        <f>'Risk Master'!F121</f>
        <v>A64</v>
      </c>
      <c r="D121" s="73">
        <f>'Risk Master'!$G121*-1+('Risk Master'!$G121*'Event Trigger'!$D121*(1-'Input Sheet year 1'!H122))</f>
        <v>1000000</v>
      </c>
      <c r="E121" s="73">
        <f>'Risk Master'!$G121*-1+('Risk Master'!$G121*'Event Trigger'!$D121*(1-'Input Sheet year 2'!I122))</f>
        <v>1000000</v>
      </c>
      <c r="F121" s="73">
        <f>'Risk Master'!$G121*-1+('Risk Master'!$G121*'Event Trigger'!$D121*(1-'Input Sheet year 2'!J122))</f>
        <v>1000000</v>
      </c>
      <c r="G121" s="73">
        <f>'Risk Master'!$G121*-1+('Risk Master'!$G121*'Event Trigger'!$D121*(1-'Input Sheet year 2'!K122))</f>
        <v>1000000</v>
      </c>
      <c r="H121" s="73">
        <f>'Risk Master'!$G121*-1+('Risk Master'!$G121*'Event Trigger'!$D121*(1-'Input Sheet year 2'!L122))</f>
        <v>1000000</v>
      </c>
      <c r="I121" s="73">
        <f>'Risk Master'!$G121*-1+('Risk Master'!$G121*'Event Trigger'!$D121*(1-'Input Sheet year 2'!M122))</f>
        <v>1000000</v>
      </c>
      <c r="J121" s="73">
        <f>'Risk Master'!$G121*-1+('Risk Master'!$G121*'Event Trigger'!$D121*(1-'Input Sheet year 2'!N122))</f>
        <v>1000000</v>
      </c>
      <c r="K121" s="73">
        <f>'Risk Master'!$G121*-1+('Risk Master'!$G121*'Event Trigger'!$D121*(1-'Input Sheet year 2'!O122))</f>
        <v>1000000</v>
      </c>
      <c r="L121" s="73">
        <f>'Risk Master'!$G121*-1+('Risk Master'!$G121*'Event Trigger'!$D121*(1-'Input Sheet year 2'!P122))</f>
        <v>1000000</v>
      </c>
      <c r="M121" s="73">
        <f>'Risk Master'!$G121*-1+('Risk Master'!$G121*'Event Trigger'!$D121*(1-'Input Sheet year 2'!Q122))</f>
        <v>1000000</v>
      </c>
      <c r="N121" s="88"/>
      <c r="O121" s="88">
        <f t="shared" si="10"/>
        <v>-1000000</v>
      </c>
      <c r="P121" s="88">
        <f t="shared" si="11"/>
        <v>-1000000</v>
      </c>
      <c r="Q121" s="88">
        <f t="shared" si="12"/>
        <v>-1000000</v>
      </c>
      <c r="R121" s="88">
        <f t="shared" si="13"/>
        <v>-1000000</v>
      </c>
      <c r="S121" s="88">
        <f t="shared" si="14"/>
        <v>-1000000</v>
      </c>
      <c r="T121" s="88">
        <f t="shared" si="15"/>
        <v>-1000000</v>
      </c>
      <c r="U121" s="88">
        <f t="shared" si="16"/>
        <v>-1000000</v>
      </c>
      <c r="V121" s="88">
        <f t="shared" si="17"/>
        <v>-1000000</v>
      </c>
      <c r="W121" s="88">
        <f t="shared" si="18"/>
        <v>-1000000</v>
      </c>
      <c r="X121" s="88">
        <f t="shared" si="19"/>
        <v>-1000000</v>
      </c>
      <c r="Z121" s="51" t="s">
        <v>284</v>
      </c>
      <c r="AA121" s="52">
        <f>IF(VLOOKUP($Z121,'Asset Master'!$A:$J,6,FALSE)*COUNTIF('Event Trigger'!$C:$C,'Year 1 Results'!$Z121)&gt;SUMIF('Event Trigger'!$C:$C,$Z121,D:D),0,VLOOKUP($Z121,'Asset Master'!$A:$J,6,FALSE))</f>
        <v>0</v>
      </c>
      <c r="AB121" s="52">
        <f>IF(VLOOKUP($Z121,'Asset Master'!$A:$J,6,FALSE)*COUNTIF('Event Trigger'!$C:$C,'Year 1 Results'!$Z121)&gt;SUMIF('Event Trigger'!$C:$C,$Z121,E:E),0,VLOOKUP($Z121,'Asset Master'!$A:$J,6,FALSE))</f>
        <v>0</v>
      </c>
      <c r="AC121" s="52">
        <f>IF(VLOOKUP($Z121,'Asset Master'!$A:$J,6,FALSE)*COUNTIF('Event Trigger'!$C:$C,'Year 1 Results'!$Z121)&gt;SUMIF('Event Trigger'!$C:$C,$Z121,F:F),0,VLOOKUP($Z121,'Asset Master'!$A:$J,6,FALSE))</f>
        <v>0</v>
      </c>
      <c r="AD121" s="52">
        <f>IF(VLOOKUP($Z121,'Asset Master'!$A:$J,6,FALSE)*COUNTIF('Event Trigger'!$C:$C,'Year 1 Results'!$Z121)&gt;SUMIF('Event Trigger'!$C:$C,$Z121,G:G),0,VLOOKUP($Z121,'Asset Master'!$A:$J,6,FALSE))</f>
        <v>0</v>
      </c>
      <c r="AE121" s="52">
        <f>IF(VLOOKUP($Z121,'Asset Master'!$A:$J,6,FALSE)*COUNTIF('Event Trigger'!$C:$C,'Year 1 Results'!$Z121)&gt;SUMIF('Event Trigger'!$C:$C,$Z121,H:H),0,VLOOKUP($Z121,'Asset Master'!$A:$J,6,FALSE))</f>
        <v>0</v>
      </c>
      <c r="AF121" s="52">
        <f>IF(VLOOKUP($Z121,'Asset Master'!$A:$J,6,FALSE)*COUNTIF('Event Trigger'!$C:$C,'Year 1 Results'!$Z121)&gt;SUMIF('Event Trigger'!$C:$C,$Z121,I:I),0,VLOOKUP($Z121,'Asset Master'!$A:$J,6,FALSE))</f>
        <v>200000</v>
      </c>
      <c r="AG121" s="52">
        <f>IF(VLOOKUP($Z121,'Asset Master'!$A:$J,6,FALSE)*COUNTIF('Event Trigger'!$C:$C,'Year 1 Results'!$Z121)&gt;SUMIF('Event Trigger'!$C:$C,$Z121,J:J),0,VLOOKUP($Z121,'Asset Master'!$A:$J,6,FALSE))</f>
        <v>0</v>
      </c>
      <c r="AH121" s="52">
        <f>IF(VLOOKUP($Z121,'Asset Master'!$A:$J,6,FALSE)*COUNTIF('Event Trigger'!$C:$C,'Year 1 Results'!$Z121)&gt;SUMIF('Event Trigger'!$C:$C,$Z121,K:K),0,VLOOKUP($Z121,'Asset Master'!$A:$J,6,FALSE))</f>
        <v>0</v>
      </c>
      <c r="AI121" s="52">
        <f>IF(VLOOKUP($Z121,'Asset Master'!$A:$J,6,FALSE)*COUNTIF('Event Trigger'!$C:$C,'Year 1 Results'!$Z121)&gt;SUMIF('Event Trigger'!$C:$C,$Z121,L:L),0,VLOOKUP($Z121,'Asset Master'!$A:$J,6,FALSE))</f>
        <v>0</v>
      </c>
      <c r="AJ121" s="52">
        <f>IF(VLOOKUP($Z121,'Asset Master'!$A:$J,6,FALSE)*COUNTIF('Event Trigger'!$C:$C,'Year 1 Results'!$Z121)&gt;SUMIF('Event Trigger'!$C:$C,$Z121,M:M),0,VLOOKUP($Z121,'Asset Master'!$A:$J,6,FALSE))</f>
        <v>0</v>
      </c>
    </row>
    <row r="122" spans="1:36" x14ac:dyDescent="0.25">
      <c r="A122" s="37" t="str">
        <f>'Risk Master'!B122:B205&amp;"-"&amp;'Risk Master'!D122</f>
        <v>Hurricane-Typhoon -Calgary</v>
      </c>
      <c r="B122" s="37" t="str">
        <f>'Input Sheet year 2'!B123</f>
        <v>Hurricane-Typhoon -Calgary</v>
      </c>
      <c r="C122" s="29" t="str">
        <f>'Risk Master'!F122</f>
        <v>A64</v>
      </c>
      <c r="D122" s="73">
        <f>'Risk Master'!$G122*-1+('Risk Master'!$G122*'Event Trigger'!$D122*(1-'Input Sheet year 1'!H123))</f>
        <v>1000000</v>
      </c>
      <c r="E122" s="73">
        <f>'Risk Master'!$G122*-1+('Risk Master'!$G122*'Event Trigger'!$D122*(1-'Input Sheet year 2'!I123))</f>
        <v>1000000</v>
      </c>
      <c r="F122" s="73">
        <f>'Risk Master'!$G122*-1+('Risk Master'!$G122*'Event Trigger'!$D122*(1-'Input Sheet year 2'!J123))</f>
        <v>1000000</v>
      </c>
      <c r="G122" s="73">
        <f>'Risk Master'!$G122*-1+('Risk Master'!$G122*'Event Trigger'!$D122*(1-'Input Sheet year 2'!K123))</f>
        <v>1000000</v>
      </c>
      <c r="H122" s="73">
        <f>'Risk Master'!$G122*-1+('Risk Master'!$G122*'Event Trigger'!$D122*(1-'Input Sheet year 2'!L123))</f>
        <v>1000000</v>
      </c>
      <c r="I122" s="73">
        <f>'Risk Master'!$G122*-1+('Risk Master'!$G122*'Event Trigger'!$D122*(1-'Input Sheet year 2'!M123))</f>
        <v>1000000</v>
      </c>
      <c r="J122" s="73">
        <f>'Risk Master'!$G122*-1+('Risk Master'!$G122*'Event Trigger'!$D122*(1-'Input Sheet year 2'!N123))</f>
        <v>1000000</v>
      </c>
      <c r="K122" s="73">
        <f>'Risk Master'!$G122*-1+('Risk Master'!$G122*'Event Trigger'!$D122*(1-'Input Sheet year 2'!O123))</f>
        <v>1000000</v>
      </c>
      <c r="L122" s="73">
        <f>'Risk Master'!$G122*-1+('Risk Master'!$G122*'Event Trigger'!$D122*(1-'Input Sheet year 2'!P123))</f>
        <v>1000000</v>
      </c>
      <c r="M122" s="73">
        <f>'Risk Master'!$G122*-1+('Risk Master'!$G122*'Event Trigger'!$D122*(1-'Input Sheet year 2'!Q123))</f>
        <v>1000000</v>
      </c>
      <c r="N122" s="88"/>
      <c r="O122" s="88">
        <f t="shared" si="10"/>
        <v>-1000000</v>
      </c>
      <c r="P122" s="88">
        <f t="shared" si="11"/>
        <v>-1000000</v>
      </c>
      <c r="Q122" s="88">
        <f t="shared" si="12"/>
        <v>-1000000</v>
      </c>
      <c r="R122" s="88">
        <f t="shared" si="13"/>
        <v>-1000000</v>
      </c>
      <c r="S122" s="88">
        <f t="shared" si="14"/>
        <v>-1000000</v>
      </c>
      <c r="T122" s="88">
        <f t="shared" si="15"/>
        <v>-1000000</v>
      </c>
      <c r="U122" s="88">
        <f t="shared" si="16"/>
        <v>-1000000</v>
      </c>
      <c r="V122" s="88">
        <f t="shared" si="17"/>
        <v>-1000000</v>
      </c>
      <c r="W122" s="88">
        <f t="shared" si="18"/>
        <v>-1000000</v>
      </c>
      <c r="X122" s="88">
        <f t="shared" si="19"/>
        <v>-1000000</v>
      </c>
      <c r="Z122" s="51" t="s">
        <v>285</v>
      </c>
      <c r="AA122" s="52">
        <f>IF(VLOOKUP($Z122,'Asset Master'!$A:$J,6,FALSE)*COUNTIF('Event Trigger'!$C:$C,'Year 1 Results'!$Z122)&gt;SUMIF('Event Trigger'!$C:$C,$Z122,D:D),0,VLOOKUP($Z122,'Asset Master'!$A:$J,6,FALSE))</f>
        <v>0</v>
      </c>
      <c r="AB122" s="52">
        <f>IF(VLOOKUP($Z122,'Asset Master'!$A:$J,6,FALSE)*COUNTIF('Event Trigger'!$C:$C,'Year 1 Results'!$Z122)&gt;SUMIF('Event Trigger'!$C:$C,$Z122,E:E),0,VLOOKUP($Z122,'Asset Master'!$A:$J,6,FALSE))</f>
        <v>0</v>
      </c>
      <c r="AC122" s="52">
        <f>IF(VLOOKUP($Z122,'Asset Master'!$A:$J,6,FALSE)*COUNTIF('Event Trigger'!$C:$C,'Year 1 Results'!$Z122)&gt;SUMIF('Event Trigger'!$C:$C,$Z122,F:F),0,VLOOKUP($Z122,'Asset Master'!$A:$J,6,FALSE))</f>
        <v>0</v>
      </c>
      <c r="AD122" s="52">
        <f>IF(VLOOKUP($Z122,'Asset Master'!$A:$J,6,FALSE)*COUNTIF('Event Trigger'!$C:$C,'Year 1 Results'!$Z122)&gt;SUMIF('Event Trigger'!$C:$C,$Z122,G:G),0,VLOOKUP($Z122,'Asset Master'!$A:$J,6,FALSE))</f>
        <v>0</v>
      </c>
      <c r="AE122" s="52">
        <f>IF(VLOOKUP($Z122,'Asset Master'!$A:$J,6,FALSE)*COUNTIF('Event Trigger'!$C:$C,'Year 1 Results'!$Z122)&gt;SUMIF('Event Trigger'!$C:$C,$Z122,H:H),0,VLOOKUP($Z122,'Asset Master'!$A:$J,6,FALSE))</f>
        <v>0</v>
      </c>
      <c r="AF122" s="52">
        <f>IF(VLOOKUP($Z122,'Asset Master'!$A:$J,6,FALSE)*COUNTIF('Event Trigger'!$C:$C,'Year 1 Results'!$Z122)&gt;SUMIF('Event Trigger'!$C:$C,$Z122,I:I),0,VLOOKUP($Z122,'Asset Master'!$A:$J,6,FALSE))</f>
        <v>0</v>
      </c>
      <c r="AG122" s="52">
        <f>IF(VLOOKUP($Z122,'Asset Master'!$A:$J,6,FALSE)*COUNTIF('Event Trigger'!$C:$C,'Year 1 Results'!$Z122)&gt;SUMIF('Event Trigger'!$C:$C,$Z122,J:J),0,VLOOKUP($Z122,'Asset Master'!$A:$J,6,FALSE))</f>
        <v>0</v>
      </c>
      <c r="AH122" s="52">
        <f>IF(VLOOKUP($Z122,'Asset Master'!$A:$J,6,FALSE)*COUNTIF('Event Trigger'!$C:$C,'Year 1 Results'!$Z122)&gt;SUMIF('Event Trigger'!$C:$C,$Z122,K:K),0,VLOOKUP($Z122,'Asset Master'!$A:$J,6,FALSE))</f>
        <v>0</v>
      </c>
      <c r="AI122" s="52">
        <f>IF(VLOOKUP($Z122,'Asset Master'!$A:$J,6,FALSE)*COUNTIF('Event Trigger'!$C:$C,'Year 1 Results'!$Z122)&gt;SUMIF('Event Trigger'!$C:$C,$Z122,L:L),0,VLOOKUP($Z122,'Asset Master'!$A:$J,6,FALSE))</f>
        <v>0</v>
      </c>
      <c r="AJ122" s="52">
        <f>IF(VLOOKUP($Z122,'Asset Master'!$A:$J,6,FALSE)*COUNTIF('Event Trigger'!$C:$C,'Year 1 Results'!$Z122)&gt;SUMIF('Event Trigger'!$C:$C,$Z122,M:M),0,VLOOKUP($Z122,'Asset Master'!$A:$J,6,FALSE))</f>
        <v>0</v>
      </c>
    </row>
    <row r="123" spans="1:36" x14ac:dyDescent="0.25">
      <c r="A123" s="37" t="str">
        <f>'Risk Master'!B123:B206&amp;"-"&amp;'Risk Master'!D123</f>
        <v>Earthquake-Calgary</v>
      </c>
      <c r="B123" s="37" t="str">
        <f>'Input Sheet year 2'!B124</f>
        <v>Earthquake-Calgary</v>
      </c>
      <c r="C123" s="29" t="str">
        <f>'Risk Master'!F123</f>
        <v>A64</v>
      </c>
      <c r="D123" s="73">
        <f>'Risk Master'!$G123*-1+('Risk Master'!$G123*'Event Trigger'!$D123*(1-'Input Sheet year 1'!H124))</f>
        <v>1000000</v>
      </c>
      <c r="E123" s="73">
        <f>'Risk Master'!$G123*-1+('Risk Master'!$G123*'Event Trigger'!$D123*(1-'Input Sheet year 2'!I124))</f>
        <v>1000000</v>
      </c>
      <c r="F123" s="73">
        <f>'Risk Master'!$G123*-1+('Risk Master'!$G123*'Event Trigger'!$D123*(1-'Input Sheet year 2'!J124))</f>
        <v>1000000</v>
      </c>
      <c r="G123" s="73">
        <f>'Risk Master'!$G123*-1+('Risk Master'!$G123*'Event Trigger'!$D123*(1-'Input Sheet year 2'!K124))</f>
        <v>1000000</v>
      </c>
      <c r="H123" s="73">
        <f>'Risk Master'!$G123*-1+('Risk Master'!$G123*'Event Trigger'!$D123*(1-'Input Sheet year 2'!L124))</f>
        <v>1000000</v>
      </c>
      <c r="I123" s="73">
        <f>'Risk Master'!$G123*-1+('Risk Master'!$G123*'Event Trigger'!$D123*(1-'Input Sheet year 2'!M124))</f>
        <v>1000000</v>
      </c>
      <c r="J123" s="73">
        <f>'Risk Master'!$G123*-1+('Risk Master'!$G123*'Event Trigger'!$D123*(1-'Input Sheet year 2'!N124))</f>
        <v>1000000</v>
      </c>
      <c r="K123" s="73">
        <f>'Risk Master'!$G123*-1+('Risk Master'!$G123*'Event Trigger'!$D123*(1-'Input Sheet year 2'!O124))</f>
        <v>1000000</v>
      </c>
      <c r="L123" s="73">
        <f>'Risk Master'!$G123*-1+('Risk Master'!$G123*'Event Trigger'!$D123*(1-'Input Sheet year 2'!P124))</f>
        <v>1000000</v>
      </c>
      <c r="M123" s="73">
        <f>'Risk Master'!$G123*-1+('Risk Master'!$G123*'Event Trigger'!$D123*(1-'Input Sheet year 2'!Q124))</f>
        <v>1000000</v>
      </c>
      <c r="N123" s="88"/>
      <c r="O123" s="88">
        <f t="shared" si="10"/>
        <v>-1000000</v>
      </c>
      <c r="P123" s="88">
        <f t="shared" si="11"/>
        <v>-1000000</v>
      </c>
      <c r="Q123" s="88">
        <f t="shared" si="12"/>
        <v>-1000000</v>
      </c>
      <c r="R123" s="88">
        <f t="shared" si="13"/>
        <v>-1000000</v>
      </c>
      <c r="S123" s="88">
        <f t="shared" si="14"/>
        <v>-1000000</v>
      </c>
      <c r="T123" s="88">
        <f t="shared" si="15"/>
        <v>-1000000</v>
      </c>
      <c r="U123" s="88">
        <f t="shared" si="16"/>
        <v>-1000000</v>
      </c>
      <c r="V123" s="88">
        <f t="shared" si="17"/>
        <v>-1000000</v>
      </c>
      <c r="W123" s="88">
        <f t="shared" si="18"/>
        <v>-1000000</v>
      </c>
      <c r="X123" s="88">
        <f t="shared" si="19"/>
        <v>-1000000</v>
      </c>
      <c r="Z123" s="51" t="s">
        <v>286</v>
      </c>
      <c r="AA123" s="52">
        <f>IF(VLOOKUP($Z123,'Asset Master'!$A:$J,6,FALSE)*COUNTIF('Event Trigger'!$C:$C,'Year 1 Results'!$Z123)&gt;SUMIF('Event Trigger'!$C:$C,$Z123,D:D),0,VLOOKUP($Z123,'Asset Master'!$A:$J,6,FALSE))</f>
        <v>0</v>
      </c>
      <c r="AB123" s="52">
        <f>IF(VLOOKUP($Z123,'Asset Master'!$A:$J,6,FALSE)*COUNTIF('Event Trigger'!$C:$C,'Year 1 Results'!$Z123)&gt;SUMIF('Event Trigger'!$C:$C,$Z123,E:E),0,VLOOKUP($Z123,'Asset Master'!$A:$J,6,FALSE))</f>
        <v>0</v>
      </c>
      <c r="AC123" s="52">
        <f>IF(VLOOKUP($Z123,'Asset Master'!$A:$J,6,FALSE)*COUNTIF('Event Trigger'!$C:$C,'Year 1 Results'!$Z123)&gt;SUMIF('Event Trigger'!$C:$C,$Z123,F:F),0,VLOOKUP($Z123,'Asset Master'!$A:$J,6,FALSE))</f>
        <v>0</v>
      </c>
      <c r="AD123" s="52">
        <f>IF(VLOOKUP($Z123,'Asset Master'!$A:$J,6,FALSE)*COUNTIF('Event Trigger'!$C:$C,'Year 1 Results'!$Z123)&gt;SUMIF('Event Trigger'!$C:$C,$Z123,G:G),0,VLOOKUP($Z123,'Asset Master'!$A:$J,6,FALSE))</f>
        <v>0</v>
      </c>
      <c r="AE123" s="52">
        <f>IF(VLOOKUP($Z123,'Asset Master'!$A:$J,6,FALSE)*COUNTIF('Event Trigger'!$C:$C,'Year 1 Results'!$Z123)&gt;SUMIF('Event Trigger'!$C:$C,$Z123,H:H),0,VLOOKUP($Z123,'Asset Master'!$A:$J,6,FALSE))</f>
        <v>0</v>
      </c>
      <c r="AF123" s="52">
        <f>IF(VLOOKUP($Z123,'Asset Master'!$A:$J,6,FALSE)*COUNTIF('Event Trigger'!$C:$C,'Year 1 Results'!$Z123)&gt;SUMIF('Event Trigger'!$C:$C,$Z123,I:I),0,VLOOKUP($Z123,'Asset Master'!$A:$J,6,FALSE))</f>
        <v>0</v>
      </c>
      <c r="AG123" s="52">
        <f>IF(VLOOKUP($Z123,'Asset Master'!$A:$J,6,FALSE)*COUNTIF('Event Trigger'!$C:$C,'Year 1 Results'!$Z123)&gt;SUMIF('Event Trigger'!$C:$C,$Z123,J:J),0,VLOOKUP($Z123,'Asset Master'!$A:$J,6,FALSE))</f>
        <v>0</v>
      </c>
      <c r="AH123" s="52">
        <f>IF(VLOOKUP($Z123,'Asset Master'!$A:$J,6,FALSE)*COUNTIF('Event Trigger'!$C:$C,'Year 1 Results'!$Z123)&gt;SUMIF('Event Trigger'!$C:$C,$Z123,K:K),0,VLOOKUP($Z123,'Asset Master'!$A:$J,6,FALSE))</f>
        <v>0</v>
      </c>
      <c r="AI123" s="52">
        <f>IF(VLOOKUP($Z123,'Asset Master'!$A:$J,6,FALSE)*COUNTIF('Event Trigger'!$C:$C,'Year 1 Results'!$Z123)&gt;SUMIF('Event Trigger'!$C:$C,$Z123,L:L),0,VLOOKUP($Z123,'Asset Master'!$A:$J,6,FALSE))</f>
        <v>0</v>
      </c>
      <c r="AJ123" s="52">
        <f>IF(VLOOKUP($Z123,'Asset Master'!$A:$J,6,FALSE)*COUNTIF('Event Trigger'!$C:$C,'Year 1 Results'!$Z123)&gt;SUMIF('Event Trigger'!$C:$C,$Z123,M:M),0,VLOOKUP($Z123,'Asset Master'!$A:$J,6,FALSE))</f>
        <v>0</v>
      </c>
    </row>
    <row r="124" spans="1:36" ht="25.5" x14ac:dyDescent="0.25">
      <c r="A124" s="37" t="str">
        <f>'Risk Master'!B124:B207&amp;"-"&amp;'Risk Master'!D124</f>
        <v>Thunderstorms, Tornados &amp; Hail-Calgary</v>
      </c>
      <c r="B124" s="37" t="str">
        <f>'Input Sheet year 2'!B125</f>
        <v>Thunderstorms, Tornados &amp; Hail-Calgary</v>
      </c>
      <c r="C124" s="29" t="str">
        <f>'Risk Master'!F124</f>
        <v>A67</v>
      </c>
      <c r="D124" s="73">
        <f>'Risk Master'!$G124*-1+('Risk Master'!$G124*'Event Trigger'!$D124*(1-'Input Sheet year 1'!H125))</f>
        <v>1100000</v>
      </c>
      <c r="E124" s="73">
        <f>'Risk Master'!$G124*-1+('Risk Master'!$G124*'Event Trigger'!$D124*(1-'Input Sheet year 2'!I125))</f>
        <v>1100000</v>
      </c>
      <c r="F124" s="73">
        <f>'Risk Master'!$G124*-1+('Risk Master'!$G124*'Event Trigger'!$D124*(1-'Input Sheet year 2'!J125))</f>
        <v>1100000</v>
      </c>
      <c r="G124" s="73">
        <f>'Risk Master'!$G124*-1+('Risk Master'!$G124*'Event Trigger'!$D124*(1-'Input Sheet year 2'!K125))</f>
        <v>1100000</v>
      </c>
      <c r="H124" s="73">
        <f>'Risk Master'!$G124*-1+('Risk Master'!$G124*'Event Trigger'!$D124*(1-'Input Sheet year 2'!L125))</f>
        <v>1100000</v>
      </c>
      <c r="I124" s="73">
        <f>'Risk Master'!$G124*-1+('Risk Master'!$G124*'Event Trigger'!$D124*(1-'Input Sheet year 2'!M125))</f>
        <v>1100000</v>
      </c>
      <c r="J124" s="73">
        <f>'Risk Master'!$G124*-1+('Risk Master'!$G124*'Event Trigger'!$D124*(1-'Input Sheet year 2'!N125))</f>
        <v>1100000</v>
      </c>
      <c r="K124" s="73">
        <f>'Risk Master'!$G124*-1+('Risk Master'!$G124*'Event Trigger'!$D124*(1-'Input Sheet year 2'!O125))</f>
        <v>1100000</v>
      </c>
      <c r="L124" s="73">
        <f>'Risk Master'!$G124*-1+('Risk Master'!$G124*'Event Trigger'!$D124*(1-'Input Sheet year 2'!P125))</f>
        <v>1100000</v>
      </c>
      <c r="M124" s="73">
        <f>'Risk Master'!$G124*-1+('Risk Master'!$G124*'Event Trigger'!$D124*(1-'Input Sheet year 2'!Q125))</f>
        <v>1100000</v>
      </c>
      <c r="N124" s="88"/>
      <c r="O124" s="88">
        <f t="shared" si="10"/>
        <v>-1100000</v>
      </c>
      <c r="P124" s="88">
        <f t="shared" si="11"/>
        <v>-1100000</v>
      </c>
      <c r="Q124" s="88">
        <f t="shared" si="12"/>
        <v>-1100000</v>
      </c>
      <c r="R124" s="88">
        <f t="shared" si="13"/>
        <v>-1100000</v>
      </c>
      <c r="S124" s="88">
        <f t="shared" si="14"/>
        <v>-1100000</v>
      </c>
      <c r="T124" s="88">
        <f t="shared" si="15"/>
        <v>-1100000</v>
      </c>
      <c r="U124" s="88">
        <f t="shared" si="16"/>
        <v>-1100000</v>
      </c>
      <c r="V124" s="88">
        <f t="shared" si="17"/>
        <v>-1100000</v>
      </c>
      <c r="W124" s="88">
        <f t="shared" si="18"/>
        <v>-1100000</v>
      </c>
      <c r="X124" s="88">
        <f t="shared" si="19"/>
        <v>-1100000</v>
      </c>
      <c r="Z124" s="51" t="s">
        <v>287</v>
      </c>
      <c r="AA124" s="52">
        <f>IF(VLOOKUP($Z124,'Asset Master'!$A:$J,6,FALSE)*COUNTIF('Event Trigger'!$C:$C,'Year 1 Results'!$Z124)&gt;SUMIF('Event Trigger'!$C:$C,$Z124,D:D),0,VLOOKUP($Z124,'Asset Master'!$A:$J,6,FALSE))</f>
        <v>0</v>
      </c>
      <c r="AB124" s="52">
        <f>IF(VLOOKUP($Z124,'Asset Master'!$A:$J,6,FALSE)*COUNTIF('Event Trigger'!$C:$C,'Year 1 Results'!$Z124)&gt;SUMIF('Event Trigger'!$C:$C,$Z124,E:E),0,VLOOKUP($Z124,'Asset Master'!$A:$J,6,FALSE))</f>
        <v>0</v>
      </c>
      <c r="AC124" s="52">
        <f>IF(VLOOKUP($Z124,'Asset Master'!$A:$J,6,FALSE)*COUNTIF('Event Trigger'!$C:$C,'Year 1 Results'!$Z124)&gt;SUMIF('Event Trigger'!$C:$C,$Z124,F:F),0,VLOOKUP($Z124,'Asset Master'!$A:$J,6,FALSE))</f>
        <v>0</v>
      </c>
      <c r="AD124" s="52">
        <f>IF(VLOOKUP($Z124,'Asset Master'!$A:$J,6,FALSE)*COUNTIF('Event Trigger'!$C:$C,'Year 1 Results'!$Z124)&gt;SUMIF('Event Trigger'!$C:$C,$Z124,G:G),0,VLOOKUP($Z124,'Asset Master'!$A:$J,6,FALSE))</f>
        <v>0</v>
      </c>
      <c r="AE124" s="52">
        <f>IF(VLOOKUP($Z124,'Asset Master'!$A:$J,6,FALSE)*COUNTIF('Event Trigger'!$C:$C,'Year 1 Results'!$Z124)&gt;SUMIF('Event Trigger'!$C:$C,$Z124,H:H),0,VLOOKUP($Z124,'Asset Master'!$A:$J,6,FALSE))</f>
        <v>0</v>
      </c>
      <c r="AF124" s="52">
        <f>IF(VLOOKUP($Z124,'Asset Master'!$A:$J,6,FALSE)*COUNTIF('Event Trigger'!$C:$C,'Year 1 Results'!$Z124)&gt;SUMIF('Event Trigger'!$C:$C,$Z124,I:I),0,VLOOKUP($Z124,'Asset Master'!$A:$J,6,FALSE))</f>
        <v>0</v>
      </c>
      <c r="AG124" s="52">
        <f>IF(VLOOKUP($Z124,'Asset Master'!$A:$J,6,FALSE)*COUNTIF('Event Trigger'!$C:$C,'Year 1 Results'!$Z124)&gt;SUMIF('Event Trigger'!$C:$C,$Z124,J:J),0,VLOOKUP($Z124,'Asset Master'!$A:$J,6,FALSE))</f>
        <v>0</v>
      </c>
      <c r="AH124" s="52">
        <f>IF(VLOOKUP($Z124,'Asset Master'!$A:$J,6,FALSE)*COUNTIF('Event Trigger'!$C:$C,'Year 1 Results'!$Z124)&gt;SUMIF('Event Trigger'!$C:$C,$Z124,K:K),0,VLOOKUP($Z124,'Asset Master'!$A:$J,6,FALSE))</f>
        <v>0</v>
      </c>
      <c r="AI124" s="52">
        <f>IF(VLOOKUP($Z124,'Asset Master'!$A:$J,6,FALSE)*COUNTIF('Event Trigger'!$C:$C,'Year 1 Results'!$Z124)&gt;SUMIF('Event Trigger'!$C:$C,$Z124,L:L),0,VLOOKUP($Z124,'Asset Master'!$A:$J,6,FALSE))</f>
        <v>0</v>
      </c>
      <c r="AJ124" s="52">
        <f>IF(VLOOKUP($Z124,'Asset Master'!$A:$J,6,FALSE)*COUNTIF('Event Trigger'!$C:$C,'Year 1 Results'!$Z124)&gt;SUMIF('Event Trigger'!$C:$C,$Z124,M:M),0,VLOOKUP($Z124,'Asset Master'!$A:$J,6,FALSE))</f>
        <v>0</v>
      </c>
    </row>
    <row r="125" spans="1:36" x14ac:dyDescent="0.25">
      <c r="A125" s="37" t="str">
        <f>'Risk Master'!B125:B208&amp;"-"&amp;'Risk Master'!D125</f>
        <v>Hurricane-Typhoon -Calgary</v>
      </c>
      <c r="B125" s="37" t="str">
        <f>'Input Sheet year 2'!B126</f>
        <v>Hurricane-Typhoon -Calgary</v>
      </c>
      <c r="C125" s="29" t="str">
        <f>'Risk Master'!F125</f>
        <v>A68</v>
      </c>
      <c r="D125" s="73">
        <f>'Risk Master'!$G125*-1+('Risk Master'!$G125*'Event Trigger'!$D125*(1-'Input Sheet year 1'!H126))</f>
        <v>300000</v>
      </c>
      <c r="E125" s="73">
        <f>'Risk Master'!$G125*-1+('Risk Master'!$G125*'Event Trigger'!$D125*(1-'Input Sheet year 2'!I126))</f>
        <v>300000</v>
      </c>
      <c r="F125" s="73">
        <f>'Risk Master'!$G125*-1+('Risk Master'!$G125*'Event Trigger'!$D125*(1-'Input Sheet year 2'!J126))</f>
        <v>300000</v>
      </c>
      <c r="G125" s="73">
        <f>'Risk Master'!$G125*-1+('Risk Master'!$G125*'Event Trigger'!$D125*(1-'Input Sheet year 2'!K126))</f>
        <v>300000</v>
      </c>
      <c r="H125" s="73">
        <f>'Risk Master'!$G125*-1+('Risk Master'!$G125*'Event Trigger'!$D125*(1-'Input Sheet year 2'!L126))</f>
        <v>300000</v>
      </c>
      <c r="I125" s="73">
        <f>'Risk Master'!$G125*-1+('Risk Master'!$G125*'Event Trigger'!$D125*(1-'Input Sheet year 2'!M126))</f>
        <v>300000</v>
      </c>
      <c r="J125" s="73">
        <f>'Risk Master'!$G125*-1+('Risk Master'!$G125*'Event Trigger'!$D125*(1-'Input Sheet year 2'!N126))</f>
        <v>300000</v>
      </c>
      <c r="K125" s="73">
        <f>'Risk Master'!$G125*-1+('Risk Master'!$G125*'Event Trigger'!$D125*(1-'Input Sheet year 2'!O126))</f>
        <v>300000</v>
      </c>
      <c r="L125" s="73">
        <f>'Risk Master'!$G125*-1+('Risk Master'!$G125*'Event Trigger'!$D125*(1-'Input Sheet year 2'!P126))</f>
        <v>300000</v>
      </c>
      <c r="M125" s="73">
        <f>'Risk Master'!$G125*-1+('Risk Master'!$G125*'Event Trigger'!$D125*(1-'Input Sheet year 2'!Q126))</f>
        <v>300000</v>
      </c>
      <c r="N125" s="88"/>
      <c r="O125" s="88">
        <f t="shared" si="10"/>
        <v>-300000</v>
      </c>
      <c r="P125" s="88">
        <f t="shared" si="11"/>
        <v>-300000</v>
      </c>
      <c r="Q125" s="88">
        <f t="shared" si="12"/>
        <v>-300000</v>
      </c>
      <c r="R125" s="88">
        <f t="shared" si="13"/>
        <v>-300000</v>
      </c>
      <c r="S125" s="88">
        <f t="shared" si="14"/>
        <v>-300000</v>
      </c>
      <c r="T125" s="88">
        <f t="shared" si="15"/>
        <v>-300000</v>
      </c>
      <c r="U125" s="88">
        <f t="shared" si="16"/>
        <v>-300000</v>
      </c>
      <c r="V125" s="88">
        <f t="shared" si="17"/>
        <v>-300000</v>
      </c>
      <c r="W125" s="88">
        <f t="shared" si="18"/>
        <v>-300000</v>
      </c>
      <c r="X125" s="88">
        <f t="shared" si="19"/>
        <v>-300000</v>
      </c>
      <c r="Z125" s="51" t="s">
        <v>288</v>
      </c>
      <c r="AA125" s="52">
        <f>IF(VLOOKUP($Z125,'Asset Master'!$A:$J,6,FALSE)*COUNTIF('Event Trigger'!$C:$C,'Year 1 Results'!$Z125)&gt;SUMIF('Event Trigger'!$C:$C,$Z125,D:D),0,VLOOKUP($Z125,'Asset Master'!$A:$J,6,FALSE))</f>
        <v>1200000</v>
      </c>
      <c r="AB125" s="52">
        <f>IF(VLOOKUP($Z125,'Asset Master'!$A:$J,6,FALSE)*COUNTIF('Event Trigger'!$C:$C,'Year 1 Results'!$Z125)&gt;SUMIF('Event Trigger'!$C:$C,$Z125,E:E),0,VLOOKUP($Z125,'Asset Master'!$A:$J,6,FALSE))</f>
        <v>1200000</v>
      </c>
      <c r="AC125" s="52">
        <f>IF(VLOOKUP($Z125,'Asset Master'!$A:$J,6,FALSE)*COUNTIF('Event Trigger'!$C:$C,'Year 1 Results'!$Z125)&gt;SUMIF('Event Trigger'!$C:$C,$Z125,F:F),0,VLOOKUP($Z125,'Asset Master'!$A:$J,6,FALSE))</f>
        <v>1200000</v>
      </c>
      <c r="AD125" s="52">
        <f>IF(VLOOKUP($Z125,'Asset Master'!$A:$J,6,FALSE)*COUNTIF('Event Trigger'!$C:$C,'Year 1 Results'!$Z125)&gt;SUMIF('Event Trigger'!$C:$C,$Z125,G:G),0,VLOOKUP($Z125,'Asset Master'!$A:$J,6,FALSE))</f>
        <v>1200000</v>
      </c>
      <c r="AE125" s="52">
        <f>IF(VLOOKUP($Z125,'Asset Master'!$A:$J,6,FALSE)*COUNTIF('Event Trigger'!$C:$C,'Year 1 Results'!$Z125)&gt;SUMIF('Event Trigger'!$C:$C,$Z125,H:H),0,VLOOKUP($Z125,'Asset Master'!$A:$J,6,FALSE))</f>
        <v>1200000</v>
      </c>
      <c r="AF125" s="52">
        <f>IF(VLOOKUP($Z125,'Asset Master'!$A:$J,6,FALSE)*COUNTIF('Event Trigger'!$C:$C,'Year 1 Results'!$Z125)&gt;SUMIF('Event Trigger'!$C:$C,$Z125,I:I),0,VLOOKUP($Z125,'Asset Master'!$A:$J,6,FALSE))</f>
        <v>1200000</v>
      </c>
      <c r="AG125" s="52">
        <f>IF(VLOOKUP($Z125,'Asset Master'!$A:$J,6,FALSE)*COUNTIF('Event Trigger'!$C:$C,'Year 1 Results'!$Z125)&gt;SUMIF('Event Trigger'!$C:$C,$Z125,J:J),0,VLOOKUP($Z125,'Asset Master'!$A:$J,6,FALSE))</f>
        <v>1200000</v>
      </c>
      <c r="AH125" s="52">
        <f>IF(VLOOKUP($Z125,'Asset Master'!$A:$J,6,FALSE)*COUNTIF('Event Trigger'!$C:$C,'Year 1 Results'!$Z125)&gt;SUMIF('Event Trigger'!$C:$C,$Z125,K:K),0,VLOOKUP($Z125,'Asset Master'!$A:$J,6,FALSE))</f>
        <v>1200000</v>
      </c>
      <c r="AI125" s="52">
        <f>IF(VLOOKUP($Z125,'Asset Master'!$A:$J,6,FALSE)*COUNTIF('Event Trigger'!$C:$C,'Year 1 Results'!$Z125)&gt;SUMIF('Event Trigger'!$C:$C,$Z125,L:L),0,VLOOKUP($Z125,'Asset Master'!$A:$J,6,FALSE))</f>
        <v>1200000</v>
      </c>
      <c r="AJ125" s="52">
        <f>IF(VLOOKUP($Z125,'Asset Master'!$A:$J,6,FALSE)*COUNTIF('Event Trigger'!$C:$C,'Year 1 Results'!$Z125)&gt;SUMIF('Event Trigger'!$C:$C,$Z125,M:M),0,VLOOKUP($Z125,'Asset Master'!$A:$J,6,FALSE))</f>
        <v>1200000</v>
      </c>
    </row>
    <row r="126" spans="1:36" x14ac:dyDescent="0.25">
      <c r="A126" s="37" t="str">
        <f>'Risk Master'!B126:B209&amp;"-"&amp;'Risk Master'!D126</f>
        <v>Earthquake-Calgary</v>
      </c>
      <c r="B126" s="37" t="str">
        <f>'Input Sheet year 2'!B127</f>
        <v>Earthquake-Calgary</v>
      </c>
      <c r="C126" s="29" t="str">
        <f>'Risk Master'!F126</f>
        <v>A69</v>
      </c>
      <c r="D126" s="73">
        <f>'Risk Master'!$G126*-1+('Risk Master'!$G126*'Event Trigger'!$D126*(1-'Input Sheet year 1'!H127))</f>
        <v>300000</v>
      </c>
      <c r="E126" s="73">
        <f>'Risk Master'!$G126*-1+('Risk Master'!$G126*'Event Trigger'!$D126*(1-'Input Sheet year 2'!I127))</f>
        <v>300000</v>
      </c>
      <c r="F126" s="73">
        <f>'Risk Master'!$G126*-1+('Risk Master'!$G126*'Event Trigger'!$D126*(1-'Input Sheet year 2'!J127))</f>
        <v>300000</v>
      </c>
      <c r="G126" s="73">
        <f>'Risk Master'!$G126*-1+('Risk Master'!$G126*'Event Trigger'!$D126*(1-'Input Sheet year 2'!K127))</f>
        <v>300000</v>
      </c>
      <c r="H126" s="73">
        <f>'Risk Master'!$G126*-1+('Risk Master'!$G126*'Event Trigger'!$D126*(1-'Input Sheet year 2'!L127))</f>
        <v>300000</v>
      </c>
      <c r="I126" s="73">
        <f>'Risk Master'!$G126*-1+('Risk Master'!$G126*'Event Trigger'!$D126*(1-'Input Sheet year 2'!M127))</f>
        <v>300000</v>
      </c>
      <c r="J126" s="73">
        <f>'Risk Master'!$G126*-1+('Risk Master'!$G126*'Event Trigger'!$D126*(1-'Input Sheet year 2'!N127))</f>
        <v>300000</v>
      </c>
      <c r="K126" s="73">
        <f>'Risk Master'!$G126*-1+('Risk Master'!$G126*'Event Trigger'!$D126*(1-'Input Sheet year 2'!O127))</f>
        <v>300000</v>
      </c>
      <c r="L126" s="73">
        <f>'Risk Master'!$G126*-1+('Risk Master'!$G126*'Event Trigger'!$D126*(1-'Input Sheet year 2'!P127))</f>
        <v>300000</v>
      </c>
      <c r="M126" s="73">
        <f>'Risk Master'!$G126*-1+('Risk Master'!$G126*'Event Trigger'!$D126*(1-'Input Sheet year 2'!Q127))</f>
        <v>300000</v>
      </c>
      <c r="N126" s="88"/>
      <c r="O126" s="88">
        <f t="shared" si="10"/>
        <v>-300000</v>
      </c>
      <c r="P126" s="88">
        <f t="shared" si="11"/>
        <v>-300000</v>
      </c>
      <c r="Q126" s="88">
        <f t="shared" si="12"/>
        <v>-300000</v>
      </c>
      <c r="R126" s="88">
        <f t="shared" si="13"/>
        <v>-300000</v>
      </c>
      <c r="S126" s="88">
        <f t="shared" si="14"/>
        <v>-300000</v>
      </c>
      <c r="T126" s="88">
        <f t="shared" si="15"/>
        <v>-300000</v>
      </c>
      <c r="U126" s="88">
        <f t="shared" si="16"/>
        <v>-300000</v>
      </c>
      <c r="V126" s="88">
        <f t="shared" si="17"/>
        <v>-300000</v>
      </c>
      <c r="W126" s="88">
        <f t="shared" si="18"/>
        <v>-300000</v>
      </c>
      <c r="X126" s="88">
        <f t="shared" si="19"/>
        <v>-300000</v>
      </c>
      <c r="Z126" s="51" t="s">
        <v>289</v>
      </c>
      <c r="AA126" s="52">
        <f>IF(VLOOKUP($Z126,'Asset Master'!$A:$J,6,FALSE)*COUNTIF('Event Trigger'!$C:$C,'Year 1 Results'!$Z126)&gt;SUMIF('Event Trigger'!$C:$C,$Z126,D:D),0,VLOOKUP($Z126,'Asset Master'!$A:$J,6,FALSE))</f>
        <v>300000</v>
      </c>
      <c r="AB126" s="52">
        <f>IF(VLOOKUP($Z126,'Asset Master'!$A:$J,6,FALSE)*COUNTIF('Event Trigger'!$C:$C,'Year 1 Results'!$Z126)&gt;SUMIF('Event Trigger'!$C:$C,$Z126,E:E),0,VLOOKUP($Z126,'Asset Master'!$A:$J,6,FALSE))</f>
        <v>300000</v>
      </c>
      <c r="AC126" s="52">
        <f>IF(VLOOKUP($Z126,'Asset Master'!$A:$J,6,FALSE)*COUNTIF('Event Trigger'!$C:$C,'Year 1 Results'!$Z126)&gt;SUMIF('Event Trigger'!$C:$C,$Z126,F:F),0,VLOOKUP($Z126,'Asset Master'!$A:$J,6,FALSE))</f>
        <v>300000</v>
      </c>
      <c r="AD126" s="52">
        <f>IF(VLOOKUP($Z126,'Asset Master'!$A:$J,6,FALSE)*COUNTIF('Event Trigger'!$C:$C,'Year 1 Results'!$Z126)&gt;SUMIF('Event Trigger'!$C:$C,$Z126,G:G),0,VLOOKUP($Z126,'Asset Master'!$A:$J,6,FALSE))</f>
        <v>300000</v>
      </c>
      <c r="AE126" s="52">
        <f>IF(VLOOKUP($Z126,'Asset Master'!$A:$J,6,FALSE)*COUNTIF('Event Trigger'!$C:$C,'Year 1 Results'!$Z126)&gt;SUMIF('Event Trigger'!$C:$C,$Z126,H:H),0,VLOOKUP($Z126,'Asset Master'!$A:$J,6,FALSE))</f>
        <v>300000</v>
      </c>
      <c r="AF126" s="52">
        <f>IF(VLOOKUP($Z126,'Asset Master'!$A:$J,6,FALSE)*COUNTIF('Event Trigger'!$C:$C,'Year 1 Results'!$Z126)&gt;SUMIF('Event Trigger'!$C:$C,$Z126,I:I),0,VLOOKUP($Z126,'Asset Master'!$A:$J,6,FALSE))</f>
        <v>300000</v>
      </c>
      <c r="AG126" s="52">
        <f>IF(VLOOKUP($Z126,'Asset Master'!$A:$J,6,FALSE)*COUNTIF('Event Trigger'!$C:$C,'Year 1 Results'!$Z126)&gt;SUMIF('Event Trigger'!$C:$C,$Z126,J:J),0,VLOOKUP($Z126,'Asset Master'!$A:$J,6,FALSE))</f>
        <v>300000</v>
      </c>
      <c r="AH126" s="52">
        <f>IF(VLOOKUP($Z126,'Asset Master'!$A:$J,6,FALSE)*COUNTIF('Event Trigger'!$C:$C,'Year 1 Results'!$Z126)&gt;SUMIF('Event Trigger'!$C:$C,$Z126,K:K),0,VLOOKUP($Z126,'Asset Master'!$A:$J,6,FALSE))</f>
        <v>300000</v>
      </c>
      <c r="AI126" s="52">
        <f>IF(VLOOKUP($Z126,'Asset Master'!$A:$J,6,FALSE)*COUNTIF('Event Trigger'!$C:$C,'Year 1 Results'!$Z126)&gt;SUMIF('Event Trigger'!$C:$C,$Z126,L:L),0,VLOOKUP($Z126,'Asset Master'!$A:$J,6,FALSE))</f>
        <v>300000</v>
      </c>
      <c r="AJ126" s="52">
        <f>IF(VLOOKUP($Z126,'Asset Master'!$A:$J,6,FALSE)*COUNTIF('Event Trigger'!$C:$C,'Year 1 Results'!$Z126)&gt;SUMIF('Event Trigger'!$C:$C,$Z126,M:M),0,VLOOKUP($Z126,'Asset Master'!$A:$J,6,FALSE))</f>
        <v>300000</v>
      </c>
    </row>
    <row r="127" spans="1:36" ht="25.5" x14ac:dyDescent="0.25">
      <c r="A127" s="37" t="str">
        <f>'Risk Master'!B127:B210&amp;"-"&amp;'Risk Master'!D127</f>
        <v>Thunderstorms, Tornados &amp; Hail-Calgary</v>
      </c>
      <c r="B127" s="37" t="str">
        <f>'Input Sheet year 2'!B128</f>
        <v>Thunderstorms, Tornados &amp; Hail-Calgary</v>
      </c>
      <c r="C127" s="29" t="str">
        <f>'Risk Master'!F127</f>
        <v>A71</v>
      </c>
      <c r="D127" s="73">
        <f>'Risk Master'!$G127*-1+('Risk Master'!$G127*'Event Trigger'!$D127*(1-'Input Sheet year 1'!H128))</f>
        <v>1000000</v>
      </c>
      <c r="E127" s="73">
        <f>'Risk Master'!$G127*-1+('Risk Master'!$G127*'Event Trigger'!$D127*(1-'Input Sheet year 2'!I128))</f>
        <v>1000000</v>
      </c>
      <c r="F127" s="73">
        <f>'Risk Master'!$G127*-1+('Risk Master'!$G127*'Event Trigger'!$D127*(1-'Input Sheet year 2'!J128))</f>
        <v>1000000</v>
      </c>
      <c r="G127" s="73">
        <f>'Risk Master'!$G127*-1+('Risk Master'!$G127*'Event Trigger'!$D127*(1-'Input Sheet year 2'!K128))</f>
        <v>1000000</v>
      </c>
      <c r="H127" s="73">
        <f>'Risk Master'!$G127*-1+('Risk Master'!$G127*'Event Trigger'!$D127*(1-'Input Sheet year 2'!L128))</f>
        <v>1000000</v>
      </c>
      <c r="I127" s="73">
        <f>'Risk Master'!$G127*-1+('Risk Master'!$G127*'Event Trigger'!$D127*(1-'Input Sheet year 2'!M128))</f>
        <v>1000000</v>
      </c>
      <c r="J127" s="73">
        <f>'Risk Master'!$G127*-1+('Risk Master'!$G127*'Event Trigger'!$D127*(1-'Input Sheet year 2'!N128))</f>
        <v>1000000</v>
      </c>
      <c r="K127" s="73">
        <f>'Risk Master'!$G127*-1+('Risk Master'!$G127*'Event Trigger'!$D127*(1-'Input Sheet year 2'!O128))</f>
        <v>1000000</v>
      </c>
      <c r="L127" s="73">
        <f>'Risk Master'!$G127*-1+('Risk Master'!$G127*'Event Trigger'!$D127*(1-'Input Sheet year 2'!P128))</f>
        <v>1000000</v>
      </c>
      <c r="M127" s="73">
        <f>'Risk Master'!$G127*-1+('Risk Master'!$G127*'Event Trigger'!$D127*(1-'Input Sheet year 2'!Q128))</f>
        <v>1000000</v>
      </c>
      <c r="N127" s="88"/>
      <c r="O127" s="88">
        <f t="shared" si="10"/>
        <v>-1000000</v>
      </c>
      <c r="P127" s="88">
        <f t="shared" si="11"/>
        <v>-1000000</v>
      </c>
      <c r="Q127" s="88">
        <f t="shared" si="12"/>
        <v>-1000000</v>
      </c>
      <c r="R127" s="88">
        <f t="shared" si="13"/>
        <v>-1000000</v>
      </c>
      <c r="S127" s="88">
        <f t="shared" si="14"/>
        <v>-1000000</v>
      </c>
      <c r="T127" s="88">
        <f t="shared" si="15"/>
        <v>-1000000</v>
      </c>
      <c r="U127" s="88">
        <f t="shared" si="16"/>
        <v>-1000000</v>
      </c>
      <c r="V127" s="88">
        <f t="shared" si="17"/>
        <v>-1000000</v>
      </c>
      <c r="W127" s="88">
        <f t="shared" si="18"/>
        <v>-1000000</v>
      </c>
      <c r="X127" s="88">
        <f t="shared" si="19"/>
        <v>-1000000</v>
      </c>
      <c r="Z127" s="51" t="s">
        <v>290</v>
      </c>
      <c r="AA127" s="52">
        <f>IF(VLOOKUP($Z127,'Asset Master'!$A:$J,6,FALSE)*COUNTIF('Event Trigger'!$C:$C,'Year 1 Results'!$Z127)&gt;SUMIF('Event Trigger'!$C:$C,$Z127,D:D),0,VLOOKUP($Z127,'Asset Master'!$A:$J,6,FALSE))</f>
        <v>0</v>
      </c>
      <c r="AB127" s="52">
        <f>IF(VLOOKUP($Z127,'Asset Master'!$A:$J,6,FALSE)*COUNTIF('Event Trigger'!$C:$C,'Year 1 Results'!$Z127)&gt;SUMIF('Event Trigger'!$C:$C,$Z127,E:E),0,VLOOKUP($Z127,'Asset Master'!$A:$J,6,FALSE))</f>
        <v>0</v>
      </c>
      <c r="AC127" s="52">
        <f>IF(VLOOKUP($Z127,'Asset Master'!$A:$J,6,FALSE)*COUNTIF('Event Trigger'!$C:$C,'Year 1 Results'!$Z127)&gt;SUMIF('Event Trigger'!$C:$C,$Z127,F:F),0,VLOOKUP($Z127,'Asset Master'!$A:$J,6,FALSE))</f>
        <v>0</v>
      </c>
      <c r="AD127" s="52">
        <f>IF(VLOOKUP($Z127,'Asset Master'!$A:$J,6,FALSE)*COUNTIF('Event Trigger'!$C:$C,'Year 1 Results'!$Z127)&gt;SUMIF('Event Trigger'!$C:$C,$Z127,G:G),0,VLOOKUP($Z127,'Asset Master'!$A:$J,6,FALSE))</f>
        <v>0</v>
      </c>
      <c r="AE127" s="52">
        <f>IF(VLOOKUP($Z127,'Asset Master'!$A:$J,6,FALSE)*COUNTIF('Event Trigger'!$C:$C,'Year 1 Results'!$Z127)&gt;SUMIF('Event Trigger'!$C:$C,$Z127,H:H),0,VLOOKUP($Z127,'Asset Master'!$A:$J,6,FALSE))</f>
        <v>0</v>
      </c>
      <c r="AF127" s="52">
        <f>IF(VLOOKUP($Z127,'Asset Master'!$A:$J,6,FALSE)*COUNTIF('Event Trigger'!$C:$C,'Year 1 Results'!$Z127)&gt;SUMIF('Event Trigger'!$C:$C,$Z127,I:I),0,VLOOKUP($Z127,'Asset Master'!$A:$J,6,FALSE))</f>
        <v>0</v>
      </c>
      <c r="AG127" s="52">
        <f>IF(VLOOKUP($Z127,'Asset Master'!$A:$J,6,FALSE)*COUNTIF('Event Trigger'!$C:$C,'Year 1 Results'!$Z127)&gt;SUMIF('Event Trigger'!$C:$C,$Z127,J:J),0,VLOOKUP($Z127,'Asset Master'!$A:$J,6,FALSE))</f>
        <v>0</v>
      </c>
      <c r="AH127" s="52">
        <f>IF(VLOOKUP($Z127,'Asset Master'!$A:$J,6,FALSE)*COUNTIF('Event Trigger'!$C:$C,'Year 1 Results'!$Z127)&gt;SUMIF('Event Trigger'!$C:$C,$Z127,K:K),0,VLOOKUP($Z127,'Asset Master'!$A:$J,6,FALSE))</f>
        <v>0</v>
      </c>
      <c r="AI127" s="52">
        <f>IF(VLOOKUP($Z127,'Asset Master'!$A:$J,6,FALSE)*COUNTIF('Event Trigger'!$C:$C,'Year 1 Results'!$Z127)&gt;SUMIF('Event Trigger'!$C:$C,$Z127,L:L),0,VLOOKUP($Z127,'Asset Master'!$A:$J,6,FALSE))</f>
        <v>0</v>
      </c>
      <c r="AJ127" s="52">
        <f>IF(VLOOKUP($Z127,'Asset Master'!$A:$J,6,FALSE)*COUNTIF('Event Trigger'!$C:$C,'Year 1 Results'!$Z127)&gt;SUMIF('Event Trigger'!$C:$C,$Z127,M:M),0,VLOOKUP($Z127,'Asset Master'!$A:$J,6,FALSE))</f>
        <v>0</v>
      </c>
    </row>
    <row r="128" spans="1:36" x14ac:dyDescent="0.25">
      <c r="A128" s="37" t="str">
        <f>'Risk Master'!B128:B211&amp;"-"&amp;'Risk Master'!D128</f>
        <v>Hurricane-Typhoon -Calgary</v>
      </c>
      <c r="B128" s="37" t="str">
        <f>'Input Sheet year 2'!B129</f>
        <v>Hurricane-Typhoon -Calgary</v>
      </c>
      <c r="C128" s="29" t="str">
        <f>'Risk Master'!F128</f>
        <v>A72</v>
      </c>
      <c r="D128" s="73">
        <f>'Risk Master'!$G128*-1+('Risk Master'!$G128*'Event Trigger'!$D128*(1-'Input Sheet year 1'!H129))</f>
        <v>500000</v>
      </c>
      <c r="E128" s="73">
        <f>'Risk Master'!$G128*-1+('Risk Master'!$G128*'Event Trigger'!$D128*(1-'Input Sheet year 2'!I129))</f>
        <v>500000</v>
      </c>
      <c r="F128" s="73">
        <f>'Risk Master'!$G128*-1+('Risk Master'!$G128*'Event Trigger'!$D128*(1-'Input Sheet year 2'!J129))</f>
        <v>500000</v>
      </c>
      <c r="G128" s="73">
        <f>'Risk Master'!$G128*-1+('Risk Master'!$G128*'Event Trigger'!$D128*(1-'Input Sheet year 2'!K129))</f>
        <v>500000</v>
      </c>
      <c r="H128" s="73">
        <f>'Risk Master'!$G128*-1+('Risk Master'!$G128*'Event Trigger'!$D128*(1-'Input Sheet year 2'!L129))</f>
        <v>500000</v>
      </c>
      <c r="I128" s="73">
        <f>'Risk Master'!$G128*-1+('Risk Master'!$G128*'Event Trigger'!$D128*(1-'Input Sheet year 2'!M129))</f>
        <v>500000</v>
      </c>
      <c r="J128" s="73">
        <f>'Risk Master'!$G128*-1+('Risk Master'!$G128*'Event Trigger'!$D128*(1-'Input Sheet year 2'!N129))</f>
        <v>500000</v>
      </c>
      <c r="K128" s="73">
        <f>'Risk Master'!$G128*-1+('Risk Master'!$G128*'Event Trigger'!$D128*(1-'Input Sheet year 2'!O129))</f>
        <v>500000</v>
      </c>
      <c r="L128" s="73">
        <f>'Risk Master'!$G128*-1+('Risk Master'!$G128*'Event Trigger'!$D128*(1-'Input Sheet year 2'!P129))</f>
        <v>500000</v>
      </c>
      <c r="M128" s="73">
        <f>'Risk Master'!$G128*-1+('Risk Master'!$G128*'Event Trigger'!$D128*(1-'Input Sheet year 2'!Q129))</f>
        <v>500000</v>
      </c>
      <c r="N128" s="88"/>
      <c r="O128" s="88">
        <f t="shared" si="10"/>
        <v>-500000</v>
      </c>
      <c r="P128" s="88">
        <f t="shared" si="11"/>
        <v>-500000</v>
      </c>
      <c r="Q128" s="88">
        <f t="shared" si="12"/>
        <v>-500000</v>
      </c>
      <c r="R128" s="88">
        <f t="shared" si="13"/>
        <v>-500000</v>
      </c>
      <c r="S128" s="88">
        <f t="shared" si="14"/>
        <v>-500000</v>
      </c>
      <c r="T128" s="88">
        <f t="shared" si="15"/>
        <v>-500000</v>
      </c>
      <c r="U128" s="88">
        <f t="shared" si="16"/>
        <v>-500000</v>
      </c>
      <c r="V128" s="88">
        <f t="shared" si="17"/>
        <v>-500000</v>
      </c>
      <c r="W128" s="88">
        <f t="shared" si="18"/>
        <v>-500000</v>
      </c>
      <c r="X128" s="88">
        <f t="shared" si="19"/>
        <v>-500000</v>
      </c>
      <c r="Z128" s="51" t="s">
        <v>291</v>
      </c>
      <c r="AA128" s="52">
        <f>IF(VLOOKUP($Z128,'Asset Master'!$A:$J,6,FALSE)*COUNTIF('Event Trigger'!$C:$C,'Year 1 Results'!$Z128)&gt;SUMIF('Event Trigger'!$C:$C,$Z128,D:D),0,VLOOKUP($Z128,'Asset Master'!$A:$J,6,FALSE))</f>
        <v>1000000</v>
      </c>
      <c r="AB128" s="52">
        <f>IF(VLOOKUP($Z128,'Asset Master'!$A:$J,6,FALSE)*COUNTIF('Event Trigger'!$C:$C,'Year 1 Results'!$Z128)&gt;SUMIF('Event Trigger'!$C:$C,$Z128,E:E),0,VLOOKUP($Z128,'Asset Master'!$A:$J,6,FALSE))</f>
        <v>1000000</v>
      </c>
      <c r="AC128" s="52">
        <f>IF(VLOOKUP($Z128,'Asset Master'!$A:$J,6,FALSE)*COUNTIF('Event Trigger'!$C:$C,'Year 1 Results'!$Z128)&gt;SUMIF('Event Trigger'!$C:$C,$Z128,F:F),0,VLOOKUP($Z128,'Asset Master'!$A:$J,6,FALSE))</f>
        <v>1000000</v>
      </c>
      <c r="AD128" s="52">
        <f>IF(VLOOKUP($Z128,'Asset Master'!$A:$J,6,FALSE)*COUNTIF('Event Trigger'!$C:$C,'Year 1 Results'!$Z128)&gt;SUMIF('Event Trigger'!$C:$C,$Z128,G:G),0,VLOOKUP($Z128,'Asset Master'!$A:$J,6,FALSE))</f>
        <v>1000000</v>
      </c>
      <c r="AE128" s="52">
        <f>IF(VLOOKUP($Z128,'Asset Master'!$A:$J,6,FALSE)*COUNTIF('Event Trigger'!$C:$C,'Year 1 Results'!$Z128)&gt;SUMIF('Event Trigger'!$C:$C,$Z128,H:H),0,VLOOKUP($Z128,'Asset Master'!$A:$J,6,FALSE))</f>
        <v>1000000</v>
      </c>
      <c r="AF128" s="52">
        <f>IF(VLOOKUP($Z128,'Asset Master'!$A:$J,6,FALSE)*COUNTIF('Event Trigger'!$C:$C,'Year 1 Results'!$Z128)&gt;SUMIF('Event Trigger'!$C:$C,$Z128,I:I),0,VLOOKUP($Z128,'Asset Master'!$A:$J,6,FALSE))</f>
        <v>1000000</v>
      </c>
      <c r="AG128" s="52">
        <f>IF(VLOOKUP($Z128,'Asset Master'!$A:$J,6,FALSE)*COUNTIF('Event Trigger'!$C:$C,'Year 1 Results'!$Z128)&gt;SUMIF('Event Trigger'!$C:$C,$Z128,J:J),0,VLOOKUP($Z128,'Asset Master'!$A:$J,6,FALSE))</f>
        <v>1000000</v>
      </c>
      <c r="AH128" s="52">
        <f>IF(VLOOKUP($Z128,'Asset Master'!$A:$J,6,FALSE)*COUNTIF('Event Trigger'!$C:$C,'Year 1 Results'!$Z128)&gt;SUMIF('Event Trigger'!$C:$C,$Z128,K:K),0,VLOOKUP($Z128,'Asset Master'!$A:$J,6,FALSE))</f>
        <v>1000000</v>
      </c>
      <c r="AI128" s="52">
        <f>IF(VLOOKUP($Z128,'Asset Master'!$A:$J,6,FALSE)*COUNTIF('Event Trigger'!$C:$C,'Year 1 Results'!$Z128)&gt;SUMIF('Event Trigger'!$C:$C,$Z128,L:L),0,VLOOKUP($Z128,'Asset Master'!$A:$J,6,FALSE))</f>
        <v>1000000</v>
      </c>
      <c r="AJ128" s="52">
        <f>IF(VLOOKUP($Z128,'Asset Master'!$A:$J,6,FALSE)*COUNTIF('Event Trigger'!$C:$C,'Year 1 Results'!$Z128)&gt;SUMIF('Event Trigger'!$C:$C,$Z128,M:M),0,VLOOKUP($Z128,'Asset Master'!$A:$J,6,FALSE))</f>
        <v>1000000</v>
      </c>
    </row>
    <row r="129" spans="1:36" x14ac:dyDescent="0.25">
      <c r="A129" s="37" t="str">
        <f>'Risk Master'!B129:B212&amp;"-"&amp;'Risk Master'!D129</f>
        <v>Earthquake-Calgary</v>
      </c>
      <c r="B129" s="37" t="str">
        <f>'Input Sheet year 2'!B130</f>
        <v>Earthquake-Calgary</v>
      </c>
      <c r="C129" s="29" t="str">
        <f>'Risk Master'!F129</f>
        <v>A73</v>
      </c>
      <c r="D129" s="73">
        <f>'Risk Master'!$G129*-1+('Risk Master'!$G129*'Event Trigger'!$D129*(1-'Input Sheet year 1'!H130))</f>
        <v>200000</v>
      </c>
      <c r="E129" s="73">
        <f>'Risk Master'!$G129*-1+('Risk Master'!$G129*'Event Trigger'!$D129*(1-'Input Sheet year 2'!I130))</f>
        <v>200000</v>
      </c>
      <c r="F129" s="73">
        <f>'Risk Master'!$G129*-1+('Risk Master'!$G129*'Event Trigger'!$D129*(1-'Input Sheet year 2'!J130))</f>
        <v>200000</v>
      </c>
      <c r="G129" s="73">
        <f>'Risk Master'!$G129*-1+('Risk Master'!$G129*'Event Trigger'!$D129*(1-'Input Sheet year 2'!K130))</f>
        <v>200000</v>
      </c>
      <c r="H129" s="73">
        <f>'Risk Master'!$G129*-1+('Risk Master'!$G129*'Event Trigger'!$D129*(1-'Input Sheet year 2'!L130))</f>
        <v>200000</v>
      </c>
      <c r="I129" s="73">
        <f>'Risk Master'!$G129*-1+('Risk Master'!$G129*'Event Trigger'!$D129*(1-'Input Sheet year 2'!M130))</f>
        <v>200000</v>
      </c>
      <c r="J129" s="73">
        <f>'Risk Master'!$G129*-1+('Risk Master'!$G129*'Event Trigger'!$D129*(1-'Input Sheet year 2'!N130))</f>
        <v>200000</v>
      </c>
      <c r="K129" s="73">
        <f>'Risk Master'!$G129*-1+('Risk Master'!$G129*'Event Trigger'!$D129*(1-'Input Sheet year 2'!O130))</f>
        <v>200000</v>
      </c>
      <c r="L129" s="73">
        <f>'Risk Master'!$G129*-1+('Risk Master'!$G129*'Event Trigger'!$D129*(1-'Input Sheet year 2'!P130))</f>
        <v>200000</v>
      </c>
      <c r="M129" s="73">
        <f>'Risk Master'!$G129*-1+('Risk Master'!$G129*'Event Trigger'!$D129*(1-'Input Sheet year 2'!Q130))</f>
        <v>200000</v>
      </c>
      <c r="N129" s="88"/>
      <c r="O129" s="88">
        <f t="shared" si="10"/>
        <v>-200000</v>
      </c>
      <c r="P129" s="88">
        <f t="shared" si="11"/>
        <v>-200000</v>
      </c>
      <c r="Q129" s="88">
        <f t="shared" si="12"/>
        <v>-200000</v>
      </c>
      <c r="R129" s="88">
        <f t="shared" si="13"/>
        <v>-200000</v>
      </c>
      <c r="S129" s="88">
        <f t="shared" si="14"/>
        <v>-200000</v>
      </c>
      <c r="T129" s="88">
        <f t="shared" si="15"/>
        <v>-200000</v>
      </c>
      <c r="U129" s="88">
        <f t="shared" si="16"/>
        <v>-200000</v>
      </c>
      <c r="V129" s="88">
        <f t="shared" si="17"/>
        <v>-200000</v>
      </c>
      <c r="W129" s="88">
        <f t="shared" si="18"/>
        <v>-200000</v>
      </c>
      <c r="X129" s="88">
        <f t="shared" si="19"/>
        <v>-200000</v>
      </c>
      <c r="Z129" s="51" t="s">
        <v>292</v>
      </c>
      <c r="AA129" s="52">
        <f>IF(VLOOKUP($Z129,'Asset Master'!$A:$J,6,FALSE)*COUNTIF('Event Trigger'!$C:$C,'Year 1 Results'!$Z129)&gt;SUMIF('Event Trigger'!$C:$C,$Z129,D:D),0,VLOOKUP($Z129,'Asset Master'!$A:$J,6,FALSE))</f>
        <v>300000</v>
      </c>
      <c r="AB129" s="52">
        <f>IF(VLOOKUP($Z129,'Asset Master'!$A:$J,6,FALSE)*COUNTIF('Event Trigger'!$C:$C,'Year 1 Results'!$Z129)&gt;SUMIF('Event Trigger'!$C:$C,$Z129,E:E),0,VLOOKUP($Z129,'Asset Master'!$A:$J,6,FALSE))</f>
        <v>300000</v>
      </c>
      <c r="AC129" s="52">
        <f>IF(VLOOKUP($Z129,'Asset Master'!$A:$J,6,FALSE)*COUNTIF('Event Trigger'!$C:$C,'Year 1 Results'!$Z129)&gt;SUMIF('Event Trigger'!$C:$C,$Z129,F:F),0,VLOOKUP($Z129,'Asset Master'!$A:$J,6,FALSE))</f>
        <v>300000</v>
      </c>
      <c r="AD129" s="52">
        <f>IF(VLOOKUP($Z129,'Asset Master'!$A:$J,6,FALSE)*COUNTIF('Event Trigger'!$C:$C,'Year 1 Results'!$Z129)&gt;SUMIF('Event Trigger'!$C:$C,$Z129,G:G),0,VLOOKUP($Z129,'Asset Master'!$A:$J,6,FALSE))</f>
        <v>300000</v>
      </c>
      <c r="AE129" s="52">
        <f>IF(VLOOKUP($Z129,'Asset Master'!$A:$J,6,FALSE)*COUNTIF('Event Trigger'!$C:$C,'Year 1 Results'!$Z129)&gt;SUMIF('Event Trigger'!$C:$C,$Z129,H:H),0,VLOOKUP($Z129,'Asset Master'!$A:$J,6,FALSE))</f>
        <v>300000</v>
      </c>
      <c r="AF129" s="52">
        <f>IF(VLOOKUP($Z129,'Asset Master'!$A:$J,6,FALSE)*COUNTIF('Event Trigger'!$C:$C,'Year 1 Results'!$Z129)&gt;SUMIF('Event Trigger'!$C:$C,$Z129,I:I),0,VLOOKUP($Z129,'Asset Master'!$A:$J,6,FALSE))</f>
        <v>300000</v>
      </c>
      <c r="AG129" s="52">
        <f>IF(VLOOKUP($Z129,'Asset Master'!$A:$J,6,FALSE)*COUNTIF('Event Trigger'!$C:$C,'Year 1 Results'!$Z129)&gt;SUMIF('Event Trigger'!$C:$C,$Z129,J:J),0,VLOOKUP($Z129,'Asset Master'!$A:$J,6,FALSE))</f>
        <v>300000</v>
      </c>
      <c r="AH129" s="52">
        <f>IF(VLOOKUP($Z129,'Asset Master'!$A:$J,6,FALSE)*COUNTIF('Event Trigger'!$C:$C,'Year 1 Results'!$Z129)&gt;SUMIF('Event Trigger'!$C:$C,$Z129,K:K),0,VLOOKUP($Z129,'Asset Master'!$A:$J,6,FALSE))</f>
        <v>300000</v>
      </c>
      <c r="AI129" s="52">
        <f>IF(VLOOKUP($Z129,'Asset Master'!$A:$J,6,FALSE)*COUNTIF('Event Trigger'!$C:$C,'Year 1 Results'!$Z129)&gt;SUMIF('Event Trigger'!$C:$C,$Z129,L:L),0,VLOOKUP($Z129,'Asset Master'!$A:$J,6,FALSE))</f>
        <v>300000</v>
      </c>
      <c r="AJ129" s="52">
        <f>IF(VLOOKUP($Z129,'Asset Master'!$A:$J,6,FALSE)*COUNTIF('Event Trigger'!$C:$C,'Year 1 Results'!$Z129)&gt;SUMIF('Event Trigger'!$C:$C,$Z129,M:M),0,VLOOKUP($Z129,'Asset Master'!$A:$J,6,FALSE))</f>
        <v>300000</v>
      </c>
    </row>
    <row r="130" spans="1:36" ht="25.5" x14ac:dyDescent="0.25">
      <c r="A130" s="37" t="str">
        <f>'Risk Master'!B130:B213&amp;"-"&amp;'Risk Master'!D130</f>
        <v>Thunderstorms, Tornados &amp; Hail-Calgary</v>
      </c>
      <c r="B130" s="37" t="str">
        <f>'Input Sheet year 2'!B131</f>
        <v>Thunderstorms, Tornados &amp; Hail-Calgary</v>
      </c>
      <c r="C130" s="29" t="str">
        <f>'Risk Master'!F130</f>
        <v>A75</v>
      </c>
      <c r="D130" s="73">
        <f>'Risk Master'!$G130*-1+('Risk Master'!$G130*'Event Trigger'!$D130*(1-'Input Sheet year 1'!H131))</f>
        <v>200000</v>
      </c>
      <c r="E130" s="73">
        <f>'Risk Master'!$G130*-1+('Risk Master'!$G130*'Event Trigger'!$D130*(1-'Input Sheet year 2'!I131))</f>
        <v>200000</v>
      </c>
      <c r="F130" s="73">
        <f>'Risk Master'!$G130*-1+('Risk Master'!$G130*'Event Trigger'!$D130*(1-'Input Sheet year 2'!J131))</f>
        <v>200000</v>
      </c>
      <c r="G130" s="73">
        <f>'Risk Master'!$G130*-1+('Risk Master'!$G130*'Event Trigger'!$D130*(1-'Input Sheet year 2'!K131))</f>
        <v>200000</v>
      </c>
      <c r="H130" s="73">
        <f>'Risk Master'!$G130*-1+('Risk Master'!$G130*'Event Trigger'!$D130*(1-'Input Sheet year 2'!L131))</f>
        <v>200000</v>
      </c>
      <c r="I130" s="73">
        <f>'Risk Master'!$G130*-1+('Risk Master'!$G130*'Event Trigger'!$D130*(1-'Input Sheet year 2'!M131))</f>
        <v>200000</v>
      </c>
      <c r="J130" s="73">
        <f>'Risk Master'!$G130*-1+('Risk Master'!$G130*'Event Trigger'!$D130*(1-'Input Sheet year 2'!N131))</f>
        <v>200000</v>
      </c>
      <c r="K130" s="73">
        <f>'Risk Master'!$G130*-1+('Risk Master'!$G130*'Event Trigger'!$D130*(1-'Input Sheet year 2'!O131))</f>
        <v>200000</v>
      </c>
      <c r="L130" s="73">
        <f>'Risk Master'!$G130*-1+('Risk Master'!$G130*'Event Trigger'!$D130*(1-'Input Sheet year 2'!P131))</f>
        <v>200000</v>
      </c>
      <c r="M130" s="73">
        <f>'Risk Master'!$G130*-1+('Risk Master'!$G130*'Event Trigger'!$D130*(1-'Input Sheet year 2'!Q131))</f>
        <v>200000</v>
      </c>
      <c r="N130" s="88"/>
      <c r="O130" s="88">
        <f t="shared" si="10"/>
        <v>-200000</v>
      </c>
      <c r="P130" s="88">
        <f t="shared" si="11"/>
        <v>-200000</v>
      </c>
      <c r="Q130" s="88">
        <f t="shared" si="12"/>
        <v>-200000</v>
      </c>
      <c r="R130" s="88">
        <f t="shared" si="13"/>
        <v>-200000</v>
      </c>
      <c r="S130" s="88">
        <f t="shared" si="14"/>
        <v>-200000</v>
      </c>
      <c r="T130" s="88">
        <f t="shared" si="15"/>
        <v>-200000</v>
      </c>
      <c r="U130" s="88">
        <f t="shared" si="16"/>
        <v>-200000</v>
      </c>
      <c r="V130" s="88">
        <f t="shared" si="17"/>
        <v>-200000</v>
      </c>
      <c r="W130" s="88">
        <f t="shared" si="18"/>
        <v>-200000</v>
      </c>
      <c r="X130" s="88">
        <f t="shared" si="19"/>
        <v>-200000</v>
      </c>
      <c r="Z130" s="51" t="s">
        <v>293</v>
      </c>
      <c r="AA130" s="52">
        <f>IF(VLOOKUP($Z130,'Asset Master'!$A:$J,6,FALSE)*COUNTIF('Event Trigger'!$C:$C,'Year 1 Results'!$Z130)&gt;SUMIF('Event Trigger'!$C:$C,$Z130,D:D),0,VLOOKUP($Z130,'Asset Master'!$A:$J,6,FALSE))</f>
        <v>0</v>
      </c>
      <c r="AB130" s="52">
        <f>IF(VLOOKUP($Z130,'Asset Master'!$A:$J,6,FALSE)*COUNTIF('Event Trigger'!$C:$C,'Year 1 Results'!$Z130)&gt;SUMIF('Event Trigger'!$C:$C,$Z130,E:E),0,VLOOKUP($Z130,'Asset Master'!$A:$J,6,FALSE))</f>
        <v>0</v>
      </c>
      <c r="AC130" s="52">
        <f>IF(VLOOKUP($Z130,'Asset Master'!$A:$J,6,FALSE)*COUNTIF('Event Trigger'!$C:$C,'Year 1 Results'!$Z130)&gt;SUMIF('Event Trigger'!$C:$C,$Z130,F:F),0,VLOOKUP($Z130,'Asset Master'!$A:$J,6,FALSE))</f>
        <v>0</v>
      </c>
      <c r="AD130" s="52">
        <f>IF(VLOOKUP($Z130,'Asset Master'!$A:$J,6,FALSE)*COUNTIF('Event Trigger'!$C:$C,'Year 1 Results'!$Z130)&gt;SUMIF('Event Trigger'!$C:$C,$Z130,G:G),0,VLOOKUP($Z130,'Asset Master'!$A:$J,6,FALSE))</f>
        <v>0</v>
      </c>
      <c r="AE130" s="52">
        <f>IF(VLOOKUP($Z130,'Asset Master'!$A:$J,6,FALSE)*COUNTIF('Event Trigger'!$C:$C,'Year 1 Results'!$Z130)&gt;SUMIF('Event Trigger'!$C:$C,$Z130,H:H),0,VLOOKUP($Z130,'Asset Master'!$A:$J,6,FALSE))</f>
        <v>0</v>
      </c>
      <c r="AF130" s="52">
        <f>IF(VLOOKUP($Z130,'Asset Master'!$A:$J,6,FALSE)*COUNTIF('Event Trigger'!$C:$C,'Year 1 Results'!$Z130)&gt;SUMIF('Event Trigger'!$C:$C,$Z130,I:I),0,VLOOKUP($Z130,'Asset Master'!$A:$J,6,FALSE))</f>
        <v>0</v>
      </c>
      <c r="AG130" s="52">
        <f>IF(VLOOKUP($Z130,'Asset Master'!$A:$J,6,FALSE)*COUNTIF('Event Trigger'!$C:$C,'Year 1 Results'!$Z130)&gt;SUMIF('Event Trigger'!$C:$C,$Z130,J:J),0,VLOOKUP($Z130,'Asset Master'!$A:$J,6,FALSE))</f>
        <v>0</v>
      </c>
      <c r="AH130" s="52">
        <f>IF(VLOOKUP($Z130,'Asset Master'!$A:$J,6,FALSE)*COUNTIF('Event Trigger'!$C:$C,'Year 1 Results'!$Z130)&gt;SUMIF('Event Trigger'!$C:$C,$Z130,K:K),0,VLOOKUP($Z130,'Asset Master'!$A:$J,6,FALSE))</f>
        <v>0</v>
      </c>
      <c r="AI130" s="52">
        <f>IF(VLOOKUP($Z130,'Asset Master'!$A:$J,6,FALSE)*COUNTIF('Event Trigger'!$C:$C,'Year 1 Results'!$Z130)&gt;SUMIF('Event Trigger'!$C:$C,$Z130,L:L),0,VLOOKUP($Z130,'Asset Master'!$A:$J,6,FALSE))</f>
        <v>0</v>
      </c>
      <c r="AJ130" s="52">
        <f>IF(VLOOKUP($Z130,'Asset Master'!$A:$J,6,FALSE)*COUNTIF('Event Trigger'!$C:$C,'Year 1 Results'!$Z130)&gt;SUMIF('Event Trigger'!$C:$C,$Z130,M:M),0,VLOOKUP($Z130,'Asset Master'!$A:$J,6,FALSE))</f>
        <v>0</v>
      </c>
    </row>
    <row r="131" spans="1:36" x14ac:dyDescent="0.25">
      <c r="A131" s="37" t="str">
        <f>'Risk Master'!B131:B214&amp;"-"&amp;'Risk Master'!D131</f>
        <v>Hurricane-Typhoon -Calgary</v>
      </c>
      <c r="B131" s="37" t="str">
        <f>'Input Sheet year 2'!B132</f>
        <v>Hurricane-Typhoon -Calgary</v>
      </c>
      <c r="C131" s="29" t="str">
        <f>'Risk Master'!F131</f>
        <v>A67</v>
      </c>
      <c r="D131" s="73">
        <f>'Risk Master'!$G131*-1+('Risk Master'!$G131*'Event Trigger'!$D131*(1-'Input Sheet year 1'!H132))</f>
        <v>1100000</v>
      </c>
      <c r="E131" s="73">
        <f>'Risk Master'!$G131*-1+('Risk Master'!$G131*'Event Trigger'!$D131*(1-'Input Sheet year 2'!I132))</f>
        <v>1100000</v>
      </c>
      <c r="F131" s="73">
        <f>'Risk Master'!$G131*-1+('Risk Master'!$G131*'Event Trigger'!$D131*(1-'Input Sheet year 2'!J132))</f>
        <v>1100000</v>
      </c>
      <c r="G131" s="73">
        <f>'Risk Master'!$G131*-1+('Risk Master'!$G131*'Event Trigger'!$D131*(1-'Input Sheet year 2'!K132))</f>
        <v>1100000</v>
      </c>
      <c r="H131" s="73">
        <f>'Risk Master'!$G131*-1+('Risk Master'!$G131*'Event Trigger'!$D131*(1-'Input Sheet year 2'!L132))</f>
        <v>1100000</v>
      </c>
      <c r="I131" s="73">
        <f>'Risk Master'!$G131*-1+('Risk Master'!$G131*'Event Trigger'!$D131*(1-'Input Sheet year 2'!M132))</f>
        <v>1100000</v>
      </c>
      <c r="J131" s="73">
        <f>'Risk Master'!$G131*-1+('Risk Master'!$G131*'Event Trigger'!$D131*(1-'Input Sheet year 2'!N132))</f>
        <v>1100000</v>
      </c>
      <c r="K131" s="73">
        <f>'Risk Master'!$G131*-1+('Risk Master'!$G131*'Event Trigger'!$D131*(1-'Input Sheet year 2'!O132))</f>
        <v>1100000</v>
      </c>
      <c r="L131" s="73">
        <f>'Risk Master'!$G131*-1+('Risk Master'!$G131*'Event Trigger'!$D131*(1-'Input Sheet year 2'!P132))</f>
        <v>1100000</v>
      </c>
      <c r="M131" s="73">
        <f>'Risk Master'!$G131*-1+('Risk Master'!$G131*'Event Trigger'!$D131*(1-'Input Sheet year 2'!Q132))</f>
        <v>1100000</v>
      </c>
      <c r="N131" s="88"/>
      <c r="O131" s="88">
        <f t="shared" ref="O131:O183" si="20">VLOOKUP(C131,$Z:$AJ,2,FALSE)*-1</f>
        <v>-1100000</v>
      </c>
      <c r="P131" s="88">
        <f t="shared" ref="P131:P183" si="21">VLOOKUP($C131,$Z:$AJ,3,FALSE)*-1</f>
        <v>-1100000</v>
      </c>
      <c r="Q131" s="88">
        <f t="shared" ref="Q131:Q183" si="22">VLOOKUP($C131,$Z:$AJ,4,FALSE)*-1</f>
        <v>-1100000</v>
      </c>
      <c r="R131" s="88">
        <f t="shared" ref="R131:R183" si="23">VLOOKUP($C131,$Z:$AJ,5,FALSE)*-1</f>
        <v>-1100000</v>
      </c>
      <c r="S131" s="88">
        <f t="shared" ref="S131:S183" si="24">VLOOKUP($C131,$Z:$AJ,6,FALSE)*-1</f>
        <v>-1100000</v>
      </c>
      <c r="T131" s="88">
        <f t="shared" ref="T131:T183" si="25">VLOOKUP($C131,$Z:$AJ,7,FALSE)*-1</f>
        <v>-1100000</v>
      </c>
      <c r="U131" s="88">
        <f t="shared" ref="U131:U183" si="26">VLOOKUP($C131,$Z:$AJ,8,FALSE)*-1</f>
        <v>-1100000</v>
      </c>
      <c r="V131" s="88">
        <f t="shared" ref="V131:V183" si="27">VLOOKUP($C131,$Z:$AJ,9,FALSE)*-1</f>
        <v>-1100000</v>
      </c>
      <c r="W131" s="88">
        <f t="shared" ref="W131:W183" si="28">VLOOKUP($C131,$Z:$AJ,10,FALSE)*-1</f>
        <v>-1100000</v>
      </c>
      <c r="X131" s="88">
        <f t="shared" ref="X131:X183" si="29">VLOOKUP($C131,$Z:$AJ,11,FALSE)*-1</f>
        <v>-1100000</v>
      </c>
      <c r="Z131" s="51" t="s">
        <v>294</v>
      </c>
      <c r="AA131" s="52">
        <f>IF(VLOOKUP($Z131,'Asset Master'!$A:$J,6,FALSE)*COUNTIF('Event Trigger'!$C:$C,'Year 1 Results'!$Z131)&gt;SUMIF('Event Trigger'!$C:$C,$Z131,D:D),0,VLOOKUP($Z131,'Asset Master'!$A:$J,6,FALSE))</f>
        <v>0</v>
      </c>
      <c r="AB131" s="52">
        <f>IF(VLOOKUP($Z131,'Asset Master'!$A:$J,6,FALSE)*COUNTIF('Event Trigger'!$C:$C,'Year 1 Results'!$Z131)&gt;SUMIF('Event Trigger'!$C:$C,$Z131,E:E),0,VLOOKUP($Z131,'Asset Master'!$A:$J,6,FALSE))</f>
        <v>0</v>
      </c>
      <c r="AC131" s="52">
        <f>IF(VLOOKUP($Z131,'Asset Master'!$A:$J,6,FALSE)*COUNTIF('Event Trigger'!$C:$C,'Year 1 Results'!$Z131)&gt;SUMIF('Event Trigger'!$C:$C,$Z131,F:F),0,VLOOKUP($Z131,'Asset Master'!$A:$J,6,FALSE))</f>
        <v>0</v>
      </c>
      <c r="AD131" s="52">
        <f>IF(VLOOKUP($Z131,'Asset Master'!$A:$J,6,FALSE)*COUNTIF('Event Trigger'!$C:$C,'Year 1 Results'!$Z131)&gt;SUMIF('Event Trigger'!$C:$C,$Z131,G:G),0,VLOOKUP($Z131,'Asset Master'!$A:$J,6,FALSE))</f>
        <v>0</v>
      </c>
      <c r="AE131" s="52">
        <f>IF(VLOOKUP($Z131,'Asset Master'!$A:$J,6,FALSE)*COUNTIF('Event Trigger'!$C:$C,'Year 1 Results'!$Z131)&gt;SUMIF('Event Trigger'!$C:$C,$Z131,H:H),0,VLOOKUP($Z131,'Asset Master'!$A:$J,6,FALSE))</f>
        <v>0</v>
      </c>
      <c r="AF131" s="52">
        <f>IF(VLOOKUP($Z131,'Asset Master'!$A:$J,6,FALSE)*COUNTIF('Event Trigger'!$C:$C,'Year 1 Results'!$Z131)&gt;SUMIF('Event Trigger'!$C:$C,$Z131,I:I),0,VLOOKUP($Z131,'Asset Master'!$A:$J,6,FALSE))</f>
        <v>0</v>
      </c>
      <c r="AG131" s="52">
        <f>IF(VLOOKUP($Z131,'Asset Master'!$A:$J,6,FALSE)*COUNTIF('Event Trigger'!$C:$C,'Year 1 Results'!$Z131)&gt;SUMIF('Event Trigger'!$C:$C,$Z131,J:J),0,VLOOKUP($Z131,'Asset Master'!$A:$J,6,FALSE))</f>
        <v>0</v>
      </c>
      <c r="AH131" s="52">
        <f>IF(VLOOKUP($Z131,'Asset Master'!$A:$J,6,FALSE)*COUNTIF('Event Trigger'!$C:$C,'Year 1 Results'!$Z131)&gt;SUMIF('Event Trigger'!$C:$C,$Z131,K:K),0,VLOOKUP($Z131,'Asset Master'!$A:$J,6,FALSE))</f>
        <v>0</v>
      </c>
      <c r="AI131" s="52">
        <f>IF(VLOOKUP($Z131,'Asset Master'!$A:$J,6,FALSE)*COUNTIF('Event Trigger'!$C:$C,'Year 1 Results'!$Z131)&gt;SUMIF('Event Trigger'!$C:$C,$Z131,L:L),0,VLOOKUP($Z131,'Asset Master'!$A:$J,6,FALSE))</f>
        <v>0</v>
      </c>
      <c r="AJ131" s="52">
        <f>IF(VLOOKUP($Z131,'Asset Master'!$A:$J,6,FALSE)*COUNTIF('Event Trigger'!$C:$C,'Year 1 Results'!$Z131)&gt;SUMIF('Event Trigger'!$C:$C,$Z131,M:M),0,VLOOKUP($Z131,'Asset Master'!$A:$J,6,FALSE))</f>
        <v>0</v>
      </c>
    </row>
    <row r="132" spans="1:36" x14ac:dyDescent="0.25">
      <c r="A132" s="37" t="str">
        <f>'Risk Master'!B132:B215&amp;"-"&amp;'Risk Master'!D132</f>
        <v>Earthquake-Calgary</v>
      </c>
      <c r="B132" s="37" t="str">
        <f>'Input Sheet year 2'!B133</f>
        <v>Earthquake-Calgary</v>
      </c>
      <c r="C132" s="29" t="str">
        <f>'Risk Master'!F132</f>
        <v>A68</v>
      </c>
      <c r="D132" s="73">
        <f>'Risk Master'!$G132*-1+('Risk Master'!$G132*'Event Trigger'!$D132*(1-'Input Sheet year 1'!H133))</f>
        <v>300000</v>
      </c>
      <c r="E132" s="73">
        <f>'Risk Master'!$G132*-1+('Risk Master'!$G132*'Event Trigger'!$D132*(1-'Input Sheet year 2'!I133))</f>
        <v>300000</v>
      </c>
      <c r="F132" s="73">
        <f>'Risk Master'!$G132*-1+('Risk Master'!$G132*'Event Trigger'!$D132*(1-'Input Sheet year 2'!J133))</f>
        <v>300000</v>
      </c>
      <c r="G132" s="73">
        <f>'Risk Master'!$G132*-1+('Risk Master'!$G132*'Event Trigger'!$D132*(1-'Input Sheet year 2'!K133))</f>
        <v>300000</v>
      </c>
      <c r="H132" s="73">
        <f>'Risk Master'!$G132*-1+('Risk Master'!$G132*'Event Trigger'!$D132*(1-'Input Sheet year 2'!L133))</f>
        <v>300000</v>
      </c>
      <c r="I132" s="73">
        <f>'Risk Master'!$G132*-1+('Risk Master'!$G132*'Event Trigger'!$D132*(1-'Input Sheet year 2'!M133))</f>
        <v>300000</v>
      </c>
      <c r="J132" s="73">
        <f>'Risk Master'!$G132*-1+('Risk Master'!$G132*'Event Trigger'!$D132*(1-'Input Sheet year 2'!N133))</f>
        <v>300000</v>
      </c>
      <c r="K132" s="73">
        <f>'Risk Master'!$G132*-1+('Risk Master'!$G132*'Event Trigger'!$D132*(1-'Input Sheet year 2'!O133))</f>
        <v>300000</v>
      </c>
      <c r="L132" s="73">
        <f>'Risk Master'!$G132*-1+('Risk Master'!$G132*'Event Trigger'!$D132*(1-'Input Sheet year 2'!P133))</f>
        <v>300000</v>
      </c>
      <c r="M132" s="73">
        <f>'Risk Master'!$G132*-1+('Risk Master'!$G132*'Event Trigger'!$D132*(1-'Input Sheet year 2'!Q133))</f>
        <v>300000</v>
      </c>
      <c r="N132" s="88"/>
      <c r="O132" s="88">
        <f t="shared" si="20"/>
        <v>-300000</v>
      </c>
      <c r="P132" s="88">
        <f t="shared" si="21"/>
        <v>-300000</v>
      </c>
      <c r="Q132" s="88">
        <f t="shared" si="22"/>
        <v>-300000</v>
      </c>
      <c r="R132" s="88">
        <f t="shared" si="23"/>
        <v>-300000</v>
      </c>
      <c r="S132" s="88">
        <f t="shared" si="24"/>
        <v>-300000</v>
      </c>
      <c r="T132" s="88">
        <f t="shared" si="25"/>
        <v>-300000</v>
      </c>
      <c r="U132" s="88">
        <f t="shared" si="26"/>
        <v>-300000</v>
      </c>
      <c r="V132" s="88">
        <f t="shared" si="27"/>
        <v>-300000</v>
      </c>
      <c r="W132" s="88">
        <f t="shared" si="28"/>
        <v>-300000</v>
      </c>
      <c r="X132" s="88">
        <f t="shared" si="29"/>
        <v>-300000</v>
      </c>
      <c r="Z132" s="51" t="s">
        <v>295</v>
      </c>
      <c r="AA132" s="52">
        <f>IF(VLOOKUP($Z132,'Asset Master'!$A:$J,6,FALSE)*COUNTIF('Event Trigger'!$C:$C,'Year 1 Results'!$Z132)&gt;SUMIF('Event Trigger'!$C:$C,$Z132,D:D),0,VLOOKUP($Z132,'Asset Master'!$A:$J,6,FALSE))</f>
        <v>1000000</v>
      </c>
      <c r="AB132" s="52">
        <f>IF(VLOOKUP($Z132,'Asset Master'!$A:$J,6,FALSE)*COUNTIF('Event Trigger'!$C:$C,'Year 1 Results'!$Z132)&gt;SUMIF('Event Trigger'!$C:$C,$Z132,E:E),0,VLOOKUP($Z132,'Asset Master'!$A:$J,6,FALSE))</f>
        <v>1000000</v>
      </c>
      <c r="AC132" s="52">
        <f>IF(VLOOKUP($Z132,'Asset Master'!$A:$J,6,FALSE)*COUNTIF('Event Trigger'!$C:$C,'Year 1 Results'!$Z132)&gt;SUMIF('Event Trigger'!$C:$C,$Z132,F:F),0,VLOOKUP($Z132,'Asset Master'!$A:$J,6,FALSE))</f>
        <v>1000000</v>
      </c>
      <c r="AD132" s="52">
        <f>IF(VLOOKUP($Z132,'Asset Master'!$A:$J,6,FALSE)*COUNTIF('Event Trigger'!$C:$C,'Year 1 Results'!$Z132)&gt;SUMIF('Event Trigger'!$C:$C,$Z132,G:G),0,VLOOKUP($Z132,'Asset Master'!$A:$J,6,FALSE))</f>
        <v>1000000</v>
      </c>
      <c r="AE132" s="52">
        <f>IF(VLOOKUP($Z132,'Asset Master'!$A:$J,6,FALSE)*COUNTIF('Event Trigger'!$C:$C,'Year 1 Results'!$Z132)&gt;SUMIF('Event Trigger'!$C:$C,$Z132,H:H),0,VLOOKUP($Z132,'Asset Master'!$A:$J,6,FALSE))</f>
        <v>1000000</v>
      </c>
      <c r="AF132" s="52">
        <f>IF(VLOOKUP($Z132,'Asset Master'!$A:$J,6,FALSE)*COUNTIF('Event Trigger'!$C:$C,'Year 1 Results'!$Z132)&gt;SUMIF('Event Trigger'!$C:$C,$Z132,I:I),0,VLOOKUP($Z132,'Asset Master'!$A:$J,6,FALSE))</f>
        <v>1000000</v>
      </c>
      <c r="AG132" s="52">
        <f>IF(VLOOKUP($Z132,'Asset Master'!$A:$J,6,FALSE)*COUNTIF('Event Trigger'!$C:$C,'Year 1 Results'!$Z132)&gt;SUMIF('Event Trigger'!$C:$C,$Z132,J:J),0,VLOOKUP($Z132,'Asset Master'!$A:$J,6,FALSE))</f>
        <v>1000000</v>
      </c>
      <c r="AH132" s="52">
        <f>IF(VLOOKUP($Z132,'Asset Master'!$A:$J,6,FALSE)*COUNTIF('Event Trigger'!$C:$C,'Year 1 Results'!$Z132)&gt;SUMIF('Event Trigger'!$C:$C,$Z132,K:K),0,VLOOKUP($Z132,'Asset Master'!$A:$J,6,FALSE))</f>
        <v>1000000</v>
      </c>
      <c r="AI132" s="52">
        <f>IF(VLOOKUP($Z132,'Asset Master'!$A:$J,6,FALSE)*COUNTIF('Event Trigger'!$C:$C,'Year 1 Results'!$Z132)&gt;SUMIF('Event Trigger'!$C:$C,$Z132,L:L),0,VLOOKUP($Z132,'Asset Master'!$A:$J,6,FALSE))</f>
        <v>1000000</v>
      </c>
      <c r="AJ132" s="52">
        <f>IF(VLOOKUP($Z132,'Asset Master'!$A:$J,6,FALSE)*COUNTIF('Event Trigger'!$C:$C,'Year 1 Results'!$Z132)&gt;SUMIF('Event Trigger'!$C:$C,$Z132,M:M),0,VLOOKUP($Z132,'Asset Master'!$A:$J,6,FALSE))</f>
        <v>1000000</v>
      </c>
    </row>
    <row r="133" spans="1:36" x14ac:dyDescent="0.25">
      <c r="A133" s="37" t="str">
        <f>'Risk Master'!B133:B216&amp;"-"&amp;'Risk Master'!D133</f>
        <v>Hurricane-Typhoon -Calgary</v>
      </c>
      <c r="B133" s="37" t="str">
        <f>'Input Sheet year 2'!B134</f>
        <v>Hurricane-Typhoon -Calgary</v>
      </c>
      <c r="C133" s="29" t="str">
        <f>'Risk Master'!F133</f>
        <v>A73</v>
      </c>
      <c r="D133" s="73">
        <f>'Risk Master'!$G133*-1+('Risk Master'!$G133*'Event Trigger'!$D133*(1-'Input Sheet year 1'!H134))</f>
        <v>200000</v>
      </c>
      <c r="E133" s="73">
        <f>'Risk Master'!$G133*-1+('Risk Master'!$G133*'Event Trigger'!$D133*(1-'Input Sheet year 2'!I134))</f>
        <v>200000</v>
      </c>
      <c r="F133" s="73">
        <f>'Risk Master'!$G133*-1+('Risk Master'!$G133*'Event Trigger'!$D133*(1-'Input Sheet year 2'!J134))</f>
        <v>200000</v>
      </c>
      <c r="G133" s="73">
        <f>'Risk Master'!$G133*-1+('Risk Master'!$G133*'Event Trigger'!$D133*(1-'Input Sheet year 2'!K134))</f>
        <v>200000</v>
      </c>
      <c r="H133" s="73">
        <f>'Risk Master'!$G133*-1+('Risk Master'!$G133*'Event Trigger'!$D133*(1-'Input Sheet year 2'!L134))</f>
        <v>200000</v>
      </c>
      <c r="I133" s="73">
        <f>'Risk Master'!$G133*-1+('Risk Master'!$G133*'Event Trigger'!$D133*(1-'Input Sheet year 2'!M134))</f>
        <v>200000</v>
      </c>
      <c r="J133" s="73">
        <f>'Risk Master'!$G133*-1+('Risk Master'!$G133*'Event Trigger'!$D133*(1-'Input Sheet year 2'!N134))</f>
        <v>200000</v>
      </c>
      <c r="K133" s="73">
        <f>'Risk Master'!$G133*-1+('Risk Master'!$G133*'Event Trigger'!$D133*(1-'Input Sheet year 2'!O134))</f>
        <v>200000</v>
      </c>
      <c r="L133" s="73">
        <f>'Risk Master'!$G133*-1+('Risk Master'!$G133*'Event Trigger'!$D133*(1-'Input Sheet year 2'!P134))</f>
        <v>200000</v>
      </c>
      <c r="M133" s="73">
        <f>'Risk Master'!$G133*-1+('Risk Master'!$G133*'Event Trigger'!$D133*(1-'Input Sheet year 2'!Q134))</f>
        <v>200000</v>
      </c>
      <c r="N133" s="88"/>
      <c r="O133" s="88">
        <f t="shared" si="20"/>
        <v>-200000</v>
      </c>
      <c r="P133" s="88">
        <f t="shared" si="21"/>
        <v>-200000</v>
      </c>
      <c r="Q133" s="88">
        <f t="shared" si="22"/>
        <v>-200000</v>
      </c>
      <c r="R133" s="88">
        <f t="shared" si="23"/>
        <v>-200000</v>
      </c>
      <c r="S133" s="88">
        <f t="shared" si="24"/>
        <v>-200000</v>
      </c>
      <c r="T133" s="88">
        <f t="shared" si="25"/>
        <v>-200000</v>
      </c>
      <c r="U133" s="88">
        <f t="shared" si="26"/>
        <v>-200000</v>
      </c>
      <c r="V133" s="88">
        <f t="shared" si="27"/>
        <v>-200000</v>
      </c>
      <c r="W133" s="88">
        <f t="shared" si="28"/>
        <v>-200000</v>
      </c>
      <c r="X133" s="88">
        <f t="shared" si="29"/>
        <v>-200000</v>
      </c>
      <c r="Z133" s="51" t="s">
        <v>296</v>
      </c>
      <c r="AA133" s="52">
        <f>IF(VLOOKUP($Z133,'Asset Master'!$A:$J,6,FALSE)*COUNTIF('Event Trigger'!$C:$C,'Year 1 Results'!$Z133)&gt;SUMIF('Event Trigger'!$C:$C,$Z133,D:D),0,VLOOKUP($Z133,'Asset Master'!$A:$J,6,FALSE))</f>
        <v>500000</v>
      </c>
      <c r="AB133" s="52">
        <f>IF(VLOOKUP($Z133,'Asset Master'!$A:$J,6,FALSE)*COUNTIF('Event Trigger'!$C:$C,'Year 1 Results'!$Z133)&gt;SUMIF('Event Trigger'!$C:$C,$Z133,E:E),0,VLOOKUP($Z133,'Asset Master'!$A:$J,6,FALSE))</f>
        <v>500000</v>
      </c>
      <c r="AC133" s="52">
        <f>IF(VLOOKUP($Z133,'Asset Master'!$A:$J,6,FALSE)*COUNTIF('Event Trigger'!$C:$C,'Year 1 Results'!$Z133)&gt;SUMIF('Event Trigger'!$C:$C,$Z133,F:F),0,VLOOKUP($Z133,'Asset Master'!$A:$J,6,FALSE))</f>
        <v>500000</v>
      </c>
      <c r="AD133" s="52">
        <f>IF(VLOOKUP($Z133,'Asset Master'!$A:$J,6,FALSE)*COUNTIF('Event Trigger'!$C:$C,'Year 1 Results'!$Z133)&gt;SUMIF('Event Trigger'!$C:$C,$Z133,G:G),0,VLOOKUP($Z133,'Asset Master'!$A:$J,6,FALSE))</f>
        <v>500000</v>
      </c>
      <c r="AE133" s="52">
        <f>IF(VLOOKUP($Z133,'Asset Master'!$A:$J,6,FALSE)*COUNTIF('Event Trigger'!$C:$C,'Year 1 Results'!$Z133)&gt;SUMIF('Event Trigger'!$C:$C,$Z133,H:H),0,VLOOKUP($Z133,'Asset Master'!$A:$J,6,FALSE))</f>
        <v>500000</v>
      </c>
      <c r="AF133" s="52">
        <f>IF(VLOOKUP($Z133,'Asset Master'!$A:$J,6,FALSE)*COUNTIF('Event Trigger'!$C:$C,'Year 1 Results'!$Z133)&gt;SUMIF('Event Trigger'!$C:$C,$Z133,I:I),0,VLOOKUP($Z133,'Asset Master'!$A:$J,6,FALSE))</f>
        <v>500000</v>
      </c>
      <c r="AG133" s="52">
        <f>IF(VLOOKUP($Z133,'Asset Master'!$A:$J,6,FALSE)*COUNTIF('Event Trigger'!$C:$C,'Year 1 Results'!$Z133)&gt;SUMIF('Event Trigger'!$C:$C,$Z133,J:J),0,VLOOKUP($Z133,'Asset Master'!$A:$J,6,FALSE))</f>
        <v>500000</v>
      </c>
      <c r="AH133" s="52">
        <f>IF(VLOOKUP($Z133,'Asset Master'!$A:$J,6,FALSE)*COUNTIF('Event Trigger'!$C:$C,'Year 1 Results'!$Z133)&gt;SUMIF('Event Trigger'!$C:$C,$Z133,K:K),0,VLOOKUP($Z133,'Asset Master'!$A:$J,6,FALSE))</f>
        <v>500000</v>
      </c>
      <c r="AI133" s="52">
        <f>IF(VLOOKUP($Z133,'Asset Master'!$A:$J,6,FALSE)*COUNTIF('Event Trigger'!$C:$C,'Year 1 Results'!$Z133)&gt;SUMIF('Event Trigger'!$C:$C,$Z133,L:L),0,VLOOKUP($Z133,'Asset Master'!$A:$J,6,FALSE))</f>
        <v>500000</v>
      </c>
      <c r="AJ133" s="52">
        <f>IF(VLOOKUP($Z133,'Asset Master'!$A:$J,6,FALSE)*COUNTIF('Event Trigger'!$C:$C,'Year 1 Results'!$Z133)&gt;SUMIF('Event Trigger'!$C:$C,$Z133,M:M),0,VLOOKUP($Z133,'Asset Master'!$A:$J,6,FALSE))</f>
        <v>500000</v>
      </c>
    </row>
    <row r="134" spans="1:36" ht="38.25" x14ac:dyDescent="0.25">
      <c r="A134" s="37" t="str">
        <f>'Risk Master'!B134:B217&amp;"-"&amp;'Risk Master'!D134</f>
        <v>Tropical Storm Manuel-Gulf of Mexico</v>
      </c>
      <c r="B134" s="37" t="str">
        <f>'Input Sheet year 2'!B135</f>
        <v>Thunderstorms, Tornados &amp; Tropical storms-Gulf of Mexico</v>
      </c>
      <c r="C134" s="29" t="str">
        <f>'Risk Master'!F134</f>
        <v>A78</v>
      </c>
      <c r="D134" s="73">
        <f>'Risk Master'!$G134*-1+('Risk Master'!$G134*'Event Trigger'!$D134*(1-'Input Sheet year 1'!H135))</f>
        <v>400000</v>
      </c>
      <c r="E134" s="73">
        <f>'Risk Master'!$G134*-1+('Risk Master'!$G134*'Event Trigger'!$D134*(1-'Input Sheet year 2'!I135))</f>
        <v>400000</v>
      </c>
      <c r="F134" s="73">
        <f>'Risk Master'!$G134*-1+('Risk Master'!$G134*'Event Trigger'!$D134*(1-'Input Sheet year 2'!J135))</f>
        <v>400000</v>
      </c>
      <c r="G134" s="73">
        <f>'Risk Master'!$G134*-1+('Risk Master'!$G134*'Event Trigger'!$D134*(1-'Input Sheet year 2'!K135))</f>
        <v>400000</v>
      </c>
      <c r="H134" s="73">
        <f>'Risk Master'!$G134*-1+('Risk Master'!$G134*'Event Trigger'!$D134*(1-'Input Sheet year 2'!L135))</f>
        <v>400000</v>
      </c>
      <c r="I134" s="73">
        <f>'Risk Master'!$G134*-1+('Risk Master'!$G134*'Event Trigger'!$D134*(1-'Input Sheet year 2'!M135))</f>
        <v>400000</v>
      </c>
      <c r="J134" s="73">
        <f>'Risk Master'!$G134*-1+('Risk Master'!$G134*'Event Trigger'!$D134*(1-'Input Sheet year 2'!N135))</f>
        <v>400000</v>
      </c>
      <c r="K134" s="73">
        <f>'Risk Master'!$G134*-1+('Risk Master'!$G134*'Event Trigger'!$D134*(1-'Input Sheet year 2'!O135))</f>
        <v>400000</v>
      </c>
      <c r="L134" s="73">
        <f>'Risk Master'!$G134*-1+('Risk Master'!$G134*'Event Trigger'!$D134*(1-'Input Sheet year 2'!P135))</f>
        <v>400000</v>
      </c>
      <c r="M134" s="73">
        <f>'Risk Master'!$G134*-1+('Risk Master'!$G134*'Event Trigger'!$D134*(1-'Input Sheet year 2'!Q135))</f>
        <v>400000</v>
      </c>
      <c r="N134" s="88"/>
      <c r="O134" s="88">
        <f t="shared" si="20"/>
        <v>-400000</v>
      </c>
      <c r="P134" s="88">
        <f t="shared" si="21"/>
        <v>-400000</v>
      </c>
      <c r="Q134" s="88">
        <f t="shared" si="22"/>
        <v>-400000</v>
      </c>
      <c r="R134" s="88">
        <f t="shared" si="23"/>
        <v>-400000</v>
      </c>
      <c r="S134" s="88">
        <f t="shared" si="24"/>
        <v>-400000</v>
      </c>
      <c r="T134" s="88">
        <f t="shared" si="25"/>
        <v>-400000</v>
      </c>
      <c r="U134" s="88">
        <f t="shared" si="26"/>
        <v>-400000</v>
      </c>
      <c r="V134" s="88">
        <f t="shared" si="27"/>
        <v>-400000</v>
      </c>
      <c r="W134" s="88">
        <f t="shared" si="28"/>
        <v>-400000</v>
      </c>
      <c r="X134" s="88">
        <f t="shared" si="29"/>
        <v>-400000</v>
      </c>
      <c r="Z134" s="51" t="s">
        <v>297</v>
      </c>
      <c r="AA134" s="52">
        <f>IF(VLOOKUP($Z134,'Asset Master'!$A:$J,6,FALSE)*COUNTIF('Event Trigger'!$C:$C,'Year 1 Results'!$Z134)&gt;SUMIF('Event Trigger'!$C:$C,$Z134,D:D),0,VLOOKUP($Z134,'Asset Master'!$A:$J,6,FALSE))</f>
        <v>200000</v>
      </c>
      <c r="AB134" s="52">
        <f>IF(VLOOKUP($Z134,'Asset Master'!$A:$J,6,FALSE)*COUNTIF('Event Trigger'!$C:$C,'Year 1 Results'!$Z134)&gt;SUMIF('Event Trigger'!$C:$C,$Z134,E:E),0,VLOOKUP($Z134,'Asset Master'!$A:$J,6,FALSE))</f>
        <v>200000</v>
      </c>
      <c r="AC134" s="52">
        <f>IF(VLOOKUP($Z134,'Asset Master'!$A:$J,6,FALSE)*COUNTIF('Event Trigger'!$C:$C,'Year 1 Results'!$Z134)&gt;SUMIF('Event Trigger'!$C:$C,$Z134,F:F),0,VLOOKUP($Z134,'Asset Master'!$A:$J,6,FALSE))</f>
        <v>200000</v>
      </c>
      <c r="AD134" s="52">
        <f>IF(VLOOKUP($Z134,'Asset Master'!$A:$J,6,FALSE)*COUNTIF('Event Trigger'!$C:$C,'Year 1 Results'!$Z134)&gt;SUMIF('Event Trigger'!$C:$C,$Z134,G:G),0,VLOOKUP($Z134,'Asset Master'!$A:$J,6,FALSE))</f>
        <v>200000</v>
      </c>
      <c r="AE134" s="52">
        <f>IF(VLOOKUP($Z134,'Asset Master'!$A:$J,6,FALSE)*COUNTIF('Event Trigger'!$C:$C,'Year 1 Results'!$Z134)&gt;SUMIF('Event Trigger'!$C:$C,$Z134,H:H),0,VLOOKUP($Z134,'Asset Master'!$A:$J,6,FALSE))</f>
        <v>200000</v>
      </c>
      <c r="AF134" s="52">
        <f>IF(VLOOKUP($Z134,'Asset Master'!$A:$J,6,FALSE)*COUNTIF('Event Trigger'!$C:$C,'Year 1 Results'!$Z134)&gt;SUMIF('Event Trigger'!$C:$C,$Z134,I:I),0,VLOOKUP($Z134,'Asset Master'!$A:$J,6,FALSE))</f>
        <v>200000</v>
      </c>
      <c r="AG134" s="52">
        <f>IF(VLOOKUP($Z134,'Asset Master'!$A:$J,6,FALSE)*COUNTIF('Event Trigger'!$C:$C,'Year 1 Results'!$Z134)&gt;SUMIF('Event Trigger'!$C:$C,$Z134,J:J),0,VLOOKUP($Z134,'Asset Master'!$A:$J,6,FALSE))</f>
        <v>200000</v>
      </c>
      <c r="AH134" s="52">
        <f>IF(VLOOKUP($Z134,'Asset Master'!$A:$J,6,FALSE)*COUNTIF('Event Trigger'!$C:$C,'Year 1 Results'!$Z134)&gt;SUMIF('Event Trigger'!$C:$C,$Z134,K:K),0,VLOOKUP($Z134,'Asset Master'!$A:$J,6,FALSE))</f>
        <v>200000</v>
      </c>
      <c r="AI134" s="52">
        <f>IF(VLOOKUP($Z134,'Asset Master'!$A:$J,6,FALSE)*COUNTIF('Event Trigger'!$C:$C,'Year 1 Results'!$Z134)&gt;SUMIF('Event Trigger'!$C:$C,$Z134,L:L),0,VLOOKUP($Z134,'Asset Master'!$A:$J,6,FALSE))</f>
        <v>200000</v>
      </c>
      <c r="AJ134" s="52">
        <f>IF(VLOOKUP($Z134,'Asset Master'!$A:$J,6,FALSE)*COUNTIF('Event Trigger'!$C:$C,'Year 1 Results'!$Z134)&gt;SUMIF('Event Trigger'!$C:$C,$Z134,M:M),0,VLOOKUP($Z134,'Asset Master'!$A:$J,6,FALSE))</f>
        <v>200000</v>
      </c>
    </row>
    <row r="135" spans="1:36" ht="25.5" x14ac:dyDescent="0.25">
      <c r="A135" s="37" t="str">
        <f>'Risk Master'!B135:B218&amp;"-"&amp;'Risk Master'!D135</f>
        <v>Hurricane Ingrid-Gulf of Mexico</v>
      </c>
      <c r="B135" s="37" t="str">
        <f>'Input Sheet year 2'!B136</f>
        <v>Hurricane-Typhoon -Gulf of Mexico</v>
      </c>
      <c r="C135" s="29" t="str">
        <f>'Risk Master'!F135</f>
        <v>A79</v>
      </c>
      <c r="D135" s="73">
        <f>'Risk Master'!$G135*-1+('Risk Master'!$G135*'Event Trigger'!$D135*(1-'Input Sheet year 1'!H136))</f>
        <v>500000</v>
      </c>
      <c r="E135" s="73">
        <f>'Risk Master'!$G135*-1+('Risk Master'!$G135*'Event Trigger'!$D135*(1-'Input Sheet year 2'!I136))</f>
        <v>500000</v>
      </c>
      <c r="F135" s="73">
        <f>'Risk Master'!$G135*-1+('Risk Master'!$G135*'Event Trigger'!$D135*(1-'Input Sheet year 2'!J136))</f>
        <v>500000</v>
      </c>
      <c r="G135" s="73">
        <f>'Risk Master'!$G135*-1+('Risk Master'!$G135*'Event Trigger'!$D135*(1-'Input Sheet year 2'!K136))</f>
        <v>500000</v>
      </c>
      <c r="H135" s="73">
        <f>'Risk Master'!$G135*-1+('Risk Master'!$G135*'Event Trigger'!$D135*(1-'Input Sheet year 2'!L136))</f>
        <v>500000</v>
      </c>
      <c r="I135" s="73">
        <f>'Risk Master'!$G135*-1+('Risk Master'!$G135*'Event Trigger'!$D135*(1-'Input Sheet year 2'!M136))</f>
        <v>500000</v>
      </c>
      <c r="J135" s="73">
        <f>'Risk Master'!$G135*-1+('Risk Master'!$G135*'Event Trigger'!$D135*(1-'Input Sheet year 2'!N136))</f>
        <v>500000</v>
      </c>
      <c r="K135" s="73">
        <f>'Risk Master'!$G135*-1+('Risk Master'!$G135*'Event Trigger'!$D135*(1-'Input Sheet year 2'!O136))</f>
        <v>500000</v>
      </c>
      <c r="L135" s="73">
        <f>'Risk Master'!$G135*-1+('Risk Master'!$G135*'Event Trigger'!$D135*(1-'Input Sheet year 2'!P136))</f>
        <v>500000</v>
      </c>
      <c r="M135" s="73">
        <f>'Risk Master'!$G135*-1+('Risk Master'!$G135*'Event Trigger'!$D135*(1-'Input Sheet year 2'!Q136))</f>
        <v>500000</v>
      </c>
      <c r="N135" s="88"/>
      <c r="O135" s="88">
        <f t="shared" si="20"/>
        <v>-500000</v>
      </c>
      <c r="P135" s="88">
        <f t="shared" si="21"/>
        <v>-500000</v>
      </c>
      <c r="Q135" s="88">
        <f t="shared" si="22"/>
        <v>-500000</v>
      </c>
      <c r="R135" s="88">
        <f t="shared" si="23"/>
        <v>-500000</v>
      </c>
      <c r="S135" s="88">
        <f t="shared" si="24"/>
        <v>-500000</v>
      </c>
      <c r="T135" s="88">
        <f t="shared" si="25"/>
        <v>-500000</v>
      </c>
      <c r="U135" s="88">
        <f t="shared" si="26"/>
        <v>-500000</v>
      </c>
      <c r="V135" s="88">
        <f t="shared" si="27"/>
        <v>-500000</v>
      </c>
      <c r="W135" s="88">
        <f t="shared" si="28"/>
        <v>-500000</v>
      </c>
      <c r="X135" s="88">
        <f t="shared" si="29"/>
        <v>-500000</v>
      </c>
      <c r="Z135" s="51" t="s">
        <v>298</v>
      </c>
      <c r="AA135" s="52">
        <f>IF(VLOOKUP($Z135,'Asset Master'!$A:$J,6,FALSE)*COUNTIF('Event Trigger'!$C:$C,'Year 1 Results'!$Z135)&gt;SUMIF('Event Trigger'!$C:$C,$Z135,D:D),0,VLOOKUP($Z135,'Asset Master'!$A:$J,6,FALSE))</f>
        <v>0</v>
      </c>
      <c r="AB135" s="52">
        <f>IF(VLOOKUP($Z135,'Asset Master'!$A:$J,6,FALSE)*COUNTIF('Event Trigger'!$C:$C,'Year 1 Results'!$Z135)&gt;SUMIF('Event Trigger'!$C:$C,$Z135,E:E),0,VLOOKUP($Z135,'Asset Master'!$A:$J,6,FALSE))</f>
        <v>0</v>
      </c>
      <c r="AC135" s="52">
        <f>IF(VLOOKUP($Z135,'Asset Master'!$A:$J,6,FALSE)*COUNTIF('Event Trigger'!$C:$C,'Year 1 Results'!$Z135)&gt;SUMIF('Event Trigger'!$C:$C,$Z135,F:F),0,VLOOKUP($Z135,'Asset Master'!$A:$J,6,FALSE))</f>
        <v>0</v>
      </c>
      <c r="AD135" s="52">
        <f>IF(VLOOKUP($Z135,'Asset Master'!$A:$J,6,FALSE)*COUNTIF('Event Trigger'!$C:$C,'Year 1 Results'!$Z135)&gt;SUMIF('Event Trigger'!$C:$C,$Z135,G:G),0,VLOOKUP($Z135,'Asset Master'!$A:$J,6,FALSE))</f>
        <v>0</v>
      </c>
      <c r="AE135" s="52">
        <f>IF(VLOOKUP($Z135,'Asset Master'!$A:$J,6,FALSE)*COUNTIF('Event Trigger'!$C:$C,'Year 1 Results'!$Z135)&gt;SUMIF('Event Trigger'!$C:$C,$Z135,H:H),0,VLOOKUP($Z135,'Asset Master'!$A:$J,6,FALSE))</f>
        <v>0</v>
      </c>
      <c r="AF135" s="52">
        <f>IF(VLOOKUP($Z135,'Asset Master'!$A:$J,6,FALSE)*COUNTIF('Event Trigger'!$C:$C,'Year 1 Results'!$Z135)&gt;SUMIF('Event Trigger'!$C:$C,$Z135,I:I),0,VLOOKUP($Z135,'Asset Master'!$A:$J,6,FALSE))</f>
        <v>0</v>
      </c>
      <c r="AG135" s="52">
        <f>IF(VLOOKUP($Z135,'Asset Master'!$A:$J,6,FALSE)*COUNTIF('Event Trigger'!$C:$C,'Year 1 Results'!$Z135)&gt;SUMIF('Event Trigger'!$C:$C,$Z135,J:J),0,VLOOKUP($Z135,'Asset Master'!$A:$J,6,FALSE))</f>
        <v>0</v>
      </c>
      <c r="AH135" s="52">
        <f>IF(VLOOKUP($Z135,'Asset Master'!$A:$J,6,FALSE)*COUNTIF('Event Trigger'!$C:$C,'Year 1 Results'!$Z135)&gt;SUMIF('Event Trigger'!$C:$C,$Z135,K:K),0,VLOOKUP($Z135,'Asset Master'!$A:$J,6,FALSE))</f>
        <v>0</v>
      </c>
      <c r="AI135" s="52">
        <f>IF(VLOOKUP($Z135,'Asset Master'!$A:$J,6,FALSE)*COUNTIF('Event Trigger'!$C:$C,'Year 1 Results'!$Z135)&gt;SUMIF('Event Trigger'!$C:$C,$Z135,L:L),0,VLOOKUP($Z135,'Asset Master'!$A:$J,6,FALSE))</f>
        <v>0</v>
      </c>
      <c r="AJ135" s="52">
        <f>IF(VLOOKUP($Z135,'Asset Master'!$A:$J,6,FALSE)*COUNTIF('Event Trigger'!$C:$C,'Year 1 Results'!$Z135)&gt;SUMIF('Event Trigger'!$C:$C,$Z135,M:M),0,VLOOKUP($Z135,'Asset Master'!$A:$J,6,FALSE))</f>
        <v>0</v>
      </c>
    </row>
    <row r="136" spans="1:36" ht="38.25" x14ac:dyDescent="0.25">
      <c r="A136" s="37" t="str">
        <f>'Risk Master'!B136:B219&amp;"-"&amp;'Risk Master'!D136</f>
        <v>Tropical Storm Lorena-Gulf of Mexico</v>
      </c>
      <c r="B136" s="37" t="str">
        <f>'Input Sheet year 2'!B137</f>
        <v>Thunderstorms, Tornados &amp; Tropical storms-Gulf of Mexico</v>
      </c>
      <c r="C136" s="29" t="str">
        <f>'Risk Master'!F136</f>
        <v>A81</v>
      </c>
      <c r="D136" s="73">
        <f>'Risk Master'!$G136*-1+('Risk Master'!$G136*'Event Trigger'!$D136*(1-'Input Sheet year 1'!H137))</f>
        <v>200000</v>
      </c>
      <c r="E136" s="73">
        <f>'Risk Master'!$G136*-1+('Risk Master'!$G136*'Event Trigger'!$D136*(1-'Input Sheet year 2'!I137))</f>
        <v>200000</v>
      </c>
      <c r="F136" s="73">
        <f>'Risk Master'!$G136*-1+('Risk Master'!$G136*'Event Trigger'!$D136*(1-'Input Sheet year 2'!J137))</f>
        <v>200000</v>
      </c>
      <c r="G136" s="73">
        <f>'Risk Master'!$G136*-1+('Risk Master'!$G136*'Event Trigger'!$D136*(1-'Input Sheet year 2'!K137))</f>
        <v>200000</v>
      </c>
      <c r="H136" s="73">
        <f>'Risk Master'!$G136*-1+('Risk Master'!$G136*'Event Trigger'!$D136*(1-'Input Sheet year 2'!L137))</f>
        <v>200000</v>
      </c>
      <c r="I136" s="73">
        <f>'Risk Master'!$G136*-1+('Risk Master'!$G136*'Event Trigger'!$D136*(1-'Input Sheet year 2'!M137))</f>
        <v>200000</v>
      </c>
      <c r="J136" s="73">
        <f>'Risk Master'!$G136*-1+('Risk Master'!$G136*'Event Trigger'!$D136*(1-'Input Sheet year 2'!N137))</f>
        <v>200000</v>
      </c>
      <c r="K136" s="73">
        <f>'Risk Master'!$G136*-1+('Risk Master'!$G136*'Event Trigger'!$D136*(1-'Input Sheet year 2'!O137))</f>
        <v>200000</v>
      </c>
      <c r="L136" s="73">
        <f>'Risk Master'!$G136*-1+('Risk Master'!$G136*'Event Trigger'!$D136*(1-'Input Sheet year 2'!P137))</f>
        <v>200000</v>
      </c>
      <c r="M136" s="73">
        <f>'Risk Master'!$G136*-1+('Risk Master'!$G136*'Event Trigger'!$D136*(1-'Input Sheet year 2'!Q137))</f>
        <v>200000</v>
      </c>
      <c r="N136" s="88"/>
      <c r="O136" s="88">
        <f t="shared" si="20"/>
        <v>-200000</v>
      </c>
      <c r="P136" s="88">
        <f t="shared" si="21"/>
        <v>-200000</v>
      </c>
      <c r="Q136" s="88">
        <f t="shared" si="22"/>
        <v>-200000</v>
      </c>
      <c r="R136" s="88">
        <f t="shared" si="23"/>
        <v>-200000</v>
      </c>
      <c r="S136" s="88">
        <f t="shared" si="24"/>
        <v>-200000</v>
      </c>
      <c r="T136" s="88">
        <f t="shared" si="25"/>
        <v>-200000</v>
      </c>
      <c r="U136" s="88">
        <f t="shared" si="26"/>
        <v>-200000</v>
      </c>
      <c r="V136" s="88">
        <f t="shared" si="27"/>
        <v>-200000</v>
      </c>
      <c r="W136" s="88">
        <f t="shared" si="28"/>
        <v>-200000</v>
      </c>
      <c r="X136" s="88">
        <f t="shared" si="29"/>
        <v>-200000</v>
      </c>
      <c r="Z136" s="51" t="s">
        <v>299</v>
      </c>
      <c r="AA136" s="52">
        <f>IF(VLOOKUP($Z136,'Asset Master'!$A:$J,6,FALSE)*COUNTIF('Event Trigger'!$C:$C,'Year 1 Results'!$Z136)&gt;SUMIF('Event Trigger'!$C:$C,$Z136,D:D),0,VLOOKUP($Z136,'Asset Master'!$A:$J,6,FALSE))</f>
        <v>200000</v>
      </c>
      <c r="AB136" s="52">
        <f>IF(VLOOKUP($Z136,'Asset Master'!$A:$J,6,FALSE)*COUNTIF('Event Trigger'!$C:$C,'Year 1 Results'!$Z136)&gt;SUMIF('Event Trigger'!$C:$C,$Z136,E:E),0,VLOOKUP($Z136,'Asset Master'!$A:$J,6,FALSE))</f>
        <v>200000</v>
      </c>
      <c r="AC136" s="52">
        <f>IF(VLOOKUP($Z136,'Asset Master'!$A:$J,6,FALSE)*COUNTIF('Event Trigger'!$C:$C,'Year 1 Results'!$Z136)&gt;SUMIF('Event Trigger'!$C:$C,$Z136,F:F),0,VLOOKUP($Z136,'Asset Master'!$A:$J,6,FALSE))</f>
        <v>200000</v>
      </c>
      <c r="AD136" s="52">
        <f>IF(VLOOKUP($Z136,'Asset Master'!$A:$J,6,FALSE)*COUNTIF('Event Trigger'!$C:$C,'Year 1 Results'!$Z136)&gt;SUMIF('Event Trigger'!$C:$C,$Z136,G:G),0,VLOOKUP($Z136,'Asset Master'!$A:$J,6,FALSE))</f>
        <v>200000</v>
      </c>
      <c r="AE136" s="52">
        <f>IF(VLOOKUP($Z136,'Asset Master'!$A:$J,6,FALSE)*COUNTIF('Event Trigger'!$C:$C,'Year 1 Results'!$Z136)&gt;SUMIF('Event Trigger'!$C:$C,$Z136,H:H),0,VLOOKUP($Z136,'Asset Master'!$A:$J,6,FALSE))</f>
        <v>200000</v>
      </c>
      <c r="AF136" s="52">
        <f>IF(VLOOKUP($Z136,'Asset Master'!$A:$J,6,FALSE)*COUNTIF('Event Trigger'!$C:$C,'Year 1 Results'!$Z136)&gt;SUMIF('Event Trigger'!$C:$C,$Z136,I:I),0,VLOOKUP($Z136,'Asset Master'!$A:$J,6,FALSE))</f>
        <v>200000</v>
      </c>
      <c r="AG136" s="52">
        <f>IF(VLOOKUP($Z136,'Asset Master'!$A:$J,6,FALSE)*COUNTIF('Event Trigger'!$C:$C,'Year 1 Results'!$Z136)&gt;SUMIF('Event Trigger'!$C:$C,$Z136,J:J),0,VLOOKUP($Z136,'Asset Master'!$A:$J,6,FALSE))</f>
        <v>200000</v>
      </c>
      <c r="AH136" s="52">
        <f>IF(VLOOKUP($Z136,'Asset Master'!$A:$J,6,FALSE)*COUNTIF('Event Trigger'!$C:$C,'Year 1 Results'!$Z136)&gt;SUMIF('Event Trigger'!$C:$C,$Z136,K:K),0,VLOOKUP($Z136,'Asset Master'!$A:$J,6,FALSE))</f>
        <v>200000</v>
      </c>
      <c r="AI136" s="52">
        <f>IF(VLOOKUP($Z136,'Asset Master'!$A:$J,6,FALSE)*COUNTIF('Event Trigger'!$C:$C,'Year 1 Results'!$Z136)&gt;SUMIF('Event Trigger'!$C:$C,$Z136,L:L),0,VLOOKUP($Z136,'Asset Master'!$A:$J,6,FALSE))</f>
        <v>200000</v>
      </c>
      <c r="AJ136" s="52">
        <f>IF(VLOOKUP($Z136,'Asset Master'!$A:$J,6,FALSE)*COUNTIF('Event Trigger'!$C:$C,'Year 1 Results'!$Z136)&gt;SUMIF('Event Trigger'!$C:$C,$Z136,M:M),0,VLOOKUP($Z136,'Asset Master'!$A:$J,6,FALSE))</f>
        <v>200000</v>
      </c>
    </row>
    <row r="137" spans="1:36" ht="38.25" x14ac:dyDescent="0.25">
      <c r="A137" s="37" t="str">
        <f>'Risk Master'!B137:B220&amp;"-"&amp;'Risk Master'!D137</f>
        <v>Tropical Storm Kong-Rey-Gulf of Mexico</v>
      </c>
      <c r="B137" s="37" t="str">
        <f>'Input Sheet year 2'!B138</f>
        <v>Thunderstorms, Tornados &amp; Tropical storms-Gulf of Mexico</v>
      </c>
      <c r="C137" s="29" t="str">
        <f>'Risk Master'!F137</f>
        <v>A83</v>
      </c>
      <c r="D137" s="73">
        <f>'Risk Master'!$G137*-1+('Risk Master'!$G137*'Event Trigger'!$D137*(1-'Input Sheet year 1'!H138))</f>
        <v>300000</v>
      </c>
      <c r="E137" s="73">
        <f>'Risk Master'!$G137*-1+('Risk Master'!$G137*'Event Trigger'!$D137*(1-'Input Sheet year 2'!I138))</f>
        <v>300000</v>
      </c>
      <c r="F137" s="73">
        <f>'Risk Master'!$G137*-1+('Risk Master'!$G137*'Event Trigger'!$D137*(1-'Input Sheet year 2'!J138))</f>
        <v>300000</v>
      </c>
      <c r="G137" s="73">
        <f>'Risk Master'!$G137*-1+('Risk Master'!$G137*'Event Trigger'!$D137*(1-'Input Sheet year 2'!K138))</f>
        <v>300000</v>
      </c>
      <c r="H137" s="73">
        <f>'Risk Master'!$G137*-1+('Risk Master'!$G137*'Event Trigger'!$D137*(1-'Input Sheet year 2'!L138))</f>
        <v>300000</v>
      </c>
      <c r="I137" s="73">
        <f>'Risk Master'!$G137*-1+('Risk Master'!$G137*'Event Trigger'!$D137*(1-'Input Sheet year 2'!M138))</f>
        <v>300000</v>
      </c>
      <c r="J137" s="73">
        <f>'Risk Master'!$G137*-1+('Risk Master'!$G137*'Event Trigger'!$D137*(1-'Input Sheet year 2'!N138))</f>
        <v>300000</v>
      </c>
      <c r="K137" s="73">
        <f>'Risk Master'!$G137*-1+('Risk Master'!$G137*'Event Trigger'!$D137*(1-'Input Sheet year 2'!O138))</f>
        <v>300000</v>
      </c>
      <c r="L137" s="73">
        <f>'Risk Master'!$G137*-1+('Risk Master'!$G137*'Event Trigger'!$D137*(1-'Input Sheet year 2'!P138))</f>
        <v>300000</v>
      </c>
      <c r="M137" s="73">
        <f>'Risk Master'!$G137*-1+('Risk Master'!$G137*'Event Trigger'!$D137*(1-'Input Sheet year 2'!Q138))</f>
        <v>300000</v>
      </c>
      <c r="N137" s="88"/>
      <c r="O137" s="88">
        <f t="shared" si="20"/>
        <v>-300000</v>
      </c>
      <c r="P137" s="88">
        <f t="shared" si="21"/>
        <v>-300000</v>
      </c>
      <c r="Q137" s="88">
        <f t="shared" si="22"/>
        <v>-300000</v>
      </c>
      <c r="R137" s="88">
        <f t="shared" si="23"/>
        <v>-300000</v>
      </c>
      <c r="S137" s="88">
        <f t="shared" si="24"/>
        <v>-300000</v>
      </c>
      <c r="T137" s="88">
        <f t="shared" si="25"/>
        <v>-300000</v>
      </c>
      <c r="U137" s="88">
        <f t="shared" si="26"/>
        <v>-300000</v>
      </c>
      <c r="V137" s="88">
        <f t="shared" si="27"/>
        <v>-300000</v>
      </c>
      <c r="W137" s="88">
        <f t="shared" si="28"/>
        <v>-300000</v>
      </c>
      <c r="X137" s="88">
        <f t="shared" si="29"/>
        <v>-300000</v>
      </c>
      <c r="Z137" s="83" t="s">
        <v>68</v>
      </c>
      <c r="AA137" s="84">
        <f>SUM(AA2:AA136)</f>
        <v>23700000</v>
      </c>
      <c r="AB137" s="85">
        <f t="shared" ref="AB137:AJ137" si="30">SUM(AB2:AB136)</f>
        <v>23000000</v>
      </c>
      <c r="AC137" s="85">
        <f t="shared" si="30"/>
        <v>23400000</v>
      </c>
      <c r="AD137" s="85">
        <f t="shared" si="30"/>
        <v>22500000</v>
      </c>
      <c r="AE137" s="85">
        <f t="shared" si="30"/>
        <v>22900000</v>
      </c>
      <c r="AF137" s="84">
        <f>SUM(AF2:AF136)</f>
        <v>23100000</v>
      </c>
      <c r="AG137" s="85">
        <f t="shared" si="30"/>
        <v>23400000</v>
      </c>
      <c r="AH137" s="85">
        <f t="shared" si="30"/>
        <v>23600000</v>
      </c>
      <c r="AI137" s="85">
        <f t="shared" si="30"/>
        <v>23000000</v>
      </c>
      <c r="AJ137" s="85">
        <f t="shared" si="30"/>
        <v>24300000</v>
      </c>
    </row>
    <row r="138" spans="1:36" ht="38.25" x14ac:dyDescent="0.25">
      <c r="A138" s="37" t="str">
        <f>'Risk Master'!B138:B221&amp;"-"&amp;'Risk Master'!D138</f>
        <v>Tropical Storm Fernand-Gulf of Mexico</v>
      </c>
      <c r="B138" s="37" t="str">
        <f>'Input Sheet year 2'!B139</f>
        <v>Thunderstorms, Tornados &amp; Tropical storms-Gulf of Mexico</v>
      </c>
      <c r="C138" s="29" t="str">
        <f>'Risk Master'!F138</f>
        <v>A88</v>
      </c>
      <c r="D138" s="73">
        <f>'Risk Master'!$G138*-1+('Risk Master'!$G138*'Event Trigger'!$D138*(1-'Input Sheet year 1'!H139))</f>
        <v>500000</v>
      </c>
      <c r="E138" s="73">
        <f>'Risk Master'!$G138*-1+('Risk Master'!$G138*'Event Trigger'!$D138*(1-'Input Sheet year 2'!I139))</f>
        <v>500000</v>
      </c>
      <c r="F138" s="73">
        <f>'Risk Master'!$G138*-1+('Risk Master'!$G138*'Event Trigger'!$D138*(1-'Input Sheet year 2'!J139))</f>
        <v>500000</v>
      </c>
      <c r="G138" s="73">
        <f>'Risk Master'!$G138*-1+('Risk Master'!$G138*'Event Trigger'!$D138*(1-'Input Sheet year 2'!K139))</f>
        <v>500000</v>
      </c>
      <c r="H138" s="73">
        <f>'Risk Master'!$G138*-1+('Risk Master'!$G138*'Event Trigger'!$D138*(1-'Input Sheet year 2'!L139))</f>
        <v>500000</v>
      </c>
      <c r="I138" s="73">
        <f>'Risk Master'!$G138*-1+('Risk Master'!$G138*'Event Trigger'!$D138*(1-'Input Sheet year 2'!M139))</f>
        <v>500000</v>
      </c>
      <c r="J138" s="73">
        <f>'Risk Master'!$G138*-1+('Risk Master'!$G138*'Event Trigger'!$D138*(1-'Input Sheet year 2'!N139))</f>
        <v>500000</v>
      </c>
      <c r="K138" s="73">
        <f>'Risk Master'!$G138*-1+('Risk Master'!$G138*'Event Trigger'!$D138*(1-'Input Sheet year 2'!O139))</f>
        <v>500000</v>
      </c>
      <c r="L138" s="73">
        <f>'Risk Master'!$G138*-1+('Risk Master'!$G138*'Event Trigger'!$D138*(1-'Input Sheet year 2'!P139))</f>
        <v>500000</v>
      </c>
      <c r="M138" s="73">
        <f>'Risk Master'!$G138*-1+('Risk Master'!$G138*'Event Trigger'!$D138*(1-'Input Sheet year 2'!Q139))</f>
        <v>500000</v>
      </c>
      <c r="N138" s="88"/>
      <c r="O138" s="88">
        <f t="shared" si="20"/>
        <v>-500000</v>
      </c>
      <c r="P138" s="88">
        <f t="shared" si="21"/>
        <v>-500000</v>
      </c>
      <c r="Q138" s="88">
        <f t="shared" si="22"/>
        <v>-500000</v>
      </c>
      <c r="R138" s="88">
        <f t="shared" si="23"/>
        <v>-500000</v>
      </c>
      <c r="S138" s="88">
        <f t="shared" si="24"/>
        <v>-500000</v>
      </c>
      <c r="T138" s="88">
        <f t="shared" si="25"/>
        <v>-500000</v>
      </c>
      <c r="U138" s="88">
        <f t="shared" si="26"/>
        <v>-500000</v>
      </c>
      <c r="V138" s="88">
        <f t="shared" si="27"/>
        <v>-500000</v>
      </c>
      <c r="W138" s="88">
        <f t="shared" si="28"/>
        <v>-500000</v>
      </c>
      <c r="X138" s="88">
        <f t="shared" si="29"/>
        <v>-500000</v>
      </c>
    </row>
    <row r="139" spans="1:36" x14ac:dyDescent="0.25">
      <c r="A139" s="37" t="str">
        <f>'Risk Master'!B139:B222&amp;"-"&amp;'Risk Master'!D139</f>
        <v>Earthquake-Gulf of Mexico</v>
      </c>
      <c r="B139" s="37" t="str">
        <f>'Input Sheet year 2'!B140</f>
        <v>Earthquake-Gulf of Mexico</v>
      </c>
      <c r="C139" s="29" t="str">
        <f>'Risk Master'!F139</f>
        <v>A90</v>
      </c>
      <c r="D139" s="73">
        <f>'Risk Master'!$G139*-1+('Risk Master'!$G139*'Event Trigger'!$D139*(1-'Input Sheet year 1'!H140))</f>
        <v>0</v>
      </c>
      <c r="E139" s="73">
        <f>'Risk Master'!$G139*-1+('Risk Master'!$G139*'Event Trigger'!$D139*(1-'Input Sheet year 2'!I140))</f>
        <v>0</v>
      </c>
      <c r="F139" s="73">
        <f>'Risk Master'!$G139*-1+('Risk Master'!$G139*'Event Trigger'!$D139*(1-'Input Sheet year 2'!J140))</f>
        <v>0</v>
      </c>
      <c r="G139" s="73">
        <f>'Risk Master'!$G139*-1+('Risk Master'!$G139*'Event Trigger'!$D139*(1-'Input Sheet year 2'!K140))</f>
        <v>0</v>
      </c>
      <c r="H139" s="73">
        <f>'Risk Master'!$G139*-1+('Risk Master'!$G139*'Event Trigger'!$D139*(1-'Input Sheet year 2'!L140))</f>
        <v>0</v>
      </c>
      <c r="I139" s="73">
        <f>'Risk Master'!$G139*-1+('Risk Master'!$G139*'Event Trigger'!$D139*(1-'Input Sheet year 2'!M140))</f>
        <v>0</v>
      </c>
      <c r="J139" s="73">
        <f>'Risk Master'!$G139*-1+('Risk Master'!$G139*'Event Trigger'!$D139*(1-'Input Sheet year 2'!N140))</f>
        <v>0</v>
      </c>
      <c r="K139" s="73">
        <f>'Risk Master'!$G139*-1+('Risk Master'!$G139*'Event Trigger'!$D139*(1-'Input Sheet year 2'!O140))</f>
        <v>0</v>
      </c>
      <c r="L139" s="73">
        <f>'Risk Master'!$G139*-1+('Risk Master'!$G139*'Event Trigger'!$D139*(1-'Input Sheet year 2'!P140))</f>
        <v>0</v>
      </c>
      <c r="M139" s="73">
        <f>'Risk Master'!$G139*-1+('Risk Master'!$G139*'Event Trigger'!$D139*(1-'Input Sheet year 2'!Q140))</f>
        <v>600000</v>
      </c>
      <c r="N139" s="88"/>
      <c r="O139" s="88">
        <f t="shared" si="20"/>
        <v>0</v>
      </c>
      <c r="P139" s="88">
        <f t="shared" si="21"/>
        <v>0</v>
      </c>
      <c r="Q139" s="88">
        <f t="shared" si="22"/>
        <v>0</v>
      </c>
      <c r="R139" s="88">
        <f t="shared" si="23"/>
        <v>0</v>
      </c>
      <c r="S139" s="88">
        <f t="shared" si="24"/>
        <v>0</v>
      </c>
      <c r="T139" s="88">
        <f t="shared" si="25"/>
        <v>0</v>
      </c>
      <c r="U139" s="88">
        <f t="shared" si="26"/>
        <v>0</v>
      </c>
      <c r="V139" s="88">
        <f t="shared" si="27"/>
        <v>0</v>
      </c>
      <c r="W139" s="88">
        <f t="shared" si="28"/>
        <v>0</v>
      </c>
      <c r="X139" s="88">
        <f t="shared" si="29"/>
        <v>-600000</v>
      </c>
    </row>
    <row r="140" spans="1:36" ht="25.5" x14ac:dyDescent="0.25">
      <c r="A140" s="37" t="str">
        <f>'Risk Master'!B140:B223&amp;"-"&amp;'Risk Master'!D140</f>
        <v>Thunderstorms, Tornados &amp; Hail-Tokyo</v>
      </c>
      <c r="B140" s="37" t="str">
        <f>'Input Sheet year 2'!B141</f>
        <v>Thunderstorms, Tornados &amp; Hail-Tokyo</v>
      </c>
      <c r="C140" s="29" t="str">
        <f>'Risk Master'!F140</f>
        <v>A93</v>
      </c>
      <c r="D140" s="73">
        <f>'Risk Master'!$G140*-1+('Risk Master'!$G140*'Event Trigger'!$D140*(1-'Input Sheet year 1'!H141))</f>
        <v>400000</v>
      </c>
      <c r="E140" s="73">
        <f>'Risk Master'!$G140*-1+('Risk Master'!$G140*'Event Trigger'!$D140*(1-'Input Sheet year 2'!I141))</f>
        <v>400000</v>
      </c>
      <c r="F140" s="73">
        <f>'Risk Master'!$G140*-1+('Risk Master'!$G140*'Event Trigger'!$D140*(1-'Input Sheet year 2'!J141))</f>
        <v>400000</v>
      </c>
      <c r="G140" s="73">
        <f>'Risk Master'!$G140*-1+('Risk Master'!$G140*'Event Trigger'!$D140*(1-'Input Sheet year 2'!K141))</f>
        <v>400000</v>
      </c>
      <c r="H140" s="73">
        <f>'Risk Master'!$G140*-1+('Risk Master'!$G140*'Event Trigger'!$D140*(1-'Input Sheet year 2'!L141))</f>
        <v>400000</v>
      </c>
      <c r="I140" s="73">
        <f>'Risk Master'!$G140*-1+('Risk Master'!$G140*'Event Trigger'!$D140*(1-'Input Sheet year 2'!M141))</f>
        <v>400000</v>
      </c>
      <c r="J140" s="73">
        <f>'Risk Master'!$G140*-1+('Risk Master'!$G140*'Event Trigger'!$D140*(1-'Input Sheet year 2'!N141))</f>
        <v>400000</v>
      </c>
      <c r="K140" s="73">
        <f>'Risk Master'!$G140*-1+('Risk Master'!$G140*'Event Trigger'!$D140*(1-'Input Sheet year 2'!O141))</f>
        <v>400000</v>
      </c>
      <c r="L140" s="73">
        <f>'Risk Master'!$G140*-1+('Risk Master'!$G140*'Event Trigger'!$D140*(1-'Input Sheet year 2'!P141))</f>
        <v>400000</v>
      </c>
      <c r="M140" s="73">
        <f>'Risk Master'!$G140*-1+('Risk Master'!$G140*'Event Trigger'!$D140*(1-'Input Sheet year 2'!Q141))</f>
        <v>400000</v>
      </c>
      <c r="N140" s="88"/>
      <c r="O140" s="88">
        <f t="shared" si="20"/>
        <v>-400000</v>
      </c>
      <c r="P140" s="88">
        <f t="shared" si="21"/>
        <v>-400000</v>
      </c>
      <c r="Q140" s="88">
        <f t="shared" si="22"/>
        <v>-400000</v>
      </c>
      <c r="R140" s="88">
        <f t="shared" si="23"/>
        <v>-400000</v>
      </c>
      <c r="S140" s="88">
        <f t="shared" si="24"/>
        <v>-400000</v>
      </c>
      <c r="T140" s="88">
        <f t="shared" si="25"/>
        <v>-400000</v>
      </c>
      <c r="U140" s="88">
        <f t="shared" si="26"/>
        <v>-400000</v>
      </c>
      <c r="V140" s="88">
        <f t="shared" si="27"/>
        <v>-400000</v>
      </c>
      <c r="W140" s="88">
        <f t="shared" si="28"/>
        <v>-400000</v>
      </c>
      <c r="X140" s="88">
        <f t="shared" si="29"/>
        <v>-400000</v>
      </c>
    </row>
    <row r="141" spans="1:36" x14ac:dyDescent="0.25">
      <c r="A141" s="37" t="str">
        <f>'Risk Master'!B141:B224&amp;"-"&amp;'Risk Master'!D141</f>
        <v>Hurricane-Typhoon -Tokyo</v>
      </c>
      <c r="B141" s="37" t="str">
        <f>'Input Sheet year 2'!B142</f>
        <v>Hurricane-Typhoon -Tokyo</v>
      </c>
      <c r="C141" s="29" t="str">
        <f>'Risk Master'!F141</f>
        <v>A93</v>
      </c>
      <c r="D141" s="73">
        <f>'Risk Master'!$G141*-1+('Risk Master'!$G141*'Event Trigger'!$D141*(1-'Input Sheet year 1'!H142))</f>
        <v>400000</v>
      </c>
      <c r="E141" s="73">
        <f>'Risk Master'!$G141*-1+('Risk Master'!$G141*'Event Trigger'!$D141*(1-'Input Sheet year 2'!I142))</f>
        <v>400000</v>
      </c>
      <c r="F141" s="73">
        <f>'Risk Master'!$G141*-1+('Risk Master'!$G141*'Event Trigger'!$D141*(1-'Input Sheet year 2'!J142))</f>
        <v>400000</v>
      </c>
      <c r="G141" s="73">
        <f>'Risk Master'!$G141*-1+('Risk Master'!$G141*'Event Trigger'!$D141*(1-'Input Sheet year 2'!K142))</f>
        <v>400000</v>
      </c>
      <c r="H141" s="73">
        <f>'Risk Master'!$G141*-1+('Risk Master'!$G141*'Event Trigger'!$D141*(1-'Input Sheet year 2'!L142))</f>
        <v>400000</v>
      </c>
      <c r="I141" s="73">
        <f>'Risk Master'!$G141*-1+('Risk Master'!$G141*'Event Trigger'!$D141*(1-'Input Sheet year 2'!M142))</f>
        <v>400000</v>
      </c>
      <c r="J141" s="73">
        <f>'Risk Master'!$G141*-1+('Risk Master'!$G141*'Event Trigger'!$D141*(1-'Input Sheet year 2'!N142))</f>
        <v>400000</v>
      </c>
      <c r="K141" s="73">
        <f>'Risk Master'!$G141*-1+('Risk Master'!$G141*'Event Trigger'!$D141*(1-'Input Sheet year 2'!O142))</f>
        <v>400000</v>
      </c>
      <c r="L141" s="73">
        <f>'Risk Master'!$G141*-1+('Risk Master'!$G141*'Event Trigger'!$D141*(1-'Input Sheet year 2'!P142))</f>
        <v>400000</v>
      </c>
      <c r="M141" s="73">
        <f>'Risk Master'!$G141*-1+('Risk Master'!$G141*'Event Trigger'!$D141*(1-'Input Sheet year 2'!Q142))</f>
        <v>400000</v>
      </c>
      <c r="N141" s="88"/>
      <c r="O141" s="88">
        <f t="shared" si="20"/>
        <v>-400000</v>
      </c>
      <c r="P141" s="88">
        <f t="shared" si="21"/>
        <v>-400000</v>
      </c>
      <c r="Q141" s="88">
        <f t="shared" si="22"/>
        <v>-400000</v>
      </c>
      <c r="R141" s="88">
        <f t="shared" si="23"/>
        <v>-400000</v>
      </c>
      <c r="S141" s="88">
        <f t="shared" si="24"/>
        <v>-400000</v>
      </c>
      <c r="T141" s="88">
        <f t="shared" si="25"/>
        <v>-400000</v>
      </c>
      <c r="U141" s="88">
        <f t="shared" si="26"/>
        <v>-400000</v>
      </c>
      <c r="V141" s="88">
        <f t="shared" si="27"/>
        <v>-400000</v>
      </c>
      <c r="W141" s="88">
        <f t="shared" si="28"/>
        <v>-400000</v>
      </c>
      <c r="X141" s="88">
        <f t="shared" si="29"/>
        <v>-400000</v>
      </c>
    </row>
    <row r="142" spans="1:36" x14ac:dyDescent="0.25">
      <c r="A142" s="37" t="str">
        <f>'Risk Master'!B142:B225&amp;"-"&amp;'Risk Master'!D142</f>
        <v>Earthquake-Tokyo</v>
      </c>
      <c r="B142" s="37" t="str">
        <f>'Input Sheet year 2'!B143</f>
        <v>Earthquake-Tokyo</v>
      </c>
      <c r="C142" s="29" t="str">
        <f>'Risk Master'!F142</f>
        <v>A93</v>
      </c>
      <c r="D142" s="73">
        <f>'Risk Master'!$G142*-1+('Risk Master'!$G142*'Event Trigger'!$D142*(1-'Input Sheet year 1'!H143))</f>
        <v>400000</v>
      </c>
      <c r="E142" s="73">
        <f>'Risk Master'!$G142*-1+('Risk Master'!$G142*'Event Trigger'!$D142*(1-'Input Sheet year 2'!I143))</f>
        <v>400000</v>
      </c>
      <c r="F142" s="73">
        <f>'Risk Master'!$G142*-1+('Risk Master'!$G142*'Event Trigger'!$D142*(1-'Input Sheet year 2'!J143))</f>
        <v>400000</v>
      </c>
      <c r="G142" s="73">
        <f>'Risk Master'!$G142*-1+('Risk Master'!$G142*'Event Trigger'!$D142*(1-'Input Sheet year 2'!K143))</f>
        <v>400000</v>
      </c>
      <c r="H142" s="73">
        <f>'Risk Master'!$G142*-1+('Risk Master'!$G142*'Event Trigger'!$D142*(1-'Input Sheet year 2'!L143))</f>
        <v>400000</v>
      </c>
      <c r="I142" s="73">
        <f>'Risk Master'!$G142*-1+('Risk Master'!$G142*'Event Trigger'!$D142*(1-'Input Sheet year 2'!M143))</f>
        <v>400000</v>
      </c>
      <c r="J142" s="73">
        <f>'Risk Master'!$G142*-1+('Risk Master'!$G142*'Event Trigger'!$D142*(1-'Input Sheet year 2'!N143))</f>
        <v>400000</v>
      </c>
      <c r="K142" s="73">
        <f>'Risk Master'!$G142*-1+('Risk Master'!$G142*'Event Trigger'!$D142*(1-'Input Sheet year 2'!O143))</f>
        <v>400000</v>
      </c>
      <c r="L142" s="73">
        <f>'Risk Master'!$G142*-1+('Risk Master'!$G142*'Event Trigger'!$D142*(1-'Input Sheet year 2'!P143))</f>
        <v>400000</v>
      </c>
      <c r="M142" s="73">
        <f>'Risk Master'!$G142*-1+('Risk Master'!$G142*'Event Trigger'!$D142*(1-'Input Sheet year 2'!Q143))</f>
        <v>400000</v>
      </c>
      <c r="N142" s="88"/>
      <c r="O142" s="88">
        <f t="shared" si="20"/>
        <v>-400000</v>
      </c>
      <c r="P142" s="88">
        <f t="shared" si="21"/>
        <v>-400000</v>
      </c>
      <c r="Q142" s="88">
        <f t="shared" si="22"/>
        <v>-400000</v>
      </c>
      <c r="R142" s="88">
        <f t="shared" si="23"/>
        <v>-400000</v>
      </c>
      <c r="S142" s="88">
        <f t="shared" si="24"/>
        <v>-400000</v>
      </c>
      <c r="T142" s="88">
        <f t="shared" si="25"/>
        <v>-400000</v>
      </c>
      <c r="U142" s="88">
        <f t="shared" si="26"/>
        <v>-400000</v>
      </c>
      <c r="V142" s="88">
        <f t="shared" si="27"/>
        <v>-400000</v>
      </c>
      <c r="W142" s="88">
        <f t="shared" si="28"/>
        <v>-400000</v>
      </c>
      <c r="X142" s="88">
        <f t="shared" si="29"/>
        <v>-400000</v>
      </c>
    </row>
    <row r="143" spans="1:36" ht="25.5" x14ac:dyDescent="0.25">
      <c r="A143" s="37" t="str">
        <f>'Risk Master'!B143:B226&amp;"-"&amp;'Risk Master'!D143</f>
        <v>Thunderstorms, Tornados &amp; Hail-Tokyo</v>
      </c>
      <c r="B143" s="37" t="str">
        <f>'Input Sheet year 2'!B144</f>
        <v>Thunderstorms, Tornados &amp; Hail-Tokyo</v>
      </c>
      <c r="C143" s="29" t="str">
        <f>'Risk Master'!F143</f>
        <v>A94</v>
      </c>
      <c r="D143" s="73">
        <f>'Risk Master'!$G143*-1+('Risk Master'!$G143*'Event Trigger'!$D143*(1-'Input Sheet year 1'!H144))</f>
        <v>300000</v>
      </c>
      <c r="E143" s="73">
        <f>'Risk Master'!$G143*-1+('Risk Master'!$G143*'Event Trigger'!$D143*(1-'Input Sheet year 2'!I144))</f>
        <v>300000</v>
      </c>
      <c r="F143" s="73">
        <f>'Risk Master'!$G143*-1+('Risk Master'!$G143*'Event Trigger'!$D143*(1-'Input Sheet year 2'!J144))</f>
        <v>300000</v>
      </c>
      <c r="G143" s="73">
        <f>'Risk Master'!$G143*-1+('Risk Master'!$G143*'Event Trigger'!$D143*(1-'Input Sheet year 2'!K144))</f>
        <v>300000</v>
      </c>
      <c r="H143" s="73">
        <f>'Risk Master'!$G143*-1+('Risk Master'!$G143*'Event Trigger'!$D143*(1-'Input Sheet year 2'!L144))</f>
        <v>300000</v>
      </c>
      <c r="I143" s="73">
        <f>'Risk Master'!$G143*-1+('Risk Master'!$G143*'Event Trigger'!$D143*(1-'Input Sheet year 2'!M144))</f>
        <v>300000</v>
      </c>
      <c r="J143" s="73">
        <f>'Risk Master'!$G143*-1+('Risk Master'!$G143*'Event Trigger'!$D143*(1-'Input Sheet year 2'!N144))</f>
        <v>300000</v>
      </c>
      <c r="K143" s="73">
        <f>'Risk Master'!$G143*-1+('Risk Master'!$G143*'Event Trigger'!$D143*(1-'Input Sheet year 2'!O144))</f>
        <v>300000</v>
      </c>
      <c r="L143" s="73">
        <f>'Risk Master'!$G143*-1+('Risk Master'!$G143*'Event Trigger'!$D143*(1-'Input Sheet year 2'!P144))</f>
        <v>300000</v>
      </c>
      <c r="M143" s="73">
        <f>'Risk Master'!$G143*-1+('Risk Master'!$G143*'Event Trigger'!$D143*(1-'Input Sheet year 2'!Q144))</f>
        <v>300000</v>
      </c>
      <c r="N143" s="88"/>
      <c r="O143" s="88">
        <f t="shared" si="20"/>
        <v>-300000</v>
      </c>
      <c r="P143" s="88">
        <f t="shared" si="21"/>
        <v>-300000</v>
      </c>
      <c r="Q143" s="88">
        <f t="shared" si="22"/>
        <v>-300000</v>
      </c>
      <c r="R143" s="88">
        <f t="shared" si="23"/>
        <v>-300000</v>
      </c>
      <c r="S143" s="88">
        <f t="shared" si="24"/>
        <v>-300000</v>
      </c>
      <c r="T143" s="88">
        <f t="shared" si="25"/>
        <v>-300000</v>
      </c>
      <c r="U143" s="88">
        <f t="shared" si="26"/>
        <v>-300000</v>
      </c>
      <c r="V143" s="88">
        <f t="shared" si="27"/>
        <v>-300000</v>
      </c>
      <c r="W143" s="88">
        <f t="shared" si="28"/>
        <v>-300000</v>
      </c>
      <c r="X143" s="88">
        <f t="shared" si="29"/>
        <v>-300000</v>
      </c>
    </row>
    <row r="144" spans="1:36" x14ac:dyDescent="0.25">
      <c r="A144" s="37" t="str">
        <f>'Risk Master'!B144:B227&amp;"-"&amp;'Risk Master'!D144</f>
        <v>Hurricane-Typhoon -Tokyo</v>
      </c>
      <c r="B144" s="37" t="str">
        <f>'Input Sheet year 2'!B145</f>
        <v>Hurricane-Typhoon -Tokyo</v>
      </c>
      <c r="C144" s="29" t="str">
        <f>'Risk Master'!F144</f>
        <v>A94</v>
      </c>
      <c r="D144" s="73">
        <f>'Risk Master'!$G144*-1+('Risk Master'!$G144*'Event Trigger'!$D144*(1-'Input Sheet year 1'!H145))</f>
        <v>300000</v>
      </c>
      <c r="E144" s="73">
        <f>'Risk Master'!$G144*-1+('Risk Master'!$G144*'Event Trigger'!$D144*(1-'Input Sheet year 2'!I145))</f>
        <v>300000</v>
      </c>
      <c r="F144" s="73">
        <f>'Risk Master'!$G144*-1+('Risk Master'!$G144*'Event Trigger'!$D144*(1-'Input Sheet year 2'!J145))</f>
        <v>300000</v>
      </c>
      <c r="G144" s="73">
        <f>'Risk Master'!$G144*-1+('Risk Master'!$G144*'Event Trigger'!$D144*(1-'Input Sheet year 2'!K145))</f>
        <v>300000</v>
      </c>
      <c r="H144" s="73">
        <f>'Risk Master'!$G144*-1+('Risk Master'!$G144*'Event Trigger'!$D144*(1-'Input Sheet year 2'!L145))</f>
        <v>300000</v>
      </c>
      <c r="I144" s="73">
        <f>'Risk Master'!$G144*-1+('Risk Master'!$G144*'Event Trigger'!$D144*(1-'Input Sheet year 2'!M145))</f>
        <v>300000</v>
      </c>
      <c r="J144" s="73">
        <f>'Risk Master'!$G144*-1+('Risk Master'!$G144*'Event Trigger'!$D144*(1-'Input Sheet year 2'!N145))</f>
        <v>300000</v>
      </c>
      <c r="K144" s="73">
        <f>'Risk Master'!$G144*-1+('Risk Master'!$G144*'Event Trigger'!$D144*(1-'Input Sheet year 2'!O145))</f>
        <v>300000</v>
      </c>
      <c r="L144" s="73">
        <f>'Risk Master'!$G144*-1+('Risk Master'!$G144*'Event Trigger'!$D144*(1-'Input Sheet year 2'!P145))</f>
        <v>300000</v>
      </c>
      <c r="M144" s="73">
        <f>'Risk Master'!$G144*-1+('Risk Master'!$G144*'Event Trigger'!$D144*(1-'Input Sheet year 2'!Q145))</f>
        <v>300000</v>
      </c>
      <c r="N144" s="88"/>
      <c r="O144" s="88">
        <f t="shared" si="20"/>
        <v>-300000</v>
      </c>
      <c r="P144" s="88">
        <f t="shared" si="21"/>
        <v>-300000</v>
      </c>
      <c r="Q144" s="88">
        <f t="shared" si="22"/>
        <v>-300000</v>
      </c>
      <c r="R144" s="88">
        <f t="shared" si="23"/>
        <v>-300000</v>
      </c>
      <c r="S144" s="88">
        <f t="shared" si="24"/>
        <v>-300000</v>
      </c>
      <c r="T144" s="88">
        <f t="shared" si="25"/>
        <v>-300000</v>
      </c>
      <c r="U144" s="88">
        <f t="shared" si="26"/>
        <v>-300000</v>
      </c>
      <c r="V144" s="88">
        <f t="shared" si="27"/>
        <v>-300000</v>
      </c>
      <c r="W144" s="88">
        <f t="shared" si="28"/>
        <v>-300000</v>
      </c>
      <c r="X144" s="88">
        <f t="shared" si="29"/>
        <v>-300000</v>
      </c>
    </row>
    <row r="145" spans="1:24" x14ac:dyDescent="0.25">
      <c r="A145" s="37" t="str">
        <f>'Risk Master'!B145:B228&amp;"-"&amp;'Risk Master'!D145</f>
        <v>Earthquake-Tokyo</v>
      </c>
      <c r="B145" s="37" t="str">
        <f>'Input Sheet year 2'!B146</f>
        <v>Earthquake-Tokyo</v>
      </c>
      <c r="C145" s="29" t="str">
        <f>'Risk Master'!F145</f>
        <v>A98</v>
      </c>
      <c r="D145" s="73">
        <f>'Risk Master'!$G145*-1+('Risk Master'!$G145*'Event Trigger'!$D145*(1-'Input Sheet year 1'!H146))</f>
        <v>300000</v>
      </c>
      <c r="E145" s="73">
        <f>'Risk Master'!$G145*-1+('Risk Master'!$G145*'Event Trigger'!$D145*(1-'Input Sheet year 2'!I146))</f>
        <v>300000</v>
      </c>
      <c r="F145" s="73">
        <f>'Risk Master'!$G145*-1+('Risk Master'!$G145*'Event Trigger'!$D145*(1-'Input Sheet year 2'!J146))</f>
        <v>300000</v>
      </c>
      <c r="G145" s="73">
        <f>'Risk Master'!$G145*-1+('Risk Master'!$G145*'Event Trigger'!$D145*(1-'Input Sheet year 2'!K146))</f>
        <v>300000</v>
      </c>
      <c r="H145" s="73">
        <f>'Risk Master'!$G145*-1+('Risk Master'!$G145*'Event Trigger'!$D145*(1-'Input Sheet year 2'!L146))</f>
        <v>300000</v>
      </c>
      <c r="I145" s="73">
        <f>'Risk Master'!$G145*-1+('Risk Master'!$G145*'Event Trigger'!$D145*(1-'Input Sheet year 2'!M146))</f>
        <v>300000</v>
      </c>
      <c r="J145" s="73">
        <f>'Risk Master'!$G145*-1+('Risk Master'!$G145*'Event Trigger'!$D145*(1-'Input Sheet year 2'!N146))</f>
        <v>300000</v>
      </c>
      <c r="K145" s="73">
        <f>'Risk Master'!$G145*-1+('Risk Master'!$G145*'Event Trigger'!$D145*(1-'Input Sheet year 2'!O146))</f>
        <v>300000</v>
      </c>
      <c r="L145" s="73">
        <f>'Risk Master'!$G145*-1+('Risk Master'!$G145*'Event Trigger'!$D145*(1-'Input Sheet year 2'!P146))</f>
        <v>300000</v>
      </c>
      <c r="M145" s="73">
        <f>'Risk Master'!$G145*-1+('Risk Master'!$G145*'Event Trigger'!$D145*(1-'Input Sheet year 2'!Q146))</f>
        <v>300000</v>
      </c>
      <c r="N145" s="88"/>
      <c r="O145" s="88">
        <f t="shared" si="20"/>
        <v>-300000</v>
      </c>
      <c r="P145" s="88">
        <f t="shared" si="21"/>
        <v>-300000</v>
      </c>
      <c r="Q145" s="88">
        <f t="shared" si="22"/>
        <v>-300000</v>
      </c>
      <c r="R145" s="88">
        <f t="shared" si="23"/>
        <v>-300000</v>
      </c>
      <c r="S145" s="88">
        <f t="shared" si="24"/>
        <v>-300000</v>
      </c>
      <c r="T145" s="88">
        <f t="shared" si="25"/>
        <v>-300000</v>
      </c>
      <c r="U145" s="88">
        <f t="shared" si="26"/>
        <v>-300000</v>
      </c>
      <c r="V145" s="88">
        <f t="shared" si="27"/>
        <v>-300000</v>
      </c>
      <c r="W145" s="88">
        <f t="shared" si="28"/>
        <v>-300000</v>
      </c>
      <c r="X145" s="88">
        <f t="shared" si="29"/>
        <v>-300000</v>
      </c>
    </row>
    <row r="146" spans="1:24" ht="25.5" x14ac:dyDescent="0.25">
      <c r="A146" s="37" t="str">
        <f>'Risk Master'!B146:B229&amp;"-"&amp;'Risk Master'!D146</f>
        <v>Thunderstorms, Tornados &amp; Hail-Tokyo</v>
      </c>
      <c r="B146" s="37" t="str">
        <f>'Input Sheet year 2'!B147</f>
        <v>Thunderstorms, Tornados &amp; Hail-Tokyo</v>
      </c>
      <c r="C146" s="29" t="str">
        <f>'Risk Master'!F146</f>
        <v>A99</v>
      </c>
      <c r="D146" s="73">
        <f>'Risk Master'!$G146*-1+('Risk Master'!$G146*'Event Trigger'!$D146*(1-'Input Sheet year 1'!H147))</f>
        <v>300000</v>
      </c>
      <c r="E146" s="73">
        <f>'Risk Master'!$G146*-1+('Risk Master'!$G146*'Event Trigger'!$D146*(1-'Input Sheet year 2'!I147))</f>
        <v>300000</v>
      </c>
      <c r="F146" s="73">
        <f>'Risk Master'!$G146*-1+('Risk Master'!$G146*'Event Trigger'!$D146*(1-'Input Sheet year 2'!J147))</f>
        <v>300000</v>
      </c>
      <c r="G146" s="73">
        <f>'Risk Master'!$G146*-1+('Risk Master'!$G146*'Event Trigger'!$D146*(1-'Input Sheet year 2'!K147))</f>
        <v>300000</v>
      </c>
      <c r="H146" s="73">
        <f>'Risk Master'!$G146*-1+('Risk Master'!$G146*'Event Trigger'!$D146*(1-'Input Sheet year 2'!L147))</f>
        <v>300000</v>
      </c>
      <c r="I146" s="73">
        <f>'Risk Master'!$G146*-1+('Risk Master'!$G146*'Event Trigger'!$D146*(1-'Input Sheet year 2'!M147))</f>
        <v>300000</v>
      </c>
      <c r="J146" s="73">
        <f>'Risk Master'!$G146*-1+('Risk Master'!$G146*'Event Trigger'!$D146*(1-'Input Sheet year 2'!N147))</f>
        <v>300000</v>
      </c>
      <c r="K146" s="73">
        <f>'Risk Master'!$G146*-1+('Risk Master'!$G146*'Event Trigger'!$D146*(1-'Input Sheet year 2'!O147))</f>
        <v>300000</v>
      </c>
      <c r="L146" s="73">
        <f>'Risk Master'!$G146*-1+('Risk Master'!$G146*'Event Trigger'!$D146*(1-'Input Sheet year 2'!P147))</f>
        <v>300000</v>
      </c>
      <c r="M146" s="73">
        <f>'Risk Master'!$G146*-1+('Risk Master'!$G146*'Event Trigger'!$D146*(1-'Input Sheet year 2'!Q147))</f>
        <v>300000</v>
      </c>
      <c r="N146" s="88"/>
      <c r="O146" s="88">
        <f t="shared" si="20"/>
        <v>-300000</v>
      </c>
      <c r="P146" s="88">
        <f t="shared" si="21"/>
        <v>-300000</v>
      </c>
      <c r="Q146" s="88">
        <f t="shared" si="22"/>
        <v>-300000</v>
      </c>
      <c r="R146" s="88">
        <f t="shared" si="23"/>
        <v>-300000</v>
      </c>
      <c r="S146" s="88">
        <f t="shared" si="24"/>
        <v>-300000</v>
      </c>
      <c r="T146" s="88">
        <f t="shared" si="25"/>
        <v>-300000</v>
      </c>
      <c r="U146" s="88">
        <f t="shared" si="26"/>
        <v>-300000</v>
      </c>
      <c r="V146" s="88">
        <f t="shared" si="27"/>
        <v>-300000</v>
      </c>
      <c r="W146" s="88">
        <f t="shared" si="28"/>
        <v>-300000</v>
      </c>
      <c r="X146" s="88">
        <f t="shared" si="29"/>
        <v>-300000</v>
      </c>
    </row>
    <row r="147" spans="1:24" x14ac:dyDescent="0.25">
      <c r="A147" s="37" t="str">
        <f>'Risk Master'!B147:B230&amp;"-"&amp;'Risk Master'!D147</f>
        <v>Fire-Tokyo</v>
      </c>
      <c r="B147" s="37" t="str">
        <f>'Input Sheet year 2'!B148</f>
        <v>Fire-Tokyo</v>
      </c>
      <c r="C147" s="29" t="str">
        <f>'Risk Master'!F147</f>
        <v>A103</v>
      </c>
      <c r="D147" s="73">
        <f>'Risk Master'!$G147*-1+('Risk Master'!$G147*'Event Trigger'!$D147*(1-'Input Sheet year 1'!H148))</f>
        <v>200000</v>
      </c>
      <c r="E147" s="73">
        <f>'Risk Master'!$G147*-1+('Risk Master'!$G147*'Event Trigger'!$D147*(1-'Input Sheet year 2'!I148))</f>
        <v>200000</v>
      </c>
      <c r="F147" s="73">
        <f>'Risk Master'!$G147*-1+('Risk Master'!$G147*'Event Trigger'!$D147*(1-'Input Sheet year 2'!J148))</f>
        <v>200000</v>
      </c>
      <c r="G147" s="73">
        <f>'Risk Master'!$G147*-1+('Risk Master'!$G147*'Event Trigger'!$D147*(1-'Input Sheet year 2'!K148))</f>
        <v>200000</v>
      </c>
      <c r="H147" s="73">
        <f>'Risk Master'!$G147*-1+('Risk Master'!$G147*'Event Trigger'!$D147*(1-'Input Sheet year 2'!L148))</f>
        <v>200000</v>
      </c>
      <c r="I147" s="73">
        <f>'Risk Master'!$G147*-1+('Risk Master'!$G147*'Event Trigger'!$D147*(1-'Input Sheet year 2'!M148))</f>
        <v>200000</v>
      </c>
      <c r="J147" s="73">
        <f>'Risk Master'!$G147*-1+('Risk Master'!$G147*'Event Trigger'!$D147*(1-'Input Sheet year 2'!N148))</f>
        <v>200000</v>
      </c>
      <c r="K147" s="73">
        <f>'Risk Master'!$G147*-1+('Risk Master'!$G147*'Event Trigger'!$D147*(1-'Input Sheet year 2'!O148))</f>
        <v>200000</v>
      </c>
      <c r="L147" s="73">
        <f>'Risk Master'!$G147*-1+('Risk Master'!$G147*'Event Trigger'!$D147*(1-'Input Sheet year 2'!P148))</f>
        <v>200000</v>
      </c>
      <c r="M147" s="73">
        <f>'Risk Master'!$G147*-1+('Risk Master'!$G147*'Event Trigger'!$D147*(1-'Input Sheet year 2'!Q148))</f>
        <v>200000</v>
      </c>
      <c r="N147" s="88"/>
      <c r="O147" s="88">
        <f t="shared" si="20"/>
        <v>-200000</v>
      </c>
      <c r="P147" s="88">
        <f t="shared" si="21"/>
        <v>-200000</v>
      </c>
      <c r="Q147" s="88">
        <f t="shared" si="22"/>
        <v>-200000</v>
      </c>
      <c r="R147" s="88">
        <f t="shared" si="23"/>
        <v>-200000</v>
      </c>
      <c r="S147" s="88">
        <f t="shared" si="24"/>
        <v>-200000</v>
      </c>
      <c r="T147" s="88">
        <f t="shared" si="25"/>
        <v>-200000</v>
      </c>
      <c r="U147" s="88">
        <f t="shared" si="26"/>
        <v>-200000</v>
      </c>
      <c r="V147" s="88">
        <f t="shared" si="27"/>
        <v>-200000</v>
      </c>
      <c r="W147" s="88">
        <f t="shared" si="28"/>
        <v>-200000</v>
      </c>
      <c r="X147" s="88">
        <f t="shared" si="29"/>
        <v>-200000</v>
      </c>
    </row>
    <row r="148" spans="1:24" x14ac:dyDescent="0.25">
      <c r="A148" s="37" t="str">
        <f>'Risk Master'!B148:B231&amp;"-"&amp;'Risk Master'!D148</f>
        <v>Earthquake-Tokyo</v>
      </c>
      <c r="B148" s="37" t="str">
        <f>'Input Sheet year 2'!B149</f>
        <v>Earthquake-Tokyo</v>
      </c>
      <c r="C148" s="29" t="str">
        <f>'Risk Master'!F148</f>
        <v>A103</v>
      </c>
      <c r="D148" s="73">
        <f>'Risk Master'!$G148*-1+('Risk Master'!$G148*'Event Trigger'!$D148*(1-'Input Sheet year 1'!H149))</f>
        <v>200000</v>
      </c>
      <c r="E148" s="73">
        <f>'Risk Master'!$G148*-1+('Risk Master'!$G148*'Event Trigger'!$D148*(1-'Input Sheet year 2'!I149))</f>
        <v>200000</v>
      </c>
      <c r="F148" s="73">
        <f>'Risk Master'!$G148*-1+('Risk Master'!$G148*'Event Trigger'!$D148*(1-'Input Sheet year 2'!J149))</f>
        <v>200000</v>
      </c>
      <c r="G148" s="73">
        <f>'Risk Master'!$G148*-1+('Risk Master'!$G148*'Event Trigger'!$D148*(1-'Input Sheet year 2'!K149))</f>
        <v>200000</v>
      </c>
      <c r="H148" s="73">
        <f>'Risk Master'!$G148*-1+('Risk Master'!$G148*'Event Trigger'!$D148*(1-'Input Sheet year 2'!L149))</f>
        <v>200000</v>
      </c>
      <c r="I148" s="73">
        <f>'Risk Master'!$G148*-1+('Risk Master'!$G148*'Event Trigger'!$D148*(1-'Input Sheet year 2'!M149))</f>
        <v>200000</v>
      </c>
      <c r="J148" s="73">
        <f>'Risk Master'!$G148*-1+('Risk Master'!$G148*'Event Trigger'!$D148*(1-'Input Sheet year 2'!N149))</f>
        <v>200000</v>
      </c>
      <c r="K148" s="73">
        <f>'Risk Master'!$G148*-1+('Risk Master'!$G148*'Event Trigger'!$D148*(1-'Input Sheet year 2'!O149))</f>
        <v>200000</v>
      </c>
      <c r="L148" s="73">
        <f>'Risk Master'!$G148*-1+('Risk Master'!$G148*'Event Trigger'!$D148*(1-'Input Sheet year 2'!P149))</f>
        <v>200000</v>
      </c>
      <c r="M148" s="73">
        <f>'Risk Master'!$G148*-1+('Risk Master'!$G148*'Event Trigger'!$D148*(1-'Input Sheet year 2'!Q149))</f>
        <v>200000</v>
      </c>
      <c r="N148" s="88"/>
      <c r="O148" s="88">
        <f t="shared" si="20"/>
        <v>-200000</v>
      </c>
      <c r="P148" s="88">
        <f t="shared" si="21"/>
        <v>-200000</v>
      </c>
      <c r="Q148" s="88">
        <f t="shared" si="22"/>
        <v>-200000</v>
      </c>
      <c r="R148" s="88">
        <f t="shared" si="23"/>
        <v>-200000</v>
      </c>
      <c r="S148" s="88">
        <f t="shared" si="24"/>
        <v>-200000</v>
      </c>
      <c r="T148" s="88">
        <f t="shared" si="25"/>
        <v>-200000</v>
      </c>
      <c r="U148" s="88">
        <f t="shared" si="26"/>
        <v>-200000</v>
      </c>
      <c r="V148" s="88">
        <f t="shared" si="27"/>
        <v>-200000</v>
      </c>
      <c r="W148" s="88">
        <f t="shared" si="28"/>
        <v>-200000</v>
      </c>
      <c r="X148" s="88">
        <f t="shared" si="29"/>
        <v>-200000</v>
      </c>
    </row>
    <row r="149" spans="1:24" ht="25.5" x14ac:dyDescent="0.25">
      <c r="A149" s="37" t="str">
        <f>'Risk Master'!B149:B232&amp;"-"&amp;'Risk Master'!D149</f>
        <v>Thunderstorms, Tornados &amp; Hail-Tokyo</v>
      </c>
      <c r="B149" s="37" t="str">
        <f>'Input Sheet year 2'!B150</f>
        <v>Thunderstorms, Tornados &amp; Hail-Tokyo</v>
      </c>
      <c r="C149" s="29" t="str">
        <f>'Risk Master'!F149</f>
        <v>A105</v>
      </c>
      <c r="D149" s="73">
        <f>'Risk Master'!$G149*-1+('Risk Master'!$G149*'Event Trigger'!$D149*(1-'Input Sheet year 1'!H150))</f>
        <v>400000</v>
      </c>
      <c r="E149" s="73">
        <f>'Risk Master'!$G149*-1+('Risk Master'!$G149*'Event Trigger'!$D149*(1-'Input Sheet year 2'!I150))</f>
        <v>400000</v>
      </c>
      <c r="F149" s="73">
        <f>'Risk Master'!$G149*-1+('Risk Master'!$G149*'Event Trigger'!$D149*(1-'Input Sheet year 2'!J150))</f>
        <v>400000</v>
      </c>
      <c r="G149" s="73">
        <f>'Risk Master'!$G149*-1+('Risk Master'!$G149*'Event Trigger'!$D149*(1-'Input Sheet year 2'!K150))</f>
        <v>400000</v>
      </c>
      <c r="H149" s="73">
        <f>'Risk Master'!$G149*-1+('Risk Master'!$G149*'Event Trigger'!$D149*(1-'Input Sheet year 2'!L150))</f>
        <v>400000</v>
      </c>
      <c r="I149" s="73">
        <f>'Risk Master'!$G149*-1+('Risk Master'!$G149*'Event Trigger'!$D149*(1-'Input Sheet year 2'!M150))</f>
        <v>400000</v>
      </c>
      <c r="J149" s="73">
        <f>'Risk Master'!$G149*-1+('Risk Master'!$G149*'Event Trigger'!$D149*(1-'Input Sheet year 2'!N150))</f>
        <v>400000</v>
      </c>
      <c r="K149" s="73">
        <f>'Risk Master'!$G149*-1+('Risk Master'!$G149*'Event Trigger'!$D149*(1-'Input Sheet year 2'!O150))</f>
        <v>400000</v>
      </c>
      <c r="L149" s="73">
        <f>'Risk Master'!$G149*-1+('Risk Master'!$G149*'Event Trigger'!$D149*(1-'Input Sheet year 2'!P150))</f>
        <v>400000</v>
      </c>
      <c r="M149" s="73">
        <f>'Risk Master'!$G149*-1+('Risk Master'!$G149*'Event Trigger'!$D149*(1-'Input Sheet year 2'!Q150))</f>
        <v>400000</v>
      </c>
      <c r="N149" s="88"/>
      <c r="O149" s="88">
        <f t="shared" si="20"/>
        <v>-400000</v>
      </c>
      <c r="P149" s="88">
        <f t="shared" si="21"/>
        <v>-400000</v>
      </c>
      <c r="Q149" s="88">
        <f t="shared" si="22"/>
        <v>-400000</v>
      </c>
      <c r="R149" s="88">
        <f t="shared" si="23"/>
        <v>-400000</v>
      </c>
      <c r="S149" s="88">
        <f t="shared" si="24"/>
        <v>-400000</v>
      </c>
      <c r="T149" s="88">
        <f t="shared" si="25"/>
        <v>-400000</v>
      </c>
      <c r="U149" s="88">
        <f t="shared" si="26"/>
        <v>-400000</v>
      </c>
      <c r="V149" s="88">
        <f t="shared" si="27"/>
        <v>-400000</v>
      </c>
      <c r="W149" s="88">
        <f t="shared" si="28"/>
        <v>-400000</v>
      </c>
      <c r="X149" s="88">
        <f t="shared" si="29"/>
        <v>-400000</v>
      </c>
    </row>
    <row r="150" spans="1:24" x14ac:dyDescent="0.25">
      <c r="A150" s="37" t="str">
        <f>'Risk Master'!B150:B233&amp;"-"&amp;'Risk Master'!D150</f>
        <v>Hurricane-Typhoon -Tokyo</v>
      </c>
      <c r="B150" s="37" t="str">
        <f>'Input Sheet year 2'!B151</f>
        <v>Hurricane-Typhoon -Tokyo</v>
      </c>
      <c r="C150" s="29" t="str">
        <f>'Risk Master'!F150</f>
        <v>A105</v>
      </c>
      <c r="D150" s="73">
        <f>'Risk Master'!$G150*-1+('Risk Master'!$G150*'Event Trigger'!$D150*(1-'Input Sheet year 1'!H151))</f>
        <v>400000</v>
      </c>
      <c r="E150" s="73">
        <f>'Risk Master'!$G150*-1+('Risk Master'!$G150*'Event Trigger'!$D150*(1-'Input Sheet year 2'!I151))</f>
        <v>400000</v>
      </c>
      <c r="F150" s="73">
        <f>'Risk Master'!$G150*-1+('Risk Master'!$G150*'Event Trigger'!$D150*(1-'Input Sheet year 2'!J151))</f>
        <v>400000</v>
      </c>
      <c r="G150" s="73">
        <f>'Risk Master'!$G150*-1+('Risk Master'!$G150*'Event Trigger'!$D150*(1-'Input Sheet year 2'!K151))</f>
        <v>400000</v>
      </c>
      <c r="H150" s="73">
        <f>'Risk Master'!$G150*-1+('Risk Master'!$G150*'Event Trigger'!$D150*(1-'Input Sheet year 2'!L151))</f>
        <v>400000</v>
      </c>
      <c r="I150" s="73">
        <f>'Risk Master'!$G150*-1+('Risk Master'!$G150*'Event Trigger'!$D150*(1-'Input Sheet year 2'!M151))</f>
        <v>400000</v>
      </c>
      <c r="J150" s="73">
        <f>'Risk Master'!$G150*-1+('Risk Master'!$G150*'Event Trigger'!$D150*(1-'Input Sheet year 2'!N151))</f>
        <v>400000</v>
      </c>
      <c r="K150" s="73">
        <f>'Risk Master'!$G150*-1+('Risk Master'!$G150*'Event Trigger'!$D150*(1-'Input Sheet year 2'!O151))</f>
        <v>400000</v>
      </c>
      <c r="L150" s="73">
        <f>'Risk Master'!$G150*-1+('Risk Master'!$G150*'Event Trigger'!$D150*(1-'Input Sheet year 2'!P151))</f>
        <v>400000</v>
      </c>
      <c r="M150" s="73">
        <f>'Risk Master'!$G150*-1+('Risk Master'!$G150*'Event Trigger'!$D150*(1-'Input Sheet year 2'!Q151))</f>
        <v>400000</v>
      </c>
      <c r="N150" s="88"/>
      <c r="O150" s="88">
        <f t="shared" si="20"/>
        <v>-400000</v>
      </c>
      <c r="P150" s="88">
        <f t="shared" si="21"/>
        <v>-400000</v>
      </c>
      <c r="Q150" s="88">
        <f t="shared" si="22"/>
        <v>-400000</v>
      </c>
      <c r="R150" s="88">
        <f t="shared" si="23"/>
        <v>-400000</v>
      </c>
      <c r="S150" s="88">
        <f t="shared" si="24"/>
        <v>-400000</v>
      </c>
      <c r="T150" s="88">
        <f t="shared" si="25"/>
        <v>-400000</v>
      </c>
      <c r="U150" s="88">
        <f t="shared" si="26"/>
        <v>-400000</v>
      </c>
      <c r="V150" s="88">
        <f t="shared" si="27"/>
        <v>-400000</v>
      </c>
      <c r="W150" s="88">
        <f t="shared" si="28"/>
        <v>-400000</v>
      </c>
      <c r="X150" s="88">
        <f t="shared" si="29"/>
        <v>-400000</v>
      </c>
    </row>
    <row r="151" spans="1:24" x14ac:dyDescent="0.25">
      <c r="A151" s="37" t="str">
        <f>'Risk Master'!B151:B234&amp;"-"&amp;'Risk Master'!D151</f>
        <v>Earthquake-Tokyo</v>
      </c>
      <c r="B151" s="37" t="str">
        <f>'Input Sheet year 2'!B152</f>
        <v>Earthquake-Tokyo</v>
      </c>
      <c r="C151" s="29" t="str">
        <f>'Risk Master'!F151</f>
        <v>A105</v>
      </c>
      <c r="D151" s="73">
        <f>'Risk Master'!$G151*-1+('Risk Master'!$G151*'Event Trigger'!$D151*(1-'Input Sheet year 1'!H152))</f>
        <v>400000</v>
      </c>
      <c r="E151" s="73">
        <f>'Risk Master'!$G151*-1+('Risk Master'!$G151*'Event Trigger'!$D151*(1-'Input Sheet year 2'!I152))</f>
        <v>400000</v>
      </c>
      <c r="F151" s="73">
        <f>'Risk Master'!$G151*-1+('Risk Master'!$G151*'Event Trigger'!$D151*(1-'Input Sheet year 2'!J152))</f>
        <v>400000</v>
      </c>
      <c r="G151" s="73">
        <f>'Risk Master'!$G151*-1+('Risk Master'!$G151*'Event Trigger'!$D151*(1-'Input Sheet year 2'!K152))</f>
        <v>400000</v>
      </c>
      <c r="H151" s="73">
        <f>'Risk Master'!$G151*-1+('Risk Master'!$G151*'Event Trigger'!$D151*(1-'Input Sheet year 2'!L152))</f>
        <v>400000</v>
      </c>
      <c r="I151" s="73">
        <f>'Risk Master'!$G151*-1+('Risk Master'!$G151*'Event Trigger'!$D151*(1-'Input Sheet year 2'!M152))</f>
        <v>400000</v>
      </c>
      <c r="J151" s="73">
        <f>'Risk Master'!$G151*-1+('Risk Master'!$G151*'Event Trigger'!$D151*(1-'Input Sheet year 2'!N152))</f>
        <v>400000</v>
      </c>
      <c r="K151" s="73">
        <f>'Risk Master'!$G151*-1+('Risk Master'!$G151*'Event Trigger'!$D151*(1-'Input Sheet year 2'!O152))</f>
        <v>400000</v>
      </c>
      <c r="L151" s="73">
        <f>'Risk Master'!$G151*-1+('Risk Master'!$G151*'Event Trigger'!$D151*(1-'Input Sheet year 2'!P152))</f>
        <v>400000</v>
      </c>
      <c r="M151" s="73">
        <f>'Risk Master'!$G151*-1+('Risk Master'!$G151*'Event Trigger'!$D151*(1-'Input Sheet year 2'!Q152))</f>
        <v>400000</v>
      </c>
      <c r="N151" s="88"/>
      <c r="O151" s="88">
        <f t="shared" si="20"/>
        <v>-400000</v>
      </c>
      <c r="P151" s="88">
        <f t="shared" si="21"/>
        <v>-400000</v>
      </c>
      <c r="Q151" s="88">
        <f t="shared" si="22"/>
        <v>-400000</v>
      </c>
      <c r="R151" s="88">
        <f t="shared" si="23"/>
        <v>-400000</v>
      </c>
      <c r="S151" s="88">
        <f t="shared" si="24"/>
        <v>-400000</v>
      </c>
      <c r="T151" s="88">
        <f t="shared" si="25"/>
        <v>-400000</v>
      </c>
      <c r="U151" s="88">
        <f t="shared" si="26"/>
        <v>-400000</v>
      </c>
      <c r="V151" s="88">
        <f t="shared" si="27"/>
        <v>-400000</v>
      </c>
      <c r="W151" s="88">
        <f t="shared" si="28"/>
        <v>-400000</v>
      </c>
      <c r="X151" s="88">
        <f t="shared" si="29"/>
        <v>-400000</v>
      </c>
    </row>
    <row r="152" spans="1:24" x14ac:dyDescent="0.25">
      <c r="A152" s="37" t="str">
        <f>'Risk Master'!B152:B235&amp;"-"&amp;'Risk Master'!D152</f>
        <v>Fire-Tokyo</v>
      </c>
      <c r="B152" s="37" t="str">
        <f>'Input Sheet year 2'!B153</f>
        <v>Fire-Tokyo</v>
      </c>
      <c r="C152" s="29" t="str">
        <f>'Risk Master'!F152</f>
        <v>A94</v>
      </c>
      <c r="D152" s="73">
        <f>'Risk Master'!$G152*-1+('Risk Master'!$G152*'Event Trigger'!$D152*(1-'Input Sheet year 1'!H153))</f>
        <v>300000</v>
      </c>
      <c r="E152" s="73">
        <f>'Risk Master'!$G152*-1+('Risk Master'!$G152*'Event Trigger'!$D152*(1-'Input Sheet year 2'!I153))</f>
        <v>300000</v>
      </c>
      <c r="F152" s="73">
        <f>'Risk Master'!$G152*-1+('Risk Master'!$G152*'Event Trigger'!$D152*(1-'Input Sheet year 2'!J153))</f>
        <v>300000</v>
      </c>
      <c r="G152" s="73">
        <f>'Risk Master'!$G152*-1+('Risk Master'!$G152*'Event Trigger'!$D152*(1-'Input Sheet year 2'!K153))</f>
        <v>300000</v>
      </c>
      <c r="H152" s="73">
        <f>'Risk Master'!$G152*-1+('Risk Master'!$G152*'Event Trigger'!$D152*(1-'Input Sheet year 2'!L153))</f>
        <v>300000</v>
      </c>
      <c r="I152" s="73">
        <f>'Risk Master'!$G152*-1+('Risk Master'!$G152*'Event Trigger'!$D152*(1-'Input Sheet year 2'!M153))</f>
        <v>300000</v>
      </c>
      <c r="J152" s="73">
        <f>'Risk Master'!$G152*-1+('Risk Master'!$G152*'Event Trigger'!$D152*(1-'Input Sheet year 2'!N153))</f>
        <v>300000</v>
      </c>
      <c r="K152" s="73">
        <f>'Risk Master'!$G152*-1+('Risk Master'!$G152*'Event Trigger'!$D152*(1-'Input Sheet year 2'!O153))</f>
        <v>300000</v>
      </c>
      <c r="L152" s="73">
        <f>'Risk Master'!$G152*-1+('Risk Master'!$G152*'Event Trigger'!$D152*(1-'Input Sheet year 2'!P153))</f>
        <v>300000</v>
      </c>
      <c r="M152" s="73">
        <f>'Risk Master'!$G152*-1+('Risk Master'!$G152*'Event Trigger'!$D152*(1-'Input Sheet year 2'!Q153))</f>
        <v>300000</v>
      </c>
      <c r="N152" s="88"/>
      <c r="O152" s="88">
        <f t="shared" si="20"/>
        <v>-300000</v>
      </c>
      <c r="P152" s="88">
        <f t="shared" si="21"/>
        <v>-300000</v>
      </c>
      <c r="Q152" s="88">
        <f t="shared" si="22"/>
        <v>-300000</v>
      </c>
      <c r="R152" s="88">
        <f t="shared" si="23"/>
        <v>-300000</v>
      </c>
      <c r="S152" s="88">
        <f t="shared" si="24"/>
        <v>-300000</v>
      </c>
      <c r="T152" s="88">
        <f t="shared" si="25"/>
        <v>-300000</v>
      </c>
      <c r="U152" s="88">
        <f t="shared" si="26"/>
        <v>-300000</v>
      </c>
      <c r="V152" s="88">
        <f t="shared" si="27"/>
        <v>-300000</v>
      </c>
      <c r="W152" s="88">
        <f t="shared" si="28"/>
        <v>-300000</v>
      </c>
      <c r="X152" s="88">
        <f t="shared" si="29"/>
        <v>-300000</v>
      </c>
    </row>
    <row r="153" spans="1:24" ht="25.5" x14ac:dyDescent="0.25">
      <c r="A153" s="37" t="str">
        <f>'Risk Master'!B153:B236&amp;"-"&amp;'Risk Master'!D153</f>
        <v>Thunderstorms, Tornados &amp; Hail-Tokyo</v>
      </c>
      <c r="B153" s="37" t="str">
        <f>'Input Sheet year 2'!B154</f>
        <v>Thunderstorms, Tornados &amp; Hail-Tokyo</v>
      </c>
      <c r="C153" s="29" t="str">
        <f>'Risk Master'!F153</f>
        <v>A98</v>
      </c>
      <c r="D153" s="73">
        <f>'Risk Master'!$G153*-1+('Risk Master'!$G153*'Event Trigger'!$D153*(1-'Input Sheet year 1'!H154))</f>
        <v>300000</v>
      </c>
      <c r="E153" s="73">
        <f>'Risk Master'!$G153*-1+('Risk Master'!$G153*'Event Trigger'!$D153*(1-'Input Sheet year 2'!I154))</f>
        <v>300000</v>
      </c>
      <c r="F153" s="73">
        <f>'Risk Master'!$G153*-1+('Risk Master'!$G153*'Event Trigger'!$D153*(1-'Input Sheet year 2'!J154))</f>
        <v>300000</v>
      </c>
      <c r="G153" s="73">
        <f>'Risk Master'!$G153*-1+('Risk Master'!$G153*'Event Trigger'!$D153*(1-'Input Sheet year 2'!K154))</f>
        <v>300000</v>
      </c>
      <c r="H153" s="73">
        <f>'Risk Master'!$G153*-1+('Risk Master'!$G153*'Event Trigger'!$D153*(1-'Input Sheet year 2'!L154))</f>
        <v>300000</v>
      </c>
      <c r="I153" s="73">
        <f>'Risk Master'!$G153*-1+('Risk Master'!$G153*'Event Trigger'!$D153*(1-'Input Sheet year 2'!M154))</f>
        <v>300000</v>
      </c>
      <c r="J153" s="73">
        <f>'Risk Master'!$G153*-1+('Risk Master'!$G153*'Event Trigger'!$D153*(1-'Input Sheet year 2'!N154))</f>
        <v>300000</v>
      </c>
      <c r="K153" s="73">
        <f>'Risk Master'!$G153*-1+('Risk Master'!$G153*'Event Trigger'!$D153*(1-'Input Sheet year 2'!O154))</f>
        <v>300000</v>
      </c>
      <c r="L153" s="73">
        <f>'Risk Master'!$G153*-1+('Risk Master'!$G153*'Event Trigger'!$D153*(1-'Input Sheet year 2'!P154))</f>
        <v>300000</v>
      </c>
      <c r="M153" s="73">
        <f>'Risk Master'!$G153*-1+('Risk Master'!$G153*'Event Trigger'!$D153*(1-'Input Sheet year 2'!Q154))</f>
        <v>300000</v>
      </c>
      <c r="N153" s="88"/>
      <c r="O153" s="88">
        <f t="shared" si="20"/>
        <v>-300000</v>
      </c>
      <c r="P153" s="88">
        <f t="shared" si="21"/>
        <v>-300000</v>
      </c>
      <c r="Q153" s="88">
        <f t="shared" si="22"/>
        <v>-300000</v>
      </c>
      <c r="R153" s="88">
        <f t="shared" si="23"/>
        <v>-300000</v>
      </c>
      <c r="S153" s="88">
        <f t="shared" si="24"/>
        <v>-300000</v>
      </c>
      <c r="T153" s="88">
        <f t="shared" si="25"/>
        <v>-300000</v>
      </c>
      <c r="U153" s="88">
        <f t="shared" si="26"/>
        <v>-300000</v>
      </c>
      <c r="V153" s="88">
        <f t="shared" si="27"/>
        <v>-300000</v>
      </c>
      <c r="W153" s="88">
        <f t="shared" si="28"/>
        <v>-300000</v>
      </c>
      <c r="X153" s="88">
        <f t="shared" si="29"/>
        <v>-300000</v>
      </c>
    </row>
    <row r="154" spans="1:24" x14ac:dyDescent="0.25">
      <c r="A154" s="37" t="str">
        <f>'Risk Master'!B154:B237&amp;"-"&amp;'Risk Master'!D154</f>
        <v>Tropical Storm Danas-Tokyo</v>
      </c>
      <c r="B154" s="37" t="str">
        <f>'Input Sheet year 2'!B155</f>
        <v>Tropical Storm-Tokyo</v>
      </c>
      <c r="C154" s="29" t="str">
        <f>'Risk Master'!F154</f>
        <v>A99</v>
      </c>
      <c r="D154" s="73">
        <f>'Risk Master'!$G154*-1+('Risk Master'!$G154*'Event Trigger'!$D154*(1-'Input Sheet year 1'!H155))</f>
        <v>300000</v>
      </c>
      <c r="E154" s="73">
        <f>'Risk Master'!$G154*-1+('Risk Master'!$G154*'Event Trigger'!$D154*(1-'Input Sheet year 2'!I155))</f>
        <v>300000</v>
      </c>
      <c r="F154" s="73">
        <f>'Risk Master'!$G154*-1+('Risk Master'!$G154*'Event Trigger'!$D154*(1-'Input Sheet year 2'!J155))</f>
        <v>300000</v>
      </c>
      <c r="G154" s="73">
        <f>'Risk Master'!$G154*-1+('Risk Master'!$G154*'Event Trigger'!$D154*(1-'Input Sheet year 2'!K155))</f>
        <v>300000</v>
      </c>
      <c r="H154" s="73">
        <f>'Risk Master'!$G154*-1+('Risk Master'!$G154*'Event Trigger'!$D154*(1-'Input Sheet year 2'!L155))</f>
        <v>300000</v>
      </c>
      <c r="I154" s="73">
        <f>'Risk Master'!$G154*-1+('Risk Master'!$G154*'Event Trigger'!$D154*(1-'Input Sheet year 2'!M155))</f>
        <v>300000</v>
      </c>
      <c r="J154" s="73">
        <f>'Risk Master'!$G154*-1+('Risk Master'!$G154*'Event Trigger'!$D154*(1-'Input Sheet year 2'!N155))</f>
        <v>300000</v>
      </c>
      <c r="K154" s="73">
        <f>'Risk Master'!$G154*-1+('Risk Master'!$G154*'Event Trigger'!$D154*(1-'Input Sheet year 2'!O155))</f>
        <v>300000</v>
      </c>
      <c r="L154" s="73">
        <f>'Risk Master'!$G154*-1+('Risk Master'!$G154*'Event Trigger'!$D154*(1-'Input Sheet year 2'!P155))</f>
        <v>300000</v>
      </c>
      <c r="M154" s="73">
        <f>'Risk Master'!$G154*-1+('Risk Master'!$G154*'Event Trigger'!$D154*(1-'Input Sheet year 2'!Q155))</f>
        <v>300000</v>
      </c>
      <c r="N154" s="88"/>
      <c r="O154" s="88">
        <f t="shared" si="20"/>
        <v>-300000</v>
      </c>
      <c r="P154" s="88">
        <f t="shared" si="21"/>
        <v>-300000</v>
      </c>
      <c r="Q154" s="88">
        <f t="shared" si="22"/>
        <v>-300000</v>
      </c>
      <c r="R154" s="88">
        <f t="shared" si="23"/>
        <v>-300000</v>
      </c>
      <c r="S154" s="88">
        <f t="shared" si="24"/>
        <v>-300000</v>
      </c>
      <c r="T154" s="88">
        <f t="shared" si="25"/>
        <v>-300000</v>
      </c>
      <c r="U154" s="88">
        <f t="shared" si="26"/>
        <v>-300000</v>
      </c>
      <c r="V154" s="88">
        <f t="shared" si="27"/>
        <v>-300000</v>
      </c>
      <c r="W154" s="88">
        <f t="shared" si="28"/>
        <v>-300000</v>
      </c>
      <c r="X154" s="88">
        <f t="shared" si="29"/>
        <v>-300000</v>
      </c>
    </row>
    <row r="155" spans="1:24" x14ac:dyDescent="0.25">
      <c r="A155" s="37" t="str">
        <f>'Risk Master'!B155:B238&amp;"-"&amp;'Risk Master'!D155</f>
        <v>Earthquake-Tokyo</v>
      </c>
      <c r="B155" s="37" t="str">
        <f>'Input Sheet year 2'!B156</f>
        <v>Earthquake-Tokyo</v>
      </c>
      <c r="C155" s="29" t="str">
        <f>'Risk Master'!F155</f>
        <v>A98</v>
      </c>
      <c r="D155" s="73">
        <f>'Risk Master'!$G155*-1+('Risk Master'!$G155*'Event Trigger'!$D155*(1-'Input Sheet year 1'!H156))</f>
        <v>300000</v>
      </c>
      <c r="E155" s="73">
        <f>'Risk Master'!$G155*-1+('Risk Master'!$G155*'Event Trigger'!$D155*(1-'Input Sheet year 2'!I156))</f>
        <v>300000</v>
      </c>
      <c r="F155" s="73">
        <f>'Risk Master'!$G155*-1+('Risk Master'!$G155*'Event Trigger'!$D155*(1-'Input Sheet year 2'!J156))</f>
        <v>300000</v>
      </c>
      <c r="G155" s="73">
        <f>'Risk Master'!$G155*-1+('Risk Master'!$G155*'Event Trigger'!$D155*(1-'Input Sheet year 2'!K156))</f>
        <v>300000</v>
      </c>
      <c r="H155" s="73">
        <f>'Risk Master'!$G155*-1+('Risk Master'!$G155*'Event Trigger'!$D155*(1-'Input Sheet year 2'!L156))</f>
        <v>300000</v>
      </c>
      <c r="I155" s="73">
        <f>'Risk Master'!$G155*-1+('Risk Master'!$G155*'Event Trigger'!$D155*(1-'Input Sheet year 2'!M156))</f>
        <v>300000</v>
      </c>
      <c r="J155" s="73">
        <f>'Risk Master'!$G155*-1+('Risk Master'!$G155*'Event Trigger'!$D155*(1-'Input Sheet year 2'!N156))</f>
        <v>300000</v>
      </c>
      <c r="K155" s="73">
        <f>'Risk Master'!$G155*-1+('Risk Master'!$G155*'Event Trigger'!$D155*(1-'Input Sheet year 2'!O156))</f>
        <v>300000</v>
      </c>
      <c r="L155" s="73">
        <f>'Risk Master'!$G155*-1+('Risk Master'!$G155*'Event Trigger'!$D155*(1-'Input Sheet year 2'!P156))</f>
        <v>300000</v>
      </c>
      <c r="M155" s="73">
        <f>'Risk Master'!$G155*-1+('Risk Master'!$G155*'Event Trigger'!$D155*(1-'Input Sheet year 2'!Q156))</f>
        <v>300000</v>
      </c>
      <c r="N155" s="88"/>
      <c r="O155" s="88">
        <f t="shared" si="20"/>
        <v>-300000</v>
      </c>
      <c r="P155" s="88">
        <f t="shared" si="21"/>
        <v>-300000</v>
      </c>
      <c r="Q155" s="88">
        <f t="shared" si="22"/>
        <v>-300000</v>
      </c>
      <c r="R155" s="88">
        <f t="shared" si="23"/>
        <v>-300000</v>
      </c>
      <c r="S155" s="88">
        <f t="shared" si="24"/>
        <v>-300000</v>
      </c>
      <c r="T155" s="88">
        <f t="shared" si="25"/>
        <v>-300000</v>
      </c>
      <c r="U155" s="88">
        <f t="shared" si="26"/>
        <v>-300000</v>
      </c>
      <c r="V155" s="88">
        <f t="shared" si="27"/>
        <v>-300000</v>
      </c>
      <c r="W155" s="88">
        <f t="shared" si="28"/>
        <v>-300000</v>
      </c>
      <c r="X155" s="88">
        <f t="shared" si="29"/>
        <v>-300000</v>
      </c>
    </row>
    <row r="156" spans="1:24" x14ac:dyDescent="0.25">
      <c r="A156" s="37" t="str">
        <f>'Risk Master'!B156:B239&amp;"-"&amp;'Risk Master'!D156</f>
        <v>Fire-Tokyo</v>
      </c>
      <c r="B156" s="37" t="str">
        <f>'Input Sheet year 2'!B157</f>
        <v>Fire-Tokyo</v>
      </c>
      <c r="C156" s="29" t="str">
        <f>'Risk Master'!F156</f>
        <v>A99</v>
      </c>
      <c r="D156" s="73">
        <f>'Risk Master'!$G156*-1+('Risk Master'!$G156*'Event Trigger'!$D156*(1-'Input Sheet year 1'!H157))</f>
        <v>300000</v>
      </c>
      <c r="E156" s="73">
        <f>'Risk Master'!$G156*-1+('Risk Master'!$G156*'Event Trigger'!$D156*(1-'Input Sheet year 2'!I157))</f>
        <v>300000</v>
      </c>
      <c r="F156" s="73">
        <f>'Risk Master'!$G156*-1+('Risk Master'!$G156*'Event Trigger'!$D156*(1-'Input Sheet year 2'!J157))</f>
        <v>300000</v>
      </c>
      <c r="G156" s="73">
        <f>'Risk Master'!$G156*-1+('Risk Master'!$G156*'Event Trigger'!$D156*(1-'Input Sheet year 2'!K157))</f>
        <v>300000</v>
      </c>
      <c r="H156" s="73">
        <f>'Risk Master'!$G156*-1+('Risk Master'!$G156*'Event Trigger'!$D156*(1-'Input Sheet year 2'!L157))</f>
        <v>300000</v>
      </c>
      <c r="I156" s="73">
        <f>'Risk Master'!$G156*-1+('Risk Master'!$G156*'Event Trigger'!$D156*(1-'Input Sheet year 2'!M157))</f>
        <v>300000</v>
      </c>
      <c r="J156" s="73">
        <f>'Risk Master'!$G156*-1+('Risk Master'!$G156*'Event Trigger'!$D156*(1-'Input Sheet year 2'!N157))</f>
        <v>300000</v>
      </c>
      <c r="K156" s="73">
        <f>'Risk Master'!$G156*-1+('Risk Master'!$G156*'Event Trigger'!$D156*(1-'Input Sheet year 2'!O157))</f>
        <v>300000</v>
      </c>
      <c r="L156" s="73">
        <f>'Risk Master'!$G156*-1+('Risk Master'!$G156*'Event Trigger'!$D156*(1-'Input Sheet year 2'!P157))</f>
        <v>300000</v>
      </c>
      <c r="M156" s="73">
        <f>'Risk Master'!$G156*-1+('Risk Master'!$G156*'Event Trigger'!$D156*(1-'Input Sheet year 2'!Q157))</f>
        <v>300000</v>
      </c>
      <c r="N156" s="88"/>
      <c r="O156" s="88">
        <f t="shared" si="20"/>
        <v>-300000</v>
      </c>
      <c r="P156" s="88">
        <f t="shared" si="21"/>
        <v>-300000</v>
      </c>
      <c r="Q156" s="88">
        <f t="shared" si="22"/>
        <v>-300000</v>
      </c>
      <c r="R156" s="88">
        <f t="shared" si="23"/>
        <v>-300000</v>
      </c>
      <c r="S156" s="88">
        <f t="shared" si="24"/>
        <v>-300000</v>
      </c>
      <c r="T156" s="88">
        <f t="shared" si="25"/>
        <v>-300000</v>
      </c>
      <c r="U156" s="88">
        <f t="shared" si="26"/>
        <v>-300000</v>
      </c>
      <c r="V156" s="88">
        <f t="shared" si="27"/>
        <v>-300000</v>
      </c>
      <c r="W156" s="88">
        <f t="shared" si="28"/>
        <v>-300000</v>
      </c>
      <c r="X156" s="88">
        <f t="shared" si="29"/>
        <v>-300000</v>
      </c>
    </row>
    <row r="157" spans="1:24" x14ac:dyDescent="0.25">
      <c r="A157" s="37" t="str">
        <f>'Risk Master'!B157:B240&amp;"-"&amp;'Risk Master'!D157</f>
        <v>Fire-Tokyo</v>
      </c>
      <c r="B157" s="37" t="str">
        <f>'Input Sheet year 2'!B158</f>
        <v>Fire-Tokyo</v>
      </c>
      <c r="C157" s="29" t="str">
        <f>'Risk Master'!F157</f>
        <v>A98</v>
      </c>
      <c r="D157" s="73">
        <f>'Risk Master'!$G157*-1+('Risk Master'!$G157*'Event Trigger'!$D157*(1-'Input Sheet year 1'!H158))</f>
        <v>300000</v>
      </c>
      <c r="E157" s="73">
        <f>'Risk Master'!$G157*-1+('Risk Master'!$G157*'Event Trigger'!$D157*(1-'Input Sheet year 2'!I158))</f>
        <v>300000</v>
      </c>
      <c r="F157" s="73">
        <f>'Risk Master'!$G157*-1+('Risk Master'!$G157*'Event Trigger'!$D157*(1-'Input Sheet year 2'!J158))</f>
        <v>300000</v>
      </c>
      <c r="G157" s="73">
        <f>'Risk Master'!$G157*-1+('Risk Master'!$G157*'Event Trigger'!$D157*(1-'Input Sheet year 2'!K158))</f>
        <v>300000</v>
      </c>
      <c r="H157" s="73">
        <f>'Risk Master'!$G157*-1+('Risk Master'!$G157*'Event Trigger'!$D157*(1-'Input Sheet year 2'!L158))</f>
        <v>300000</v>
      </c>
      <c r="I157" s="73">
        <f>'Risk Master'!$G157*-1+('Risk Master'!$G157*'Event Trigger'!$D157*(1-'Input Sheet year 2'!M158))</f>
        <v>300000</v>
      </c>
      <c r="J157" s="73">
        <f>'Risk Master'!$G157*-1+('Risk Master'!$G157*'Event Trigger'!$D157*(1-'Input Sheet year 2'!N158))</f>
        <v>300000</v>
      </c>
      <c r="K157" s="73">
        <f>'Risk Master'!$G157*-1+('Risk Master'!$G157*'Event Trigger'!$D157*(1-'Input Sheet year 2'!O158))</f>
        <v>300000</v>
      </c>
      <c r="L157" s="73">
        <f>'Risk Master'!$G157*-1+('Risk Master'!$G157*'Event Trigger'!$D157*(1-'Input Sheet year 2'!P158))</f>
        <v>300000</v>
      </c>
      <c r="M157" s="73">
        <f>'Risk Master'!$G157*-1+('Risk Master'!$G157*'Event Trigger'!$D157*(1-'Input Sheet year 2'!Q158))</f>
        <v>300000</v>
      </c>
      <c r="N157" s="88"/>
      <c r="O157" s="88">
        <f t="shared" si="20"/>
        <v>-300000</v>
      </c>
      <c r="P157" s="88">
        <f t="shared" si="21"/>
        <v>-300000</v>
      </c>
      <c r="Q157" s="88">
        <f t="shared" si="22"/>
        <v>-300000</v>
      </c>
      <c r="R157" s="88">
        <f t="shared" si="23"/>
        <v>-300000</v>
      </c>
      <c r="S157" s="88">
        <f t="shared" si="24"/>
        <v>-300000</v>
      </c>
      <c r="T157" s="88">
        <f t="shared" si="25"/>
        <v>-300000</v>
      </c>
      <c r="U157" s="88">
        <f t="shared" si="26"/>
        <v>-300000</v>
      </c>
      <c r="V157" s="88">
        <f t="shared" si="27"/>
        <v>-300000</v>
      </c>
      <c r="W157" s="88">
        <f t="shared" si="28"/>
        <v>-300000</v>
      </c>
      <c r="X157" s="88">
        <f t="shared" si="29"/>
        <v>-300000</v>
      </c>
    </row>
    <row r="158" spans="1:24" ht="38.25" x14ac:dyDescent="0.25">
      <c r="A158" s="37" t="str">
        <f>'Risk Master'!B158:B241&amp;"-"&amp;'Risk Master'!D158</f>
        <v>Tropical Storm Chantal-Caribbean Islands</v>
      </c>
      <c r="B158" s="37" t="str">
        <f>'Input Sheet year 2'!B159</f>
        <v>Thunderstorms, Tornados &amp; Tropical storms-Caribbean Islands</v>
      </c>
      <c r="C158" s="29" t="str">
        <f>'Risk Master'!F158</f>
        <v>A109</v>
      </c>
      <c r="D158" s="73">
        <f>'Risk Master'!$G158*-1+('Risk Master'!$G158*'Event Trigger'!$D158*(1-'Input Sheet year 1'!H159))</f>
        <v>0</v>
      </c>
      <c r="E158" s="73">
        <f>'Risk Master'!$G158*-1+('Risk Master'!$G158*'Event Trigger'!$D158*(1-'Input Sheet year 2'!I159))</f>
        <v>0</v>
      </c>
      <c r="F158" s="73">
        <f>'Risk Master'!$G158*-1+('Risk Master'!$G158*'Event Trigger'!$D158*(1-'Input Sheet year 2'!J159))</f>
        <v>0</v>
      </c>
      <c r="G158" s="73">
        <f>'Risk Master'!$G158*-1+('Risk Master'!$G158*'Event Trigger'!$D158*(1-'Input Sheet year 2'!K159))</f>
        <v>0</v>
      </c>
      <c r="H158" s="73">
        <f>'Risk Master'!$G158*-1+('Risk Master'!$G158*'Event Trigger'!$D158*(1-'Input Sheet year 2'!L159))</f>
        <v>0</v>
      </c>
      <c r="I158" s="73">
        <f>'Risk Master'!$G158*-1+('Risk Master'!$G158*'Event Trigger'!$D158*(1-'Input Sheet year 2'!M159))</f>
        <v>0</v>
      </c>
      <c r="J158" s="73">
        <f>'Risk Master'!$G158*-1+('Risk Master'!$G158*'Event Trigger'!$D158*(1-'Input Sheet year 2'!N159))</f>
        <v>0</v>
      </c>
      <c r="K158" s="73">
        <f>'Risk Master'!$G158*-1+('Risk Master'!$G158*'Event Trigger'!$D158*(1-'Input Sheet year 2'!O159))</f>
        <v>400000</v>
      </c>
      <c r="L158" s="73">
        <f>'Risk Master'!$G158*-1+('Risk Master'!$G158*'Event Trigger'!$D158*(1-'Input Sheet year 2'!P159))</f>
        <v>0</v>
      </c>
      <c r="M158" s="73">
        <f>'Risk Master'!$G158*-1+('Risk Master'!$G158*'Event Trigger'!$D158*(1-'Input Sheet year 2'!Q159))</f>
        <v>0</v>
      </c>
      <c r="N158" s="88"/>
      <c r="O158" s="88">
        <f t="shared" si="20"/>
        <v>0</v>
      </c>
      <c r="P158" s="88">
        <f t="shared" si="21"/>
        <v>0</v>
      </c>
      <c r="Q158" s="88">
        <f t="shared" si="22"/>
        <v>0</v>
      </c>
      <c r="R158" s="88">
        <f t="shared" si="23"/>
        <v>0</v>
      </c>
      <c r="S158" s="88">
        <f t="shared" si="24"/>
        <v>0</v>
      </c>
      <c r="T158" s="88">
        <f t="shared" si="25"/>
        <v>0</v>
      </c>
      <c r="U158" s="88">
        <f t="shared" si="26"/>
        <v>0</v>
      </c>
      <c r="V158" s="88">
        <f t="shared" si="27"/>
        <v>0</v>
      </c>
      <c r="W158" s="88">
        <f t="shared" si="28"/>
        <v>0</v>
      </c>
      <c r="X158" s="88">
        <f t="shared" si="29"/>
        <v>0</v>
      </c>
    </row>
    <row r="159" spans="1:24" ht="38.25" x14ac:dyDescent="0.25">
      <c r="A159" s="37" t="str">
        <f>'Risk Master'!B159:B242&amp;"-"&amp;'Risk Master'!D159</f>
        <v>Tropical Storm Gabrielle-Caribbean Islands</v>
      </c>
      <c r="B159" s="37" t="str">
        <f>'Input Sheet year 2'!B160</f>
        <v>Thunderstorms, Tornados &amp; Tropical storms-Caribbean Islands</v>
      </c>
      <c r="C159" s="29" t="str">
        <f>'Risk Master'!F159</f>
        <v>A109</v>
      </c>
      <c r="D159" s="73">
        <f>'Risk Master'!$G159*-1+('Risk Master'!$G159*'Event Trigger'!$D159*(1-'Input Sheet year 1'!H160))</f>
        <v>0</v>
      </c>
      <c r="E159" s="73">
        <f>'Risk Master'!$G159*-1+('Risk Master'!$G159*'Event Trigger'!$D159*(1-'Input Sheet year 2'!I160))</f>
        <v>0</v>
      </c>
      <c r="F159" s="73">
        <f>'Risk Master'!$G159*-1+('Risk Master'!$G159*'Event Trigger'!$D159*(1-'Input Sheet year 2'!J160))</f>
        <v>400000</v>
      </c>
      <c r="G159" s="73">
        <f>'Risk Master'!$G159*-1+('Risk Master'!$G159*'Event Trigger'!$D159*(1-'Input Sheet year 2'!K160))</f>
        <v>0</v>
      </c>
      <c r="H159" s="73">
        <f>'Risk Master'!$G159*-1+('Risk Master'!$G159*'Event Trigger'!$D159*(1-'Input Sheet year 2'!L160))</f>
        <v>0</v>
      </c>
      <c r="I159" s="73">
        <f>'Risk Master'!$G159*-1+('Risk Master'!$G159*'Event Trigger'!$D159*(1-'Input Sheet year 2'!M160))</f>
        <v>0</v>
      </c>
      <c r="J159" s="73">
        <f>'Risk Master'!$G159*-1+('Risk Master'!$G159*'Event Trigger'!$D159*(1-'Input Sheet year 2'!N160))</f>
        <v>0</v>
      </c>
      <c r="K159" s="73">
        <f>'Risk Master'!$G159*-1+('Risk Master'!$G159*'Event Trigger'!$D159*(1-'Input Sheet year 2'!O160))</f>
        <v>0</v>
      </c>
      <c r="L159" s="73">
        <f>'Risk Master'!$G159*-1+('Risk Master'!$G159*'Event Trigger'!$D159*(1-'Input Sheet year 2'!P160))</f>
        <v>0</v>
      </c>
      <c r="M159" s="73">
        <f>'Risk Master'!$G159*-1+('Risk Master'!$G159*'Event Trigger'!$D159*(1-'Input Sheet year 2'!Q160))</f>
        <v>0</v>
      </c>
      <c r="N159" s="88"/>
      <c r="O159" s="88">
        <f t="shared" si="20"/>
        <v>0</v>
      </c>
      <c r="P159" s="88">
        <f t="shared" si="21"/>
        <v>0</v>
      </c>
      <c r="Q159" s="88">
        <f t="shared" si="22"/>
        <v>0</v>
      </c>
      <c r="R159" s="88">
        <f t="shared" si="23"/>
        <v>0</v>
      </c>
      <c r="S159" s="88">
        <f t="shared" si="24"/>
        <v>0</v>
      </c>
      <c r="T159" s="88">
        <f t="shared" si="25"/>
        <v>0</v>
      </c>
      <c r="U159" s="88">
        <f t="shared" si="26"/>
        <v>0</v>
      </c>
      <c r="V159" s="88">
        <f t="shared" si="27"/>
        <v>0</v>
      </c>
      <c r="W159" s="88">
        <f t="shared" si="28"/>
        <v>0</v>
      </c>
      <c r="X159" s="88">
        <f t="shared" si="29"/>
        <v>0</v>
      </c>
    </row>
    <row r="160" spans="1:24" ht="38.25" x14ac:dyDescent="0.25">
      <c r="A160" s="37" t="str">
        <f>'Risk Master'!B160:B243&amp;"-"&amp;'Risk Master'!D160</f>
        <v>Typhoon Wutip (Paolo)-Caribbean Islands</v>
      </c>
      <c r="B160" s="37" t="str">
        <f>'Input Sheet year 2'!B161</f>
        <v>Thunderstorms, Tornados &amp; Tropical storms-Caribbean Islands</v>
      </c>
      <c r="C160" s="29" t="str">
        <f>'Risk Master'!F160</f>
        <v>A113</v>
      </c>
      <c r="D160" s="73">
        <f>'Risk Master'!$G160*-1+('Risk Master'!$G160*'Event Trigger'!$D160*(1-'Input Sheet year 1'!H161))</f>
        <v>0</v>
      </c>
      <c r="E160" s="73">
        <f>'Risk Master'!$G160*-1+('Risk Master'!$G160*'Event Trigger'!$D160*(1-'Input Sheet year 2'!I161))</f>
        <v>0</v>
      </c>
      <c r="F160" s="73">
        <f>'Risk Master'!$G160*-1+('Risk Master'!$G160*'Event Trigger'!$D160*(1-'Input Sheet year 2'!J161))</f>
        <v>0</v>
      </c>
      <c r="G160" s="73">
        <f>'Risk Master'!$G160*-1+('Risk Master'!$G160*'Event Trigger'!$D160*(1-'Input Sheet year 2'!K161))</f>
        <v>0</v>
      </c>
      <c r="H160" s="73">
        <f>'Risk Master'!$G160*-1+('Risk Master'!$G160*'Event Trigger'!$D160*(1-'Input Sheet year 2'!L161))</f>
        <v>0</v>
      </c>
      <c r="I160" s="73">
        <f>'Risk Master'!$G160*-1+('Risk Master'!$G160*'Event Trigger'!$D160*(1-'Input Sheet year 2'!M161))</f>
        <v>0</v>
      </c>
      <c r="J160" s="73">
        <f>'Risk Master'!$G160*-1+('Risk Master'!$G160*'Event Trigger'!$D160*(1-'Input Sheet year 2'!N161))</f>
        <v>0</v>
      </c>
      <c r="K160" s="73">
        <f>'Risk Master'!$G160*-1+('Risk Master'!$G160*'Event Trigger'!$D160*(1-'Input Sheet year 2'!O161))</f>
        <v>600000</v>
      </c>
      <c r="L160" s="73">
        <f>'Risk Master'!$G160*-1+('Risk Master'!$G160*'Event Trigger'!$D160*(1-'Input Sheet year 2'!P161))</f>
        <v>0</v>
      </c>
      <c r="M160" s="73">
        <f>'Risk Master'!$G160*-1+('Risk Master'!$G160*'Event Trigger'!$D160*(1-'Input Sheet year 2'!Q161))</f>
        <v>600000</v>
      </c>
      <c r="N160" s="88"/>
      <c r="O160" s="88">
        <f t="shared" si="20"/>
        <v>0</v>
      </c>
      <c r="P160" s="88">
        <f t="shared" si="21"/>
        <v>0</v>
      </c>
      <c r="Q160" s="88">
        <f t="shared" si="22"/>
        <v>0</v>
      </c>
      <c r="R160" s="88">
        <f t="shared" si="23"/>
        <v>0</v>
      </c>
      <c r="S160" s="88">
        <f t="shared" si="24"/>
        <v>0</v>
      </c>
      <c r="T160" s="88">
        <f t="shared" si="25"/>
        <v>0</v>
      </c>
      <c r="U160" s="88">
        <f t="shared" si="26"/>
        <v>0</v>
      </c>
      <c r="V160" s="88">
        <f t="shared" si="27"/>
        <v>-600000</v>
      </c>
      <c r="W160" s="88">
        <f t="shared" si="28"/>
        <v>0</v>
      </c>
      <c r="X160" s="88">
        <f t="shared" si="29"/>
        <v>-600000</v>
      </c>
    </row>
    <row r="161" spans="1:24" x14ac:dyDescent="0.25">
      <c r="A161" s="37" t="str">
        <f>'Risk Master'!B161:B244&amp;"-"&amp;'Risk Master'!D161</f>
        <v>Earthquake-Caribbean Islands</v>
      </c>
      <c r="B161" s="37" t="str">
        <f>'Input Sheet year 2'!B162</f>
        <v>Earthquake-Caribbean Islands</v>
      </c>
      <c r="C161" s="29" t="str">
        <f>'Risk Master'!F161</f>
        <v>A113</v>
      </c>
      <c r="D161" s="73">
        <f>'Risk Master'!$G161*-1+('Risk Master'!$G161*'Event Trigger'!$D161*(1-'Input Sheet year 1'!H162))</f>
        <v>600000</v>
      </c>
      <c r="E161" s="73">
        <f>'Risk Master'!$G161*-1+('Risk Master'!$G161*'Event Trigger'!$D161*(1-'Input Sheet year 2'!I162))</f>
        <v>600000</v>
      </c>
      <c r="F161" s="73">
        <f>'Risk Master'!$G161*-1+('Risk Master'!$G161*'Event Trigger'!$D161*(1-'Input Sheet year 2'!J162))</f>
        <v>600000</v>
      </c>
      <c r="G161" s="73">
        <f>'Risk Master'!$G161*-1+('Risk Master'!$G161*'Event Trigger'!$D161*(1-'Input Sheet year 2'!K162))</f>
        <v>600000</v>
      </c>
      <c r="H161" s="73">
        <f>'Risk Master'!$G161*-1+('Risk Master'!$G161*'Event Trigger'!$D161*(1-'Input Sheet year 2'!L162))</f>
        <v>600000</v>
      </c>
      <c r="I161" s="73">
        <f>'Risk Master'!$G161*-1+('Risk Master'!$G161*'Event Trigger'!$D161*(1-'Input Sheet year 2'!M162))</f>
        <v>600000</v>
      </c>
      <c r="J161" s="73">
        <f>'Risk Master'!$G161*-1+('Risk Master'!$G161*'Event Trigger'!$D161*(1-'Input Sheet year 2'!N162))</f>
        <v>600000</v>
      </c>
      <c r="K161" s="73">
        <f>'Risk Master'!$G161*-1+('Risk Master'!$G161*'Event Trigger'!$D161*(1-'Input Sheet year 2'!O162))</f>
        <v>600000</v>
      </c>
      <c r="L161" s="73">
        <f>'Risk Master'!$G161*-1+('Risk Master'!$G161*'Event Trigger'!$D161*(1-'Input Sheet year 2'!P162))</f>
        <v>600000</v>
      </c>
      <c r="M161" s="73">
        <f>'Risk Master'!$G161*-1+('Risk Master'!$G161*'Event Trigger'!$D161*(1-'Input Sheet year 2'!Q162))</f>
        <v>600000</v>
      </c>
      <c r="N161" s="88"/>
      <c r="O161" s="88">
        <f t="shared" si="20"/>
        <v>0</v>
      </c>
      <c r="P161" s="88">
        <f t="shared" si="21"/>
        <v>0</v>
      </c>
      <c r="Q161" s="88">
        <f t="shared" si="22"/>
        <v>0</v>
      </c>
      <c r="R161" s="88">
        <f t="shared" si="23"/>
        <v>0</v>
      </c>
      <c r="S161" s="88">
        <f t="shared" si="24"/>
        <v>0</v>
      </c>
      <c r="T161" s="88">
        <f t="shared" si="25"/>
        <v>0</v>
      </c>
      <c r="U161" s="88">
        <f t="shared" si="26"/>
        <v>0</v>
      </c>
      <c r="V161" s="88">
        <f t="shared" si="27"/>
        <v>-600000</v>
      </c>
      <c r="W161" s="88">
        <f t="shared" si="28"/>
        <v>0</v>
      </c>
      <c r="X161" s="88">
        <f t="shared" si="29"/>
        <v>-600000</v>
      </c>
    </row>
    <row r="162" spans="1:24" ht="25.5" x14ac:dyDescent="0.25">
      <c r="A162" s="37" t="str">
        <f>'Risk Master'!B162:B245&amp;"-"&amp;'Risk Master'!D162</f>
        <v>Thunderstorms, Tornados &amp; Hail-Caribbean Islands</v>
      </c>
      <c r="B162" s="37" t="str">
        <f>'Input Sheet year 2'!B163</f>
        <v>Thunderstorms, Tornados &amp; Hail-Caribbean Islands</v>
      </c>
      <c r="C162" s="29" t="str">
        <f>'Risk Master'!F162</f>
        <v>A113</v>
      </c>
      <c r="D162" s="73">
        <f>'Risk Master'!$G162*-1+('Risk Master'!$G162*'Event Trigger'!$D162*(1-'Input Sheet year 1'!H163))</f>
        <v>600000</v>
      </c>
      <c r="E162" s="73">
        <f>'Risk Master'!$G162*-1+('Risk Master'!$G162*'Event Trigger'!$D162*(1-'Input Sheet year 2'!I163))</f>
        <v>600000</v>
      </c>
      <c r="F162" s="73">
        <f>'Risk Master'!$G162*-1+('Risk Master'!$G162*'Event Trigger'!$D162*(1-'Input Sheet year 2'!J163))</f>
        <v>600000</v>
      </c>
      <c r="G162" s="73">
        <f>'Risk Master'!$G162*-1+('Risk Master'!$G162*'Event Trigger'!$D162*(1-'Input Sheet year 2'!K163))</f>
        <v>600000</v>
      </c>
      <c r="H162" s="73">
        <f>'Risk Master'!$G162*-1+('Risk Master'!$G162*'Event Trigger'!$D162*(1-'Input Sheet year 2'!L163))</f>
        <v>600000</v>
      </c>
      <c r="I162" s="73">
        <f>'Risk Master'!$G162*-1+('Risk Master'!$G162*'Event Trigger'!$D162*(1-'Input Sheet year 2'!M163))</f>
        <v>600000</v>
      </c>
      <c r="J162" s="73">
        <f>'Risk Master'!$G162*-1+('Risk Master'!$G162*'Event Trigger'!$D162*(1-'Input Sheet year 2'!N163))</f>
        <v>600000</v>
      </c>
      <c r="K162" s="73">
        <f>'Risk Master'!$G162*-1+('Risk Master'!$G162*'Event Trigger'!$D162*(1-'Input Sheet year 2'!O163))</f>
        <v>600000</v>
      </c>
      <c r="L162" s="73">
        <f>'Risk Master'!$G162*-1+('Risk Master'!$G162*'Event Trigger'!$D162*(1-'Input Sheet year 2'!P163))</f>
        <v>600000</v>
      </c>
      <c r="M162" s="73">
        <f>'Risk Master'!$G162*-1+('Risk Master'!$G162*'Event Trigger'!$D162*(1-'Input Sheet year 2'!Q163))</f>
        <v>600000</v>
      </c>
      <c r="N162" s="88"/>
      <c r="O162" s="88">
        <f t="shared" si="20"/>
        <v>0</v>
      </c>
      <c r="P162" s="88">
        <f t="shared" si="21"/>
        <v>0</v>
      </c>
      <c r="Q162" s="88">
        <f t="shared" si="22"/>
        <v>0</v>
      </c>
      <c r="R162" s="88">
        <f t="shared" si="23"/>
        <v>0</v>
      </c>
      <c r="S162" s="88">
        <f t="shared" si="24"/>
        <v>0</v>
      </c>
      <c r="T162" s="88">
        <f t="shared" si="25"/>
        <v>0</v>
      </c>
      <c r="U162" s="88">
        <f t="shared" si="26"/>
        <v>0</v>
      </c>
      <c r="V162" s="88">
        <f t="shared" si="27"/>
        <v>-600000</v>
      </c>
      <c r="W162" s="88">
        <f t="shared" si="28"/>
        <v>0</v>
      </c>
      <c r="X162" s="88">
        <f t="shared" si="29"/>
        <v>-600000</v>
      </c>
    </row>
    <row r="163" spans="1:24" ht="38.25" x14ac:dyDescent="0.25">
      <c r="A163" s="37" t="str">
        <f>'Risk Master'!B163:B246&amp;"-"&amp;'Risk Master'!D163</f>
        <v>Tropical Storm Humberto-Caribbean Islands</v>
      </c>
      <c r="B163" s="37" t="str">
        <f>'Input Sheet year 2'!B164</f>
        <v>Thunderstorms, Tornados &amp; Tropical storms-Caribbean Islands</v>
      </c>
      <c r="C163" s="29" t="str">
        <f>'Risk Master'!F163</f>
        <v>A109</v>
      </c>
      <c r="D163" s="73">
        <f>'Risk Master'!$G163*-1+('Risk Master'!$G163*'Event Trigger'!$D163*(1-'Input Sheet year 1'!H164))</f>
        <v>0</v>
      </c>
      <c r="E163" s="73">
        <f>'Risk Master'!$G163*-1+('Risk Master'!$G163*'Event Trigger'!$D163*(1-'Input Sheet year 2'!I164))</f>
        <v>0</v>
      </c>
      <c r="F163" s="73">
        <f>'Risk Master'!$G163*-1+('Risk Master'!$G163*'Event Trigger'!$D163*(1-'Input Sheet year 2'!J164))</f>
        <v>0</v>
      </c>
      <c r="G163" s="73">
        <f>'Risk Master'!$G163*-1+('Risk Master'!$G163*'Event Trigger'!$D163*(1-'Input Sheet year 2'!K164))</f>
        <v>0</v>
      </c>
      <c r="H163" s="73">
        <f>'Risk Master'!$G163*-1+('Risk Master'!$G163*'Event Trigger'!$D163*(1-'Input Sheet year 2'!L164))</f>
        <v>0</v>
      </c>
      <c r="I163" s="73">
        <f>'Risk Master'!$G163*-1+('Risk Master'!$G163*'Event Trigger'!$D163*(1-'Input Sheet year 2'!M164))</f>
        <v>0</v>
      </c>
      <c r="J163" s="73">
        <f>'Risk Master'!$G163*-1+('Risk Master'!$G163*'Event Trigger'!$D163*(1-'Input Sheet year 2'!N164))</f>
        <v>0</v>
      </c>
      <c r="K163" s="73">
        <f>'Risk Master'!$G163*-1+('Risk Master'!$G163*'Event Trigger'!$D163*(1-'Input Sheet year 2'!O164))</f>
        <v>0</v>
      </c>
      <c r="L163" s="73">
        <f>'Risk Master'!$G163*-1+('Risk Master'!$G163*'Event Trigger'!$D163*(1-'Input Sheet year 2'!P164))</f>
        <v>0</v>
      </c>
      <c r="M163" s="73">
        <f>'Risk Master'!$G163*-1+('Risk Master'!$G163*'Event Trigger'!$D163*(1-'Input Sheet year 2'!Q164))</f>
        <v>0</v>
      </c>
      <c r="N163" s="88"/>
      <c r="O163" s="88">
        <f t="shared" si="20"/>
        <v>0</v>
      </c>
      <c r="P163" s="88">
        <f t="shared" si="21"/>
        <v>0</v>
      </c>
      <c r="Q163" s="88">
        <f t="shared" si="22"/>
        <v>0</v>
      </c>
      <c r="R163" s="88">
        <f t="shared" si="23"/>
        <v>0</v>
      </c>
      <c r="S163" s="88">
        <f t="shared" si="24"/>
        <v>0</v>
      </c>
      <c r="T163" s="88">
        <f t="shared" si="25"/>
        <v>0</v>
      </c>
      <c r="U163" s="88">
        <f t="shared" si="26"/>
        <v>0</v>
      </c>
      <c r="V163" s="88">
        <f t="shared" si="27"/>
        <v>0</v>
      </c>
      <c r="W163" s="88">
        <f t="shared" si="28"/>
        <v>0</v>
      </c>
      <c r="X163" s="88">
        <f t="shared" si="29"/>
        <v>0</v>
      </c>
    </row>
    <row r="164" spans="1:24" x14ac:dyDescent="0.25">
      <c r="A164" s="37" t="str">
        <f>'Risk Master'!B164:B247&amp;"-"&amp;'Risk Master'!D164</f>
        <v>Earthquake-Caribbean Islands</v>
      </c>
      <c r="B164" s="37" t="str">
        <f>'Input Sheet year 2'!B165</f>
        <v>Earthquake-Caribbean Islands</v>
      </c>
      <c r="C164" s="29" t="str">
        <f>'Risk Master'!F164</f>
        <v>A118</v>
      </c>
      <c r="D164" s="73">
        <f>'Risk Master'!$G164*-1+('Risk Master'!$G164*'Event Trigger'!$D164*(1-'Input Sheet year 1'!H165))</f>
        <v>600000</v>
      </c>
      <c r="E164" s="73">
        <f>'Risk Master'!$G164*-1+('Risk Master'!$G164*'Event Trigger'!$D164*(1-'Input Sheet year 2'!I165))</f>
        <v>600000</v>
      </c>
      <c r="F164" s="73">
        <f>'Risk Master'!$G164*-1+('Risk Master'!$G164*'Event Trigger'!$D164*(1-'Input Sheet year 2'!J165))</f>
        <v>600000</v>
      </c>
      <c r="G164" s="73">
        <f>'Risk Master'!$G164*-1+('Risk Master'!$G164*'Event Trigger'!$D164*(1-'Input Sheet year 2'!K165))</f>
        <v>600000</v>
      </c>
      <c r="H164" s="73">
        <f>'Risk Master'!$G164*-1+('Risk Master'!$G164*'Event Trigger'!$D164*(1-'Input Sheet year 2'!L165))</f>
        <v>600000</v>
      </c>
      <c r="I164" s="73">
        <f>'Risk Master'!$G164*-1+('Risk Master'!$G164*'Event Trigger'!$D164*(1-'Input Sheet year 2'!M165))</f>
        <v>600000</v>
      </c>
      <c r="J164" s="73">
        <f>'Risk Master'!$G164*-1+('Risk Master'!$G164*'Event Trigger'!$D164*(1-'Input Sheet year 2'!N165))</f>
        <v>600000</v>
      </c>
      <c r="K164" s="73">
        <f>'Risk Master'!$G164*-1+('Risk Master'!$G164*'Event Trigger'!$D164*(1-'Input Sheet year 2'!O165))</f>
        <v>600000</v>
      </c>
      <c r="L164" s="73">
        <f>'Risk Master'!$G164*-1+('Risk Master'!$G164*'Event Trigger'!$D164*(1-'Input Sheet year 2'!P165))</f>
        <v>600000</v>
      </c>
      <c r="M164" s="73">
        <f>'Risk Master'!$G164*-1+('Risk Master'!$G164*'Event Trigger'!$D164*(1-'Input Sheet year 2'!Q165))</f>
        <v>600000</v>
      </c>
      <c r="N164" s="88"/>
      <c r="O164" s="88">
        <f t="shared" si="20"/>
        <v>0</v>
      </c>
      <c r="P164" s="88">
        <f t="shared" si="21"/>
        <v>0</v>
      </c>
      <c r="Q164" s="88">
        <f t="shared" si="22"/>
        <v>0</v>
      </c>
      <c r="R164" s="88">
        <f t="shared" si="23"/>
        <v>0</v>
      </c>
      <c r="S164" s="88">
        <f t="shared" si="24"/>
        <v>0</v>
      </c>
      <c r="T164" s="88">
        <f t="shared" si="25"/>
        <v>0</v>
      </c>
      <c r="U164" s="88">
        <f t="shared" si="26"/>
        <v>0</v>
      </c>
      <c r="V164" s="88">
        <f t="shared" si="27"/>
        <v>0</v>
      </c>
      <c r="W164" s="88">
        <f t="shared" si="28"/>
        <v>0</v>
      </c>
      <c r="X164" s="88">
        <f t="shared" si="29"/>
        <v>0</v>
      </c>
    </row>
    <row r="165" spans="1:24" ht="25.5" x14ac:dyDescent="0.25">
      <c r="A165" s="37" t="str">
        <f>'Risk Master'!B165:B248&amp;"-"&amp;'Risk Master'!D165</f>
        <v>Hurricane-Typhoon -Caribbean Islands</v>
      </c>
      <c r="B165" s="37" t="str">
        <f>'Input Sheet year 2'!B166</f>
        <v>Hurricane-Typhoon -Caribbean Islands</v>
      </c>
      <c r="C165" s="29" t="str">
        <f>'Risk Master'!F165</f>
        <v>A118</v>
      </c>
      <c r="D165" s="73">
        <f>'Risk Master'!$G165*-1+('Risk Master'!$G165*'Event Trigger'!$D165*(1-'Input Sheet year 1'!H166))</f>
        <v>0</v>
      </c>
      <c r="E165" s="73">
        <f>'Risk Master'!$G165*-1+('Risk Master'!$G165*'Event Trigger'!$D165*(1-'Input Sheet year 2'!I166))</f>
        <v>0</v>
      </c>
      <c r="F165" s="73">
        <f>'Risk Master'!$G165*-1+('Risk Master'!$G165*'Event Trigger'!$D165*(1-'Input Sheet year 2'!J166))</f>
        <v>0</v>
      </c>
      <c r="G165" s="73">
        <f>'Risk Master'!$G165*-1+('Risk Master'!$G165*'Event Trigger'!$D165*(1-'Input Sheet year 2'!K166))</f>
        <v>0</v>
      </c>
      <c r="H165" s="73">
        <f>'Risk Master'!$G165*-1+('Risk Master'!$G165*'Event Trigger'!$D165*(1-'Input Sheet year 2'!L166))</f>
        <v>0</v>
      </c>
      <c r="I165" s="73">
        <f>'Risk Master'!$G165*-1+('Risk Master'!$G165*'Event Trigger'!$D165*(1-'Input Sheet year 2'!M166))</f>
        <v>0</v>
      </c>
      <c r="J165" s="73">
        <f>'Risk Master'!$G165*-1+('Risk Master'!$G165*'Event Trigger'!$D165*(1-'Input Sheet year 2'!N166))</f>
        <v>0</v>
      </c>
      <c r="K165" s="73">
        <f>'Risk Master'!$G165*-1+('Risk Master'!$G165*'Event Trigger'!$D165*(1-'Input Sheet year 2'!O166))</f>
        <v>0</v>
      </c>
      <c r="L165" s="73">
        <f>'Risk Master'!$G165*-1+('Risk Master'!$G165*'Event Trigger'!$D165*(1-'Input Sheet year 2'!P166))</f>
        <v>0</v>
      </c>
      <c r="M165" s="73">
        <f>'Risk Master'!$G165*-1+('Risk Master'!$G165*'Event Trigger'!$D165*(1-'Input Sheet year 2'!Q166))</f>
        <v>0</v>
      </c>
      <c r="N165" s="88"/>
      <c r="O165" s="88">
        <f t="shared" si="20"/>
        <v>0</v>
      </c>
      <c r="P165" s="88">
        <f t="shared" si="21"/>
        <v>0</v>
      </c>
      <c r="Q165" s="88">
        <f t="shared" si="22"/>
        <v>0</v>
      </c>
      <c r="R165" s="88">
        <f t="shared" si="23"/>
        <v>0</v>
      </c>
      <c r="S165" s="88">
        <f t="shared" si="24"/>
        <v>0</v>
      </c>
      <c r="T165" s="88">
        <f t="shared" si="25"/>
        <v>0</v>
      </c>
      <c r="U165" s="88">
        <f t="shared" si="26"/>
        <v>0</v>
      </c>
      <c r="V165" s="88">
        <f t="shared" si="27"/>
        <v>0</v>
      </c>
      <c r="W165" s="88">
        <f t="shared" si="28"/>
        <v>0</v>
      </c>
      <c r="X165" s="88">
        <f t="shared" si="29"/>
        <v>0</v>
      </c>
    </row>
    <row r="166" spans="1:24" ht="25.5" x14ac:dyDescent="0.25">
      <c r="A166" s="37" t="str">
        <f>'Risk Master'!B166:B249&amp;"-"&amp;'Risk Master'!D166</f>
        <v>Thunderstorms, Tornados &amp; Hail-Caribbean Islands</v>
      </c>
      <c r="B166" s="37" t="str">
        <f>'Input Sheet year 2'!B167</f>
        <v>Thunderstorms, Tornados &amp; Hail-Caribbean Islands</v>
      </c>
      <c r="C166" s="29" t="str">
        <f>'Risk Master'!F166</f>
        <v>A118</v>
      </c>
      <c r="D166" s="73">
        <f>'Risk Master'!$G166*-1+('Risk Master'!$G166*'Event Trigger'!$D166*(1-'Input Sheet year 1'!H167))</f>
        <v>600000</v>
      </c>
      <c r="E166" s="73">
        <f>'Risk Master'!$G166*-1+('Risk Master'!$G166*'Event Trigger'!$D166*(1-'Input Sheet year 2'!I167))</f>
        <v>600000</v>
      </c>
      <c r="F166" s="73">
        <f>'Risk Master'!$G166*-1+('Risk Master'!$G166*'Event Trigger'!$D166*(1-'Input Sheet year 2'!J167))</f>
        <v>600000</v>
      </c>
      <c r="G166" s="73">
        <f>'Risk Master'!$G166*-1+('Risk Master'!$G166*'Event Trigger'!$D166*(1-'Input Sheet year 2'!K167))</f>
        <v>600000</v>
      </c>
      <c r="H166" s="73">
        <f>'Risk Master'!$G166*-1+('Risk Master'!$G166*'Event Trigger'!$D166*(1-'Input Sheet year 2'!L167))</f>
        <v>600000</v>
      </c>
      <c r="I166" s="73">
        <f>'Risk Master'!$G166*-1+('Risk Master'!$G166*'Event Trigger'!$D166*(1-'Input Sheet year 2'!M167))</f>
        <v>600000</v>
      </c>
      <c r="J166" s="73">
        <f>'Risk Master'!$G166*-1+('Risk Master'!$G166*'Event Trigger'!$D166*(1-'Input Sheet year 2'!N167))</f>
        <v>600000</v>
      </c>
      <c r="K166" s="73">
        <f>'Risk Master'!$G166*-1+('Risk Master'!$G166*'Event Trigger'!$D166*(1-'Input Sheet year 2'!O167))</f>
        <v>600000</v>
      </c>
      <c r="L166" s="73">
        <f>'Risk Master'!$G166*-1+('Risk Master'!$G166*'Event Trigger'!$D166*(1-'Input Sheet year 2'!P167))</f>
        <v>600000</v>
      </c>
      <c r="M166" s="73">
        <f>'Risk Master'!$G166*-1+('Risk Master'!$G166*'Event Trigger'!$D166*(1-'Input Sheet year 2'!Q167))</f>
        <v>600000</v>
      </c>
      <c r="N166" s="88"/>
      <c r="O166" s="88">
        <f t="shared" si="20"/>
        <v>0</v>
      </c>
      <c r="P166" s="88">
        <f t="shared" si="21"/>
        <v>0</v>
      </c>
      <c r="Q166" s="88">
        <f t="shared" si="22"/>
        <v>0</v>
      </c>
      <c r="R166" s="88">
        <f t="shared" si="23"/>
        <v>0</v>
      </c>
      <c r="S166" s="88">
        <f t="shared" si="24"/>
        <v>0</v>
      </c>
      <c r="T166" s="88">
        <f t="shared" si="25"/>
        <v>0</v>
      </c>
      <c r="U166" s="88">
        <f t="shared" si="26"/>
        <v>0</v>
      </c>
      <c r="V166" s="88">
        <f t="shared" si="27"/>
        <v>0</v>
      </c>
      <c r="W166" s="88">
        <f t="shared" si="28"/>
        <v>0</v>
      </c>
      <c r="X166" s="88">
        <f t="shared" si="29"/>
        <v>0</v>
      </c>
    </row>
    <row r="167" spans="1:24" ht="25.5" x14ac:dyDescent="0.25">
      <c r="A167" s="37" t="str">
        <f>'Risk Master'!B167:B250&amp;"-"&amp;'Risk Master'!D167</f>
        <v>Hurricane-Typhoon -Caribbean Islands</v>
      </c>
      <c r="B167" s="37" t="str">
        <f>'Input Sheet year 2'!B168</f>
        <v>Hurricane-Typhoon -Caribbean Islands</v>
      </c>
      <c r="C167" s="29" t="str">
        <f>'Risk Master'!F167</f>
        <v>A120</v>
      </c>
      <c r="D167" s="73">
        <f>'Risk Master'!$G167*-1+('Risk Master'!$G167*'Event Trigger'!$D167*(1-'Input Sheet year 1'!H168))</f>
        <v>0</v>
      </c>
      <c r="E167" s="73">
        <f>'Risk Master'!$G167*-1+('Risk Master'!$G167*'Event Trigger'!$D167*(1-'Input Sheet year 2'!I168))</f>
        <v>0</v>
      </c>
      <c r="F167" s="73">
        <f>'Risk Master'!$G167*-1+('Risk Master'!$G167*'Event Trigger'!$D167*(1-'Input Sheet year 2'!J168))</f>
        <v>0</v>
      </c>
      <c r="G167" s="73">
        <f>'Risk Master'!$G167*-1+('Risk Master'!$G167*'Event Trigger'!$D167*(1-'Input Sheet year 2'!K168))</f>
        <v>0</v>
      </c>
      <c r="H167" s="73">
        <f>'Risk Master'!$G167*-1+('Risk Master'!$G167*'Event Trigger'!$D167*(1-'Input Sheet year 2'!L168))</f>
        <v>0</v>
      </c>
      <c r="I167" s="73">
        <f>'Risk Master'!$G167*-1+('Risk Master'!$G167*'Event Trigger'!$D167*(1-'Input Sheet year 2'!M168))</f>
        <v>200000</v>
      </c>
      <c r="J167" s="73">
        <f>'Risk Master'!$G167*-1+('Risk Master'!$G167*'Event Trigger'!$D167*(1-'Input Sheet year 2'!N168))</f>
        <v>0</v>
      </c>
      <c r="K167" s="73">
        <f>'Risk Master'!$G167*-1+('Risk Master'!$G167*'Event Trigger'!$D167*(1-'Input Sheet year 2'!O168))</f>
        <v>0</v>
      </c>
      <c r="L167" s="73">
        <f>'Risk Master'!$G167*-1+('Risk Master'!$G167*'Event Trigger'!$D167*(1-'Input Sheet year 2'!P168))</f>
        <v>0</v>
      </c>
      <c r="M167" s="73">
        <f>'Risk Master'!$G167*-1+('Risk Master'!$G167*'Event Trigger'!$D167*(1-'Input Sheet year 2'!Q168))</f>
        <v>0</v>
      </c>
      <c r="N167" s="88"/>
      <c r="O167" s="88">
        <f t="shared" si="20"/>
        <v>0</v>
      </c>
      <c r="P167" s="88">
        <f t="shared" si="21"/>
        <v>0</v>
      </c>
      <c r="Q167" s="88">
        <f t="shared" si="22"/>
        <v>0</v>
      </c>
      <c r="R167" s="88">
        <f t="shared" si="23"/>
        <v>0</v>
      </c>
      <c r="S167" s="88">
        <f t="shared" si="24"/>
        <v>0</v>
      </c>
      <c r="T167" s="88">
        <f t="shared" si="25"/>
        <v>-200000</v>
      </c>
      <c r="U167" s="88">
        <f t="shared" si="26"/>
        <v>0</v>
      </c>
      <c r="V167" s="88">
        <f t="shared" si="27"/>
        <v>0</v>
      </c>
      <c r="W167" s="88">
        <f t="shared" si="28"/>
        <v>0</v>
      </c>
      <c r="X167" s="88">
        <f t="shared" si="29"/>
        <v>0</v>
      </c>
    </row>
    <row r="168" spans="1:24" x14ac:dyDescent="0.25">
      <c r="A168" s="37" t="str">
        <f>'Risk Master'!B168:B251&amp;"-"&amp;'Risk Master'!D168</f>
        <v>Earthquake-Caribbean Islands</v>
      </c>
      <c r="B168" s="37" t="str">
        <f>'Input Sheet year 2'!B169</f>
        <v>Earthquake-Caribbean Islands</v>
      </c>
      <c r="C168" s="29" t="str">
        <f>'Risk Master'!F168</f>
        <v>A120</v>
      </c>
      <c r="D168" s="73">
        <f>'Risk Master'!$G168*-1+('Risk Master'!$G168*'Event Trigger'!$D168*(1-'Input Sheet year 1'!H169))</f>
        <v>200000</v>
      </c>
      <c r="E168" s="73">
        <f>'Risk Master'!$G168*-1+('Risk Master'!$G168*'Event Trigger'!$D168*(1-'Input Sheet year 2'!I169))</f>
        <v>200000</v>
      </c>
      <c r="F168" s="73">
        <f>'Risk Master'!$G168*-1+('Risk Master'!$G168*'Event Trigger'!$D168*(1-'Input Sheet year 2'!J169))</f>
        <v>200000</v>
      </c>
      <c r="G168" s="73">
        <f>'Risk Master'!$G168*-1+('Risk Master'!$G168*'Event Trigger'!$D168*(1-'Input Sheet year 2'!K169))</f>
        <v>200000</v>
      </c>
      <c r="H168" s="73">
        <f>'Risk Master'!$G168*-1+('Risk Master'!$G168*'Event Trigger'!$D168*(1-'Input Sheet year 2'!L169))</f>
        <v>200000</v>
      </c>
      <c r="I168" s="73">
        <f>'Risk Master'!$G168*-1+('Risk Master'!$G168*'Event Trigger'!$D168*(1-'Input Sheet year 2'!M169))</f>
        <v>200000</v>
      </c>
      <c r="J168" s="73">
        <f>'Risk Master'!$G168*-1+('Risk Master'!$G168*'Event Trigger'!$D168*(1-'Input Sheet year 2'!N169))</f>
        <v>200000</v>
      </c>
      <c r="K168" s="73">
        <f>'Risk Master'!$G168*-1+('Risk Master'!$G168*'Event Trigger'!$D168*(1-'Input Sheet year 2'!O169))</f>
        <v>200000</v>
      </c>
      <c r="L168" s="73">
        <f>'Risk Master'!$G168*-1+('Risk Master'!$G168*'Event Trigger'!$D168*(1-'Input Sheet year 2'!P169))</f>
        <v>200000</v>
      </c>
      <c r="M168" s="73">
        <f>'Risk Master'!$G168*-1+('Risk Master'!$G168*'Event Trigger'!$D168*(1-'Input Sheet year 2'!Q169))</f>
        <v>200000</v>
      </c>
      <c r="N168" s="88"/>
      <c r="O168" s="88">
        <f t="shared" si="20"/>
        <v>0</v>
      </c>
      <c r="P168" s="88">
        <f t="shared" si="21"/>
        <v>0</v>
      </c>
      <c r="Q168" s="88">
        <f t="shared" si="22"/>
        <v>0</v>
      </c>
      <c r="R168" s="88">
        <f t="shared" si="23"/>
        <v>0</v>
      </c>
      <c r="S168" s="88">
        <f t="shared" si="24"/>
        <v>0</v>
      </c>
      <c r="T168" s="88">
        <f t="shared" si="25"/>
        <v>-200000</v>
      </c>
      <c r="U168" s="88">
        <f t="shared" si="26"/>
        <v>0</v>
      </c>
      <c r="V168" s="88">
        <f t="shared" si="27"/>
        <v>0</v>
      </c>
      <c r="W168" s="88">
        <f t="shared" si="28"/>
        <v>0</v>
      </c>
      <c r="X168" s="88">
        <f t="shared" si="29"/>
        <v>0</v>
      </c>
    </row>
    <row r="169" spans="1:24" x14ac:dyDescent="0.25">
      <c r="A169" s="37" t="str">
        <f>'Risk Master'!B169:B252&amp;"-"&amp;'Risk Master'!D169</f>
        <v>Fire-Caribbean Islands</v>
      </c>
      <c r="B169" s="37" t="str">
        <f>'Input Sheet year 2'!B170</f>
        <v>Fire-Caribbean Islands</v>
      </c>
      <c r="C169" s="29" t="str">
        <f>'Risk Master'!F169</f>
        <v>A120</v>
      </c>
      <c r="D169" s="73">
        <f>'Risk Master'!$G169*-1+('Risk Master'!$G169*'Event Trigger'!$D169*(1-'Input Sheet year 1'!H170))</f>
        <v>0</v>
      </c>
      <c r="E169" s="73">
        <f>'Risk Master'!$G169*-1+('Risk Master'!$G169*'Event Trigger'!$D169*(1-'Input Sheet year 2'!I170))</f>
        <v>200000</v>
      </c>
      <c r="F169" s="73">
        <f>'Risk Master'!$G169*-1+('Risk Master'!$G169*'Event Trigger'!$D169*(1-'Input Sheet year 2'!J170))</f>
        <v>200000</v>
      </c>
      <c r="G169" s="73">
        <f>'Risk Master'!$G169*-1+('Risk Master'!$G169*'Event Trigger'!$D169*(1-'Input Sheet year 2'!K170))</f>
        <v>200000</v>
      </c>
      <c r="H169" s="73">
        <f>'Risk Master'!$G169*-1+('Risk Master'!$G169*'Event Trigger'!$D169*(1-'Input Sheet year 2'!L170))</f>
        <v>200000</v>
      </c>
      <c r="I169" s="73">
        <f>'Risk Master'!$G169*-1+('Risk Master'!$G169*'Event Trigger'!$D169*(1-'Input Sheet year 2'!M170))</f>
        <v>200000</v>
      </c>
      <c r="J169" s="73">
        <f>'Risk Master'!$G169*-1+('Risk Master'!$G169*'Event Trigger'!$D169*(1-'Input Sheet year 2'!N170))</f>
        <v>200000</v>
      </c>
      <c r="K169" s="73">
        <f>'Risk Master'!$G169*-1+('Risk Master'!$G169*'Event Trigger'!$D169*(1-'Input Sheet year 2'!O170))</f>
        <v>0</v>
      </c>
      <c r="L169" s="73">
        <f>'Risk Master'!$G169*-1+('Risk Master'!$G169*'Event Trigger'!$D169*(1-'Input Sheet year 2'!P170))</f>
        <v>0</v>
      </c>
      <c r="M169" s="73">
        <f>'Risk Master'!$G169*-1+('Risk Master'!$G169*'Event Trigger'!$D169*(1-'Input Sheet year 2'!Q170))</f>
        <v>0</v>
      </c>
      <c r="N169" s="88"/>
      <c r="O169" s="88">
        <f t="shared" si="20"/>
        <v>0</v>
      </c>
      <c r="P169" s="88">
        <f t="shared" si="21"/>
        <v>0</v>
      </c>
      <c r="Q169" s="88">
        <f t="shared" si="22"/>
        <v>0</v>
      </c>
      <c r="R169" s="88">
        <f t="shared" si="23"/>
        <v>0</v>
      </c>
      <c r="S169" s="88">
        <f t="shared" si="24"/>
        <v>0</v>
      </c>
      <c r="T169" s="88">
        <f t="shared" si="25"/>
        <v>-200000</v>
      </c>
      <c r="U169" s="88">
        <f t="shared" si="26"/>
        <v>0</v>
      </c>
      <c r="V169" s="88">
        <f t="shared" si="27"/>
        <v>0</v>
      </c>
      <c r="W169" s="88">
        <f t="shared" si="28"/>
        <v>0</v>
      </c>
      <c r="X169" s="88">
        <f t="shared" si="29"/>
        <v>0</v>
      </c>
    </row>
    <row r="170" spans="1:24" ht="25.5" x14ac:dyDescent="0.25">
      <c r="A170" s="37" t="str">
        <f>'Risk Master'!B170:B253&amp;"-"&amp;'Risk Master'!D170</f>
        <v>Tropical Storm Chantal-Caribbean Islands</v>
      </c>
      <c r="B170" s="37" t="str">
        <f>'Input Sheet year 2'!B171</f>
        <v>Tropical Storm-Caribbean Islands</v>
      </c>
      <c r="C170" s="29" t="str">
        <f>'Risk Master'!F170</f>
        <v>A120</v>
      </c>
      <c r="D170" s="73">
        <f>'Risk Master'!$G170*-1+('Risk Master'!$G170*'Event Trigger'!$D170*(1-'Input Sheet year 1'!H171))</f>
        <v>200000</v>
      </c>
      <c r="E170" s="73">
        <f>'Risk Master'!$G170*-1+('Risk Master'!$G170*'Event Trigger'!$D170*(1-'Input Sheet year 2'!I171))</f>
        <v>200000</v>
      </c>
      <c r="F170" s="73">
        <f>'Risk Master'!$G170*-1+('Risk Master'!$G170*'Event Trigger'!$D170*(1-'Input Sheet year 2'!J171))</f>
        <v>200000</v>
      </c>
      <c r="G170" s="73">
        <f>'Risk Master'!$G170*-1+('Risk Master'!$G170*'Event Trigger'!$D170*(1-'Input Sheet year 2'!K171))</f>
        <v>200000</v>
      </c>
      <c r="H170" s="73">
        <f>'Risk Master'!$G170*-1+('Risk Master'!$G170*'Event Trigger'!$D170*(1-'Input Sheet year 2'!L171))</f>
        <v>200000</v>
      </c>
      <c r="I170" s="73">
        <f>'Risk Master'!$G170*-1+('Risk Master'!$G170*'Event Trigger'!$D170*(1-'Input Sheet year 2'!M171))</f>
        <v>200000</v>
      </c>
      <c r="J170" s="73">
        <f>'Risk Master'!$G170*-1+('Risk Master'!$G170*'Event Trigger'!$D170*(1-'Input Sheet year 2'!N171))</f>
        <v>200000</v>
      </c>
      <c r="K170" s="73">
        <f>'Risk Master'!$G170*-1+('Risk Master'!$G170*'Event Trigger'!$D170*(1-'Input Sheet year 2'!O171))</f>
        <v>200000</v>
      </c>
      <c r="L170" s="73">
        <f>'Risk Master'!$G170*-1+('Risk Master'!$G170*'Event Trigger'!$D170*(1-'Input Sheet year 2'!P171))</f>
        <v>200000</v>
      </c>
      <c r="M170" s="73">
        <f>'Risk Master'!$G170*-1+('Risk Master'!$G170*'Event Trigger'!$D170*(1-'Input Sheet year 2'!Q171))</f>
        <v>200000</v>
      </c>
      <c r="N170" s="88"/>
      <c r="O170" s="88">
        <f t="shared" si="20"/>
        <v>0</v>
      </c>
      <c r="P170" s="88">
        <f t="shared" si="21"/>
        <v>0</v>
      </c>
      <c r="Q170" s="88">
        <f t="shared" si="22"/>
        <v>0</v>
      </c>
      <c r="R170" s="88">
        <f t="shared" si="23"/>
        <v>0</v>
      </c>
      <c r="S170" s="88">
        <f t="shared" si="24"/>
        <v>0</v>
      </c>
      <c r="T170" s="88">
        <f t="shared" si="25"/>
        <v>-200000</v>
      </c>
      <c r="U170" s="88">
        <f t="shared" si="26"/>
        <v>0</v>
      </c>
      <c r="V170" s="88">
        <f t="shared" si="27"/>
        <v>0</v>
      </c>
      <c r="W170" s="88">
        <f t="shared" si="28"/>
        <v>0</v>
      </c>
      <c r="X170" s="88">
        <f t="shared" si="29"/>
        <v>0</v>
      </c>
    </row>
    <row r="171" spans="1:24" x14ac:dyDescent="0.25">
      <c r="A171" s="37" t="str">
        <f>'Risk Master'!B171:B254&amp;"-"&amp;'Risk Master'!D171</f>
        <v>Earthquake-Texas</v>
      </c>
      <c r="B171" s="37" t="str">
        <f>'Input Sheet year 2'!B172</f>
        <v>Earthquake-Texas</v>
      </c>
      <c r="C171" s="29" t="str">
        <f>'Risk Master'!F171</f>
        <v>A124</v>
      </c>
      <c r="D171" s="73">
        <f>'Risk Master'!$G171*-1+('Risk Master'!$G171*'Event Trigger'!$D171*(1-'Input Sheet year 1'!H172))</f>
        <v>1200000</v>
      </c>
      <c r="E171" s="73">
        <f>'Risk Master'!$G171*-1+('Risk Master'!$G171*'Event Trigger'!$D171*(1-'Input Sheet year 2'!I172))</f>
        <v>1200000</v>
      </c>
      <c r="F171" s="73">
        <f>'Risk Master'!$G171*-1+('Risk Master'!$G171*'Event Trigger'!$D171*(1-'Input Sheet year 2'!J172))</f>
        <v>1200000</v>
      </c>
      <c r="G171" s="73">
        <f>'Risk Master'!$G171*-1+('Risk Master'!$G171*'Event Trigger'!$D171*(1-'Input Sheet year 2'!K172))</f>
        <v>1200000</v>
      </c>
      <c r="H171" s="73">
        <f>'Risk Master'!$G171*-1+('Risk Master'!$G171*'Event Trigger'!$D171*(1-'Input Sheet year 2'!L172))</f>
        <v>1200000</v>
      </c>
      <c r="I171" s="73">
        <f>'Risk Master'!$G171*-1+('Risk Master'!$G171*'Event Trigger'!$D171*(1-'Input Sheet year 2'!M172))</f>
        <v>1200000</v>
      </c>
      <c r="J171" s="73">
        <f>'Risk Master'!$G171*-1+('Risk Master'!$G171*'Event Trigger'!$D171*(1-'Input Sheet year 2'!N172))</f>
        <v>1200000</v>
      </c>
      <c r="K171" s="73">
        <f>'Risk Master'!$G171*-1+('Risk Master'!$G171*'Event Trigger'!$D171*(1-'Input Sheet year 2'!O172))</f>
        <v>1200000</v>
      </c>
      <c r="L171" s="73">
        <f>'Risk Master'!$G171*-1+('Risk Master'!$G171*'Event Trigger'!$D171*(1-'Input Sheet year 2'!P172))</f>
        <v>1200000</v>
      </c>
      <c r="M171" s="73">
        <f>'Risk Master'!$G171*-1+('Risk Master'!$G171*'Event Trigger'!$D171*(1-'Input Sheet year 2'!Q172))</f>
        <v>1200000</v>
      </c>
      <c r="N171" s="88"/>
      <c r="O171" s="88">
        <f t="shared" si="20"/>
        <v>-1200000</v>
      </c>
      <c r="P171" s="88">
        <f t="shared" si="21"/>
        <v>-1200000</v>
      </c>
      <c r="Q171" s="88">
        <f t="shared" si="22"/>
        <v>-1200000</v>
      </c>
      <c r="R171" s="88">
        <f t="shared" si="23"/>
        <v>-1200000</v>
      </c>
      <c r="S171" s="88">
        <f t="shared" si="24"/>
        <v>-1200000</v>
      </c>
      <c r="T171" s="88">
        <f t="shared" si="25"/>
        <v>-1200000</v>
      </c>
      <c r="U171" s="88">
        <f t="shared" si="26"/>
        <v>-1200000</v>
      </c>
      <c r="V171" s="88">
        <f t="shared" si="27"/>
        <v>-1200000</v>
      </c>
      <c r="W171" s="88">
        <f t="shared" si="28"/>
        <v>-1200000</v>
      </c>
      <c r="X171" s="88">
        <f t="shared" si="29"/>
        <v>-1200000</v>
      </c>
    </row>
    <row r="172" spans="1:24" ht="25.5" x14ac:dyDescent="0.25">
      <c r="A172" s="37" t="str">
        <f>'Risk Master'!B172:B255&amp;"-"&amp;'Risk Master'!D172</f>
        <v>Thunderstorms, Tornados &amp; Hail-Texas</v>
      </c>
      <c r="B172" s="37" t="str">
        <f>'Input Sheet year 2'!B173</f>
        <v>Thunderstorms, Tornados &amp; Hail-Texas</v>
      </c>
      <c r="C172" s="29" t="str">
        <f>'Risk Master'!F172</f>
        <v>A124</v>
      </c>
      <c r="D172" s="73">
        <f>'Risk Master'!$G172*-1+('Risk Master'!$G172*'Event Trigger'!$D172*(1-'Input Sheet year 1'!H173))</f>
        <v>1200000</v>
      </c>
      <c r="E172" s="73">
        <f>'Risk Master'!$G172*-1+('Risk Master'!$G172*'Event Trigger'!$D172*(1-'Input Sheet year 2'!I173))</f>
        <v>1200000</v>
      </c>
      <c r="F172" s="73">
        <f>'Risk Master'!$G172*-1+('Risk Master'!$G172*'Event Trigger'!$D172*(1-'Input Sheet year 2'!J173))</f>
        <v>1200000</v>
      </c>
      <c r="G172" s="73">
        <f>'Risk Master'!$G172*-1+('Risk Master'!$G172*'Event Trigger'!$D172*(1-'Input Sheet year 2'!K173))</f>
        <v>1200000</v>
      </c>
      <c r="H172" s="73">
        <f>'Risk Master'!$G172*-1+('Risk Master'!$G172*'Event Trigger'!$D172*(1-'Input Sheet year 2'!L173))</f>
        <v>1200000</v>
      </c>
      <c r="I172" s="73">
        <f>'Risk Master'!$G172*-1+('Risk Master'!$G172*'Event Trigger'!$D172*(1-'Input Sheet year 2'!M173))</f>
        <v>1200000</v>
      </c>
      <c r="J172" s="73">
        <f>'Risk Master'!$G172*-1+('Risk Master'!$G172*'Event Trigger'!$D172*(1-'Input Sheet year 2'!N173))</f>
        <v>1200000</v>
      </c>
      <c r="K172" s="73">
        <f>'Risk Master'!$G172*-1+('Risk Master'!$G172*'Event Trigger'!$D172*(1-'Input Sheet year 2'!O173))</f>
        <v>1200000</v>
      </c>
      <c r="L172" s="73">
        <f>'Risk Master'!$G172*-1+('Risk Master'!$G172*'Event Trigger'!$D172*(1-'Input Sheet year 2'!P173))</f>
        <v>1200000</v>
      </c>
      <c r="M172" s="73">
        <f>'Risk Master'!$G172*-1+('Risk Master'!$G172*'Event Trigger'!$D172*(1-'Input Sheet year 2'!Q173))</f>
        <v>1200000</v>
      </c>
      <c r="N172" s="88"/>
      <c r="O172" s="88">
        <f t="shared" si="20"/>
        <v>-1200000</v>
      </c>
      <c r="P172" s="88">
        <f t="shared" si="21"/>
        <v>-1200000</v>
      </c>
      <c r="Q172" s="88">
        <f t="shared" si="22"/>
        <v>-1200000</v>
      </c>
      <c r="R172" s="88">
        <f t="shared" si="23"/>
        <v>-1200000</v>
      </c>
      <c r="S172" s="88">
        <f t="shared" si="24"/>
        <v>-1200000</v>
      </c>
      <c r="T172" s="88">
        <f t="shared" si="25"/>
        <v>-1200000</v>
      </c>
      <c r="U172" s="88">
        <f t="shared" si="26"/>
        <v>-1200000</v>
      </c>
      <c r="V172" s="88">
        <f t="shared" si="27"/>
        <v>-1200000</v>
      </c>
      <c r="W172" s="88">
        <f t="shared" si="28"/>
        <v>-1200000</v>
      </c>
      <c r="X172" s="88">
        <f t="shared" si="29"/>
        <v>-1200000</v>
      </c>
    </row>
    <row r="173" spans="1:24" x14ac:dyDescent="0.25">
      <c r="A173" s="37" t="str">
        <f>'Risk Master'!B173:B256&amp;"-"&amp;'Risk Master'!D173</f>
        <v>Hurricane-Typhoon -Texas</v>
      </c>
      <c r="B173" s="37" t="str">
        <f>'Input Sheet year 2'!B174</f>
        <v>Hurricane-Typhoon -Texas</v>
      </c>
      <c r="C173" s="29" t="str">
        <f>'Risk Master'!F173</f>
        <v>A124</v>
      </c>
      <c r="D173" s="73">
        <f>'Risk Master'!$G173*-1+('Risk Master'!$G173*'Event Trigger'!$D173*(1-'Input Sheet year 1'!H174))</f>
        <v>1200000</v>
      </c>
      <c r="E173" s="73">
        <f>'Risk Master'!$G173*-1+('Risk Master'!$G173*'Event Trigger'!$D173*(1-'Input Sheet year 2'!I174))</f>
        <v>1200000</v>
      </c>
      <c r="F173" s="73">
        <f>'Risk Master'!$G173*-1+('Risk Master'!$G173*'Event Trigger'!$D173*(1-'Input Sheet year 2'!J174))</f>
        <v>1200000</v>
      </c>
      <c r="G173" s="73">
        <f>'Risk Master'!$G173*-1+('Risk Master'!$G173*'Event Trigger'!$D173*(1-'Input Sheet year 2'!K174))</f>
        <v>1200000</v>
      </c>
      <c r="H173" s="73">
        <f>'Risk Master'!$G173*-1+('Risk Master'!$G173*'Event Trigger'!$D173*(1-'Input Sheet year 2'!L174))</f>
        <v>1200000</v>
      </c>
      <c r="I173" s="73">
        <f>'Risk Master'!$G173*-1+('Risk Master'!$G173*'Event Trigger'!$D173*(1-'Input Sheet year 2'!M174))</f>
        <v>1200000</v>
      </c>
      <c r="J173" s="73">
        <f>'Risk Master'!$G173*-1+('Risk Master'!$G173*'Event Trigger'!$D173*(1-'Input Sheet year 2'!N174))</f>
        <v>1200000</v>
      </c>
      <c r="K173" s="73">
        <f>'Risk Master'!$G173*-1+('Risk Master'!$G173*'Event Trigger'!$D173*(1-'Input Sheet year 2'!O174))</f>
        <v>1200000</v>
      </c>
      <c r="L173" s="73">
        <f>'Risk Master'!$G173*-1+('Risk Master'!$G173*'Event Trigger'!$D173*(1-'Input Sheet year 2'!P174))</f>
        <v>1200000</v>
      </c>
      <c r="M173" s="73">
        <f>'Risk Master'!$G173*-1+('Risk Master'!$G173*'Event Trigger'!$D173*(1-'Input Sheet year 2'!Q174))</f>
        <v>1200000</v>
      </c>
      <c r="N173" s="88"/>
      <c r="O173" s="88">
        <f t="shared" si="20"/>
        <v>-1200000</v>
      </c>
      <c r="P173" s="88">
        <f t="shared" si="21"/>
        <v>-1200000</v>
      </c>
      <c r="Q173" s="88">
        <f t="shared" si="22"/>
        <v>-1200000</v>
      </c>
      <c r="R173" s="88">
        <f t="shared" si="23"/>
        <v>-1200000</v>
      </c>
      <c r="S173" s="88">
        <f t="shared" si="24"/>
        <v>-1200000</v>
      </c>
      <c r="T173" s="88">
        <f t="shared" si="25"/>
        <v>-1200000</v>
      </c>
      <c r="U173" s="88">
        <f t="shared" si="26"/>
        <v>-1200000</v>
      </c>
      <c r="V173" s="88">
        <f t="shared" si="27"/>
        <v>-1200000</v>
      </c>
      <c r="W173" s="88">
        <f t="shared" si="28"/>
        <v>-1200000</v>
      </c>
      <c r="X173" s="88">
        <f t="shared" si="29"/>
        <v>-1200000</v>
      </c>
    </row>
    <row r="174" spans="1:24" x14ac:dyDescent="0.25">
      <c r="A174" s="37" t="str">
        <f>'Risk Master'!B174:B257&amp;"-"&amp;'Risk Master'!D174</f>
        <v>Earthquake-Texas</v>
      </c>
      <c r="B174" s="37" t="str">
        <f>'Input Sheet year 2'!B175</f>
        <v>Earthquake-Texas</v>
      </c>
      <c r="C174" s="29" t="str">
        <f>'Risk Master'!F174</f>
        <v>A127</v>
      </c>
      <c r="D174" s="73">
        <f>'Risk Master'!$G174*-1+('Risk Master'!$G174*'Event Trigger'!$D174*(1-'Input Sheet year 1'!H175))</f>
        <v>1000000</v>
      </c>
      <c r="E174" s="73">
        <f>'Risk Master'!$G174*-1+('Risk Master'!$G174*'Event Trigger'!$D174*(1-'Input Sheet year 2'!I175))</f>
        <v>1000000</v>
      </c>
      <c r="F174" s="73">
        <f>'Risk Master'!$G174*-1+('Risk Master'!$G174*'Event Trigger'!$D174*(1-'Input Sheet year 2'!J175))</f>
        <v>1000000</v>
      </c>
      <c r="G174" s="73">
        <f>'Risk Master'!$G174*-1+('Risk Master'!$G174*'Event Trigger'!$D174*(1-'Input Sheet year 2'!K175))</f>
        <v>1000000</v>
      </c>
      <c r="H174" s="73">
        <f>'Risk Master'!$G174*-1+('Risk Master'!$G174*'Event Trigger'!$D174*(1-'Input Sheet year 2'!L175))</f>
        <v>1000000</v>
      </c>
      <c r="I174" s="73">
        <f>'Risk Master'!$G174*-1+('Risk Master'!$G174*'Event Trigger'!$D174*(1-'Input Sheet year 2'!M175))</f>
        <v>1000000</v>
      </c>
      <c r="J174" s="73">
        <f>'Risk Master'!$G174*-1+('Risk Master'!$G174*'Event Trigger'!$D174*(1-'Input Sheet year 2'!N175))</f>
        <v>1000000</v>
      </c>
      <c r="K174" s="73">
        <f>'Risk Master'!$G174*-1+('Risk Master'!$G174*'Event Trigger'!$D174*(1-'Input Sheet year 2'!O175))</f>
        <v>1000000</v>
      </c>
      <c r="L174" s="73">
        <f>'Risk Master'!$G174*-1+('Risk Master'!$G174*'Event Trigger'!$D174*(1-'Input Sheet year 2'!P175))</f>
        <v>1000000</v>
      </c>
      <c r="M174" s="73">
        <f>'Risk Master'!$G174*-1+('Risk Master'!$G174*'Event Trigger'!$D174*(1-'Input Sheet year 2'!Q175))</f>
        <v>1000000</v>
      </c>
      <c r="N174" s="88"/>
      <c r="O174" s="88">
        <f t="shared" si="20"/>
        <v>-1000000</v>
      </c>
      <c r="P174" s="88">
        <f t="shared" si="21"/>
        <v>-1000000</v>
      </c>
      <c r="Q174" s="88">
        <f t="shared" si="22"/>
        <v>-1000000</v>
      </c>
      <c r="R174" s="88">
        <f t="shared" si="23"/>
        <v>-1000000</v>
      </c>
      <c r="S174" s="88">
        <f t="shared" si="24"/>
        <v>-1000000</v>
      </c>
      <c r="T174" s="88">
        <f t="shared" si="25"/>
        <v>-1000000</v>
      </c>
      <c r="U174" s="88">
        <f t="shared" si="26"/>
        <v>-1000000</v>
      </c>
      <c r="V174" s="88">
        <f t="shared" si="27"/>
        <v>-1000000</v>
      </c>
      <c r="W174" s="88">
        <f t="shared" si="28"/>
        <v>-1000000</v>
      </c>
      <c r="X174" s="88">
        <f t="shared" si="29"/>
        <v>-1000000</v>
      </c>
    </row>
    <row r="175" spans="1:24" x14ac:dyDescent="0.25">
      <c r="A175" s="37" t="str">
        <f>'Risk Master'!B175:B258&amp;"-"&amp;'Risk Master'!D175</f>
        <v>Hurricane-Typhoon -Texas</v>
      </c>
      <c r="B175" s="37" t="str">
        <f>'Input Sheet year 2'!B176</f>
        <v>Hurricane-Typhoon -Texas</v>
      </c>
      <c r="C175" s="29" t="str">
        <f>'Risk Master'!F175</f>
        <v>A128</v>
      </c>
      <c r="D175" s="73">
        <f>'Risk Master'!$G175*-1+('Risk Master'!$G175*'Event Trigger'!$D175*(1-'Input Sheet year 1'!H176))</f>
        <v>300000</v>
      </c>
      <c r="E175" s="73">
        <f>'Risk Master'!$G175*-1+('Risk Master'!$G175*'Event Trigger'!$D175*(1-'Input Sheet year 2'!I176))</f>
        <v>300000</v>
      </c>
      <c r="F175" s="73">
        <f>'Risk Master'!$G175*-1+('Risk Master'!$G175*'Event Trigger'!$D175*(1-'Input Sheet year 2'!J176))</f>
        <v>300000</v>
      </c>
      <c r="G175" s="73">
        <f>'Risk Master'!$G175*-1+('Risk Master'!$G175*'Event Trigger'!$D175*(1-'Input Sheet year 2'!K176))</f>
        <v>300000</v>
      </c>
      <c r="H175" s="73">
        <f>'Risk Master'!$G175*-1+('Risk Master'!$G175*'Event Trigger'!$D175*(1-'Input Sheet year 2'!L176))</f>
        <v>300000</v>
      </c>
      <c r="I175" s="73">
        <f>'Risk Master'!$G175*-1+('Risk Master'!$G175*'Event Trigger'!$D175*(1-'Input Sheet year 2'!M176))</f>
        <v>300000</v>
      </c>
      <c r="J175" s="73">
        <f>'Risk Master'!$G175*-1+('Risk Master'!$G175*'Event Trigger'!$D175*(1-'Input Sheet year 2'!N176))</f>
        <v>300000</v>
      </c>
      <c r="K175" s="73">
        <f>'Risk Master'!$G175*-1+('Risk Master'!$G175*'Event Trigger'!$D175*(1-'Input Sheet year 2'!O176))</f>
        <v>300000</v>
      </c>
      <c r="L175" s="73">
        <f>'Risk Master'!$G175*-1+('Risk Master'!$G175*'Event Trigger'!$D175*(1-'Input Sheet year 2'!P176))</f>
        <v>300000</v>
      </c>
      <c r="M175" s="73">
        <f>'Risk Master'!$G175*-1+('Risk Master'!$G175*'Event Trigger'!$D175*(1-'Input Sheet year 2'!Q176))</f>
        <v>300000</v>
      </c>
      <c r="N175" s="88"/>
      <c r="O175" s="88">
        <f t="shared" si="20"/>
        <v>-300000</v>
      </c>
      <c r="P175" s="88">
        <f t="shared" si="21"/>
        <v>-300000</v>
      </c>
      <c r="Q175" s="88">
        <f t="shared" si="22"/>
        <v>-300000</v>
      </c>
      <c r="R175" s="88">
        <f t="shared" si="23"/>
        <v>-300000</v>
      </c>
      <c r="S175" s="88">
        <f t="shared" si="24"/>
        <v>-300000</v>
      </c>
      <c r="T175" s="88">
        <f t="shared" si="25"/>
        <v>-300000</v>
      </c>
      <c r="U175" s="88">
        <f t="shared" si="26"/>
        <v>-300000</v>
      </c>
      <c r="V175" s="88">
        <f t="shared" si="27"/>
        <v>-300000</v>
      </c>
      <c r="W175" s="88">
        <f t="shared" si="28"/>
        <v>-300000</v>
      </c>
      <c r="X175" s="88">
        <f t="shared" si="29"/>
        <v>-300000</v>
      </c>
    </row>
    <row r="176" spans="1:24" ht="25.5" x14ac:dyDescent="0.25">
      <c r="A176" s="37" t="str">
        <f>'Risk Master'!B176:B259&amp;"-"&amp;'Risk Master'!D176</f>
        <v>Thunderstorms, Tornados &amp; Hail-Texas</v>
      </c>
      <c r="B176" s="37" t="str">
        <f>'Input Sheet year 2'!B177</f>
        <v>Thunderstorms, Tornados &amp; Hail-Texas</v>
      </c>
      <c r="C176" s="29" t="str">
        <f>'Risk Master'!F176</f>
        <v>A131</v>
      </c>
      <c r="D176" s="73">
        <f>'Risk Master'!$G176*-1+('Risk Master'!$G176*'Event Trigger'!$D176*(1-'Input Sheet year 1'!H177))</f>
        <v>1000000</v>
      </c>
      <c r="E176" s="73">
        <f>'Risk Master'!$G176*-1+('Risk Master'!$G176*'Event Trigger'!$D176*(1-'Input Sheet year 2'!I177))</f>
        <v>1000000</v>
      </c>
      <c r="F176" s="73">
        <f>'Risk Master'!$G176*-1+('Risk Master'!$G176*'Event Trigger'!$D176*(1-'Input Sheet year 2'!J177))</f>
        <v>1000000</v>
      </c>
      <c r="G176" s="73">
        <f>'Risk Master'!$G176*-1+('Risk Master'!$G176*'Event Trigger'!$D176*(1-'Input Sheet year 2'!K177))</f>
        <v>1000000</v>
      </c>
      <c r="H176" s="73">
        <f>'Risk Master'!$G176*-1+('Risk Master'!$G176*'Event Trigger'!$D176*(1-'Input Sheet year 2'!L177))</f>
        <v>1000000</v>
      </c>
      <c r="I176" s="73">
        <f>'Risk Master'!$G176*-1+('Risk Master'!$G176*'Event Trigger'!$D176*(1-'Input Sheet year 2'!M177))</f>
        <v>1000000</v>
      </c>
      <c r="J176" s="73">
        <f>'Risk Master'!$G176*-1+('Risk Master'!$G176*'Event Trigger'!$D176*(1-'Input Sheet year 2'!N177))</f>
        <v>1000000</v>
      </c>
      <c r="K176" s="73">
        <f>'Risk Master'!$G176*-1+('Risk Master'!$G176*'Event Trigger'!$D176*(1-'Input Sheet year 2'!O177))</f>
        <v>1000000</v>
      </c>
      <c r="L176" s="73">
        <f>'Risk Master'!$G176*-1+('Risk Master'!$G176*'Event Trigger'!$D176*(1-'Input Sheet year 2'!P177))</f>
        <v>1000000</v>
      </c>
      <c r="M176" s="73">
        <f>'Risk Master'!$G176*-1+('Risk Master'!$G176*'Event Trigger'!$D176*(1-'Input Sheet year 2'!Q177))</f>
        <v>1000000</v>
      </c>
      <c r="N176" s="88"/>
      <c r="O176" s="88">
        <f t="shared" si="20"/>
        <v>-1000000</v>
      </c>
      <c r="P176" s="88">
        <f t="shared" si="21"/>
        <v>-1000000</v>
      </c>
      <c r="Q176" s="88">
        <f t="shared" si="22"/>
        <v>-1000000</v>
      </c>
      <c r="R176" s="88">
        <f t="shared" si="23"/>
        <v>-1000000</v>
      </c>
      <c r="S176" s="88">
        <f t="shared" si="24"/>
        <v>-1000000</v>
      </c>
      <c r="T176" s="88">
        <f t="shared" si="25"/>
        <v>-1000000</v>
      </c>
      <c r="U176" s="88">
        <f t="shared" si="26"/>
        <v>-1000000</v>
      </c>
      <c r="V176" s="88">
        <f t="shared" si="27"/>
        <v>-1000000</v>
      </c>
      <c r="W176" s="88">
        <f t="shared" si="28"/>
        <v>-1000000</v>
      </c>
      <c r="X176" s="88">
        <f t="shared" si="29"/>
        <v>-1000000</v>
      </c>
    </row>
    <row r="177" spans="1:24" x14ac:dyDescent="0.25">
      <c r="A177" s="37" t="str">
        <f>'Risk Master'!B177:B260&amp;"-"&amp;'Risk Master'!D177</f>
        <v>Hurricane-Typhoon -Texas</v>
      </c>
      <c r="B177" s="37" t="str">
        <f>'Input Sheet year 2'!B178</f>
        <v>Hurricane-Typhoon -Texas</v>
      </c>
      <c r="C177" s="29" t="str">
        <f>'Risk Master'!F177</f>
        <v>A131</v>
      </c>
      <c r="D177" s="73">
        <f>'Risk Master'!$G177*-1+('Risk Master'!$G177*'Event Trigger'!$D177*(1-'Input Sheet year 1'!H178))</f>
        <v>1000000</v>
      </c>
      <c r="E177" s="73">
        <f>'Risk Master'!$G177*-1+('Risk Master'!$G177*'Event Trigger'!$D177*(1-'Input Sheet year 2'!I178))</f>
        <v>1000000</v>
      </c>
      <c r="F177" s="73">
        <f>'Risk Master'!$G177*-1+('Risk Master'!$G177*'Event Trigger'!$D177*(1-'Input Sheet year 2'!J178))</f>
        <v>1000000</v>
      </c>
      <c r="G177" s="73">
        <f>'Risk Master'!$G177*-1+('Risk Master'!$G177*'Event Trigger'!$D177*(1-'Input Sheet year 2'!K178))</f>
        <v>1000000</v>
      </c>
      <c r="H177" s="73">
        <f>'Risk Master'!$G177*-1+('Risk Master'!$G177*'Event Trigger'!$D177*(1-'Input Sheet year 2'!L178))</f>
        <v>1000000</v>
      </c>
      <c r="I177" s="73">
        <f>'Risk Master'!$G177*-1+('Risk Master'!$G177*'Event Trigger'!$D177*(1-'Input Sheet year 2'!M178))</f>
        <v>1000000</v>
      </c>
      <c r="J177" s="73">
        <f>'Risk Master'!$G177*-1+('Risk Master'!$G177*'Event Trigger'!$D177*(1-'Input Sheet year 2'!N178))</f>
        <v>1000000</v>
      </c>
      <c r="K177" s="73">
        <f>'Risk Master'!$G177*-1+('Risk Master'!$G177*'Event Trigger'!$D177*(1-'Input Sheet year 2'!O178))</f>
        <v>1000000</v>
      </c>
      <c r="L177" s="73">
        <f>'Risk Master'!$G177*-1+('Risk Master'!$G177*'Event Trigger'!$D177*(1-'Input Sheet year 2'!P178))</f>
        <v>1000000</v>
      </c>
      <c r="M177" s="73">
        <f>'Risk Master'!$G177*-1+('Risk Master'!$G177*'Event Trigger'!$D177*(1-'Input Sheet year 2'!Q178))</f>
        <v>1000000</v>
      </c>
      <c r="N177" s="88"/>
      <c r="O177" s="88">
        <f t="shared" si="20"/>
        <v>-1000000</v>
      </c>
      <c r="P177" s="88">
        <f t="shared" si="21"/>
        <v>-1000000</v>
      </c>
      <c r="Q177" s="88">
        <f t="shared" si="22"/>
        <v>-1000000</v>
      </c>
      <c r="R177" s="88">
        <f t="shared" si="23"/>
        <v>-1000000</v>
      </c>
      <c r="S177" s="88">
        <f t="shared" si="24"/>
        <v>-1000000</v>
      </c>
      <c r="T177" s="88">
        <f t="shared" si="25"/>
        <v>-1000000</v>
      </c>
      <c r="U177" s="88">
        <f t="shared" si="26"/>
        <v>-1000000</v>
      </c>
      <c r="V177" s="88">
        <f t="shared" si="27"/>
        <v>-1000000</v>
      </c>
      <c r="W177" s="88">
        <f t="shared" si="28"/>
        <v>-1000000</v>
      </c>
      <c r="X177" s="88">
        <f t="shared" si="29"/>
        <v>-1000000</v>
      </c>
    </row>
    <row r="178" spans="1:24" x14ac:dyDescent="0.25">
      <c r="A178" s="37" t="str">
        <f>'Risk Master'!B178:B261&amp;"-"&amp;'Risk Master'!D178</f>
        <v>Earthquake-Texas</v>
      </c>
      <c r="B178" s="37" t="str">
        <f>'Input Sheet year 2'!B179</f>
        <v>Earthquake-Texas</v>
      </c>
      <c r="C178" s="29" t="str">
        <f>'Risk Master'!F178</f>
        <v>A131</v>
      </c>
      <c r="D178" s="73">
        <f>'Risk Master'!$G178*-1+('Risk Master'!$G178*'Event Trigger'!$D178*(1-'Input Sheet year 1'!H179))</f>
        <v>1000000</v>
      </c>
      <c r="E178" s="73">
        <f>'Risk Master'!$G178*-1+('Risk Master'!$G178*'Event Trigger'!$D178*(1-'Input Sheet year 2'!I179))</f>
        <v>1000000</v>
      </c>
      <c r="F178" s="73">
        <f>'Risk Master'!$G178*-1+('Risk Master'!$G178*'Event Trigger'!$D178*(1-'Input Sheet year 2'!J179))</f>
        <v>1000000</v>
      </c>
      <c r="G178" s="73">
        <f>'Risk Master'!$G178*-1+('Risk Master'!$G178*'Event Trigger'!$D178*(1-'Input Sheet year 2'!K179))</f>
        <v>1000000</v>
      </c>
      <c r="H178" s="73">
        <f>'Risk Master'!$G178*-1+('Risk Master'!$G178*'Event Trigger'!$D178*(1-'Input Sheet year 2'!L179))</f>
        <v>1000000</v>
      </c>
      <c r="I178" s="73">
        <f>'Risk Master'!$G178*-1+('Risk Master'!$G178*'Event Trigger'!$D178*(1-'Input Sheet year 2'!M179))</f>
        <v>1000000</v>
      </c>
      <c r="J178" s="73">
        <f>'Risk Master'!$G178*-1+('Risk Master'!$G178*'Event Trigger'!$D178*(1-'Input Sheet year 2'!N179))</f>
        <v>1000000</v>
      </c>
      <c r="K178" s="73">
        <f>'Risk Master'!$G178*-1+('Risk Master'!$G178*'Event Trigger'!$D178*(1-'Input Sheet year 2'!O179))</f>
        <v>1000000</v>
      </c>
      <c r="L178" s="73">
        <f>'Risk Master'!$G178*-1+('Risk Master'!$G178*'Event Trigger'!$D178*(1-'Input Sheet year 2'!P179))</f>
        <v>1000000</v>
      </c>
      <c r="M178" s="73">
        <f>'Risk Master'!$G178*-1+('Risk Master'!$G178*'Event Trigger'!$D178*(1-'Input Sheet year 2'!Q179))</f>
        <v>1000000</v>
      </c>
      <c r="N178" s="88"/>
      <c r="O178" s="88">
        <f t="shared" si="20"/>
        <v>-1000000</v>
      </c>
      <c r="P178" s="88">
        <f t="shared" si="21"/>
        <v>-1000000</v>
      </c>
      <c r="Q178" s="88">
        <f t="shared" si="22"/>
        <v>-1000000</v>
      </c>
      <c r="R178" s="88">
        <f t="shared" si="23"/>
        <v>-1000000</v>
      </c>
      <c r="S178" s="88">
        <f t="shared" si="24"/>
        <v>-1000000</v>
      </c>
      <c r="T178" s="88">
        <f t="shared" si="25"/>
        <v>-1000000</v>
      </c>
      <c r="U178" s="88">
        <f t="shared" si="26"/>
        <v>-1000000</v>
      </c>
      <c r="V178" s="88">
        <f t="shared" si="27"/>
        <v>-1000000</v>
      </c>
      <c r="W178" s="88">
        <f t="shared" si="28"/>
        <v>-1000000</v>
      </c>
      <c r="X178" s="88">
        <f t="shared" si="29"/>
        <v>-1000000</v>
      </c>
    </row>
    <row r="179" spans="1:24" x14ac:dyDescent="0.25">
      <c r="A179" s="37" t="str">
        <f>'Risk Master'!B179:B262&amp;"-"&amp;'Risk Master'!D179</f>
        <v>Hurricane-Typhoon -Texas</v>
      </c>
      <c r="B179" s="37" t="str">
        <f>'Input Sheet year 2'!B180</f>
        <v>Hurricane-Typhoon -Texas</v>
      </c>
      <c r="C179" s="29" t="str">
        <f>'Risk Master'!F179</f>
        <v>A132</v>
      </c>
      <c r="D179" s="73">
        <f>'Risk Master'!$G179*-1+('Risk Master'!$G179*'Event Trigger'!$D179*(1-'Input Sheet year 1'!H180))</f>
        <v>500000</v>
      </c>
      <c r="E179" s="73">
        <f>'Risk Master'!$G179*-1+('Risk Master'!$G179*'Event Trigger'!$D179*(1-'Input Sheet year 2'!I180))</f>
        <v>500000</v>
      </c>
      <c r="F179" s="73">
        <f>'Risk Master'!$G179*-1+('Risk Master'!$G179*'Event Trigger'!$D179*(1-'Input Sheet year 2'!J180))</f>
        <v>500000</v>
      </c>
      <c r="G179" s="73">
        <f>'Risk Master'!$G179*-1+('Risk Master'!$G179*'Event Trigger'!$D179*(1-'Input Sheet year 2'!K180))</f>
        <v>500000</v>
      </c>
      <c r="H179" s="73">
        <f>'Risk Master'!$G179*-1+('Risk Master'!$G179*'Event Trigger'!$D179*(1-'Input Sheet year 2'!L180))</f>
        <v>500000</v>
      </c>
      <c r="I179" s="73">
        <f>'Risk Master'!$G179*-1+('Risk Master'!$G179*'Event Trigger'!$D179*(1-'Input Sheet year 2'!M180))</f>
        <v>500000</v>
      </c>
      <c r="J179" s="73">
        <f>'Risk Master'!$G179*-1+('Risk Master'!$G179*'Event Trigger'!$D179*(1-'Input Sheet year 2'!N180))</f>
        <v>500000</v>
      </c>
      <c r="K179" s="73">
        <f>'Risk Master'!$G179*-1+('Risk Master'!$G179*'Event Trigger'!$D179*(1-'Input Sheet year 2'!O180))</f>
        <v>500000</v>
      </c>
      <c r="L179" s="73">
        <f>'Risk Master'!$G179*-1+('Risk Master'!$G179*'Event Trigger'!$D179*(1-'Input Sheet year 2'!P180))</f>
        <v>500000</v>
      </c>
      <c r="M179" s="73">
        <f>'Risk Master'!$G179*-1+('Risk Master'!$G179*'Event Trigger'!$D179*(1-'Input Sheet year 2'!Q180))</f>
        <v>500000</v>
      </c>
      <c r="N179" s="88"/>
      <c r="O179" s="88">
        <f t="shared" si="20"/>
        <v>-500000</v>
      </c>
      <c r="P179" s="88">
        <f t="shared" si="21"/>
        <v>-500000</v>
      </c>
      <c r="Q179" s="88">
        <f t="shared" si="22"/>
        <v>-500000</v>
      </c>
      <c r="R179" s="88">
        <f t="shared" si="23"/>
        <v>-500000</v>
      </c>
      <c r="S179" s="88">
        <f t="shared" si="24"/>
        <v>-500000</v>
      </c>
      <c r="T179" s="88">
        <f t="shared" si="25"/>
        <v>-500000</v>
      </c>
      <c r="U179" s="88">
        <f t="shared" si="26"/>
        <v>-500000</v>
      </c>
      <c r="V179" s="88">
        <f t="shared" si="27"/>
        <v>-500000</v>
      </c>
      <c r="W179" s="88">
        <f t="shared" si="28"/>
        <v>-500000</v>
      </c>
      <c r="X179" s="88">
        <f t="shared" si="29"/>
        <v>-500000</v>
      </c>
    </row>
    <row r="180" spans="1:24" ht="25.5" x14ac:dyDescent="0.25">
      <c r="A180" s="37" t="str">
        <f>'Risk Master'!B180:B263&amp;"-"&amp;'Risk Master'!D180</f>
        <v>Thunderstorms, Tornados &amp; Hail-Texas</v>
      </c>
      <c r="B180" s="37" t="str">
        <f>'Input Sheet year 2'!B181</f>
        <v>Thunderstorms, Tornados &amp; Hail-Texas</v>
      </c>
      <c r="C180" s="29" t="str">
        <f>'Risk Master'!F180</f>
        <v>A132</v>
      </c>
      <c r="D180" s="73">
        <f>'Risk Master'!$G180*-1+('Risk Master'!$G180*'Event Trigger'!$D180*(1-'Input Sheet year 1'!H181))</f>
        <v>500000</v>
      </c>
      <c r="E180" s="73">
        <f>'Risk Master'!$G180*-1+('Risk Master'!$G180*'Event Trigger'!$D180*(1-'Input Sheet year 2'!I181))</f>
        <v>500000</v>
      </c>
      <c r="F180" s="73">
        <f>'Risk Master'!$G180*-1+('Risk Master'!$G180*'Event Trigger'!$D180*(1-'Input Sheet year 2'!J181))</f>
        <v>500000</v>
      </c>
      <c r="G180" s="73">
        <f>'Risk Master'!$G180*-1+('Risk Master'!$G180*'Event Trigger'!$D180*(1-'Input Sheet year 2'!K181))</f>
        <v>500000</v>
      </c>
      <c r="H180" s="73">
        <f>'Risk Master'!$G180*-1+('Risk Master'!$G180*'Event Trigger'!$D180*(1-'Input Sheet year 2'!L181))</f>
        <v>500000</v>
      </c>
      <c r="I180" s="73">
        <f>'Risk Master'!$G180*-1+('Risk Master'!$G180*'Event Trigger'!$D180*(1-'Input Sheet year 2'!M181))</f>
        <v>500000</v>
      </c>
      <c r="J180" s="73">
        <f>'Risk Master'!$G180*-1+('Risk Master'!$G180*'Event Trigger'!$D180*(1-'Input Sheet year 2'!N181))</f>
        <v>500000</v>
      </c>
      <c r="K180" s="73">
        <f>'Risk Master'!$G180*-1+('Risk Master'!$G180*'Event Trigger'!$D180*(1-'Input Sheet year 2'!O181))</f>
        <v>500000</v>
      </c>
      <c r="L180" s="73">
        <f>'Risk Master'!$G180*-1+('Risk Master'!$G180*'Event Trigger'!$D180*(1-'Input Sheet year 2'!P181))</f>
        <v>500000</v>
      </c>
      <c r="M180" s="73">
        <f>'Risk Master'!$G180*-1+('Risk Master'!$G180*'Event Trigger'!$D180*(1-'Input Sheet year 2'!Q181))</f>
        <v>500000</v>
      </c>
      <c r="N180" s="88"/>
      <c r="O180" s="88">
        <f t="shared" si="20"/>
        <v>-500000</v>
      </c>
      <c r="P180" s="88">
        <f t="shared" si="21"/>
        <v>-500000</v>
      </c>
      <c r="Q180" s="88">
        <f t="shared" si="22"/>
        <v>-500000</v>
      </c>
      <c r="R180" s="88">
        <f t="shared" si="23"/>
        <v>-500000</v>
      </c>
      <c r="S180" s="88">
        <f t="shared" si="24"/>
        <v>-500000</v>
      </c>
      <c r="T180" s="88">
        <f t="shared" si="25"/>
        <v>-500000</v>
      </c>
      <c r="U180" s="88">
        <f t="shared" si="26"/>
        <v>-500000</v>
      </c>
      <c r="V180" s="88">
        <f t="shared" si="27"/>
        <v>-500000</v>
      </c>
      <c r="W180" s="88">
        <f t="shared" si="28"/>
        <v>-500000</v>
      </c>
      <c r="X180" s="88">
        <f t="shared" si="29"/>
        <v>-500000</v>
      </c>
    </row>
    <row r="181" spans="1:24" x14ac:dyDescent="0.25">
      <c r="A181" s="37" t="str">
        <f>'Risk Master'!B181:B264&amp;"-"&amp;'Risk Master'!D181</f>
        <v>Hurricane-Typhoon -Texas</v>
      </c>
      <c r="B181" s="37" t="str">
        <f>'Input Sheet year 2'!B182</f>
        <v>Hurricane-Typhoon -Texas</v>
      </c>
      <c r="C181" s="29" t="str">
        <f>'Risk Master'!F181</f>
        <v>A133</v>
      </c>
      <c r="D181" s="73">
        <f>'Risk Master'!$G181*-1+('Risk Master'!$G181*'Event Trigger'!$D181*(1-'Input Sheet year 1'!H182))</f>
        <v>200000</v>
      </c>
      <c r="E181" s="73">
        <f>'Risk Master'!$G181*-1+('Risk Master'!$G181*'Event Trigger'!$D181*(1-'Input Sheet year 2'!I182))</f>
        <v>200000</v>
      </c>
      <c r="F181" s="73">
        <f>'Risk Master'!$G181*-1+('Risk Master'!$G181*'Event Trigger'!$D181*(1-'Input Sheet year 2'!J182))</f>
        <v>200000</v>
      </c>
      <c r="G181" s="73">
        <f>'Risk Master'!$G181*-1+('Risk Master'!$G181*'Event Trigger'!$D181*(1-'Input Sheet year 2'!K182))</f>
        <v>200000</v>
      </c>
      <c r="H181" s="73">
        <f>'Risk Master'!$G181*-1+('Risk Master'!$G181*'Event Trigger'!$D181*(1-'Input Sheet year 2'!L182))</f>
        <v>200000</v>
      </c>
      <c r="I181" s="73">
        <f>'Risk Master'!$G181*-1+('Risk Master'!$G181*'Event Trigger'!$D181*(1-'Input Sheet year 2'!M182))</f>
        <v>200000</v>
      </c>
      <c r="J181" s="73">
        <f>'Risk Master'!$G181*-1+('Risk Master'!$G181*'Event Trigger'!$D181*(1-'Input Sheet year 2'!N182))</f>
        <v>200000</v>
      </c>
      <c r="K181" s="73">
        <f>'Risk Master'!$G181*-1+('Risk Master'!$G181*'Event Trigger'!$D181*(1-'Input Sheet year 2'!O182))</f>
        <v>200000</v>
      </c>
      <c r="L181" s="73">
        <f>'Risk Master'!$G181*-1+('Risk Master'!$G181*'Event Trigger'!$D181*(1-'Input Sheet year 2'!P182))</f>
        <v>200000</v>
      </c>
      <c r="M181" s="73">
        <f>'Risk Master'!$G181*-1+('Risk Master'!$G181*'Event Trigger'!$D181*(1-'Input Sheet year 2'!Q182))</f>
        <v>200000</v>
      </c>
      <c r="N181" s="88"/>
      <c r="O181" s="88">
        <f t="shared" si="20"/>
        <v>-200000</v>
      </c>
      <c r="P181" s="88">
        <f t="shared" si="21"/>
        <v>-200000</v>
      </c>
      <c r="Q181" s="88">
        <f t="shared" si="22"/>
        <v>-200000</v>
      </c>
      <c r="R181" s="88">
        <f t="shared" si="23"/>
        <v>-200000</v>
      </c>
      <c r="S181" s="88">
        <f t="shared" si="24"/>
        <v>-200000</v>
      </c>
      <c r="T181" s="88">
        <f t="shared" si="25"/>
        <v>-200000</v>
      </c>
      <c r="U181" s="88">
        <f t="shared" si="26"/>
        <v>-200000</v>
      </c>
      <c r="V181" s="88">
        <f t="shared" si="27"/>
        <v>-200000</v>
      </c>
      <c r="W181" s="88">
        <f t="shared" si="28"/>
        <v>-200000</v>
      </c>
      <c r="X181" s="88">
        <f t="shared" si="29"/>
        <v>-200000</v>
      </c>
    </row>
    <row r="182" spans="1:24" x14ac:dyDescent="0.25">
      <c r="A182" s="37" t="str">
        <f>'Risk Master'!B182:B265&amp;"-"&amp;'Risk Master'!D182</f>
        <v>Earthquake-Texas</v>
      </c>
      <c r="B182" s="37" t="str">
        <f>'Input Sheet year 2'!B183</f>
        <v>Earthquake-Texas</v>
      </c>
      <c r="C182" s="29" t="str">
        <f>'Risk Master'!F182</f>
        <v>A135</v>
      </c>
      <c r="D182" s="73">
        <f>'Risk Master'!$G182*-1+('Risk Master'!$G182*'Event Trigger'!$D182*(1-'Input Sheet year 1'!H183))</f>
        <v>200000</v>
      </c>
      <c r="E182" s="73">
        <f>'Risk Master'!$G182*-1+('Risk Master'!$G182*'Event Trigger'!$D182*(1-'Input Sheet year 2'!I183))</f>
        <v>200000</v>
      </c>
      <c r="F182" s="73">
        <f>'Risk Master'!$G182*-1+('Risk Master'!$G182*'Event Trigger'!$D182*(1-'Input Sheet year 2'!J183))</f>
        <v>200000</v>
      </c>
      <c r="G182" s="73">
        <f>'Risk Master'!$G182*-1+('Risk Master'!$G182*'Event Trigger'!$D182*(1-'Input Sheet year 2'!K183))</f>
        <v>200000</v>
      </c>
      <c r="H182" s="73">
        <f>'Risk Master'!$G182*-1+('Risk Master'!$G182*'Event Trigger'!$D182*(1-'Input Sheet year 2'!L183))</f>
        <v>200000</v>
      </c>
      <c r="I182" s="73">
        <f>'Risk Master'!$G182*-1+('Risk Master'!$G182*'Event Trigger'!$D182*(1-'Input Sheet year 2'!M183))</f>
        <v>200000</v>
      </c>
      <c r="J182" s="73">
        <f>'Risk Master'!$G182*-1+('Risk Master'!$G182*'Event Trigger'!$D182*(1-'Input Sheet year 2'!N183))</f>
        <v>200000</v>
      </c>
      <c r="K182" s="73">
        <f>'Risk Master'!$G182*-1+('Risk Master'!$G182*'Event Trigger'!$D182*(1-'Input Sheet year 2'!O183))</f>
        <v>200000</v>
      </c>
      <c r="L182" s="73">
        <f>'Risk Master'!$G182*-1+('Risk Master'!$G182*'Event Trigger'!$D182*(1-'Input Sheet year 2'!P183))</f>
        <v>200000</v>
      </c>
      <c r="M182" s="73">
        <f>'Risk Master'!$G182*-1+('Risk Master'!$G182*'Event Trigger'!$D182*(1-'Input Sheet year 2'!Q183))</f>
        <v>200000</v>
      </c>
      <c r="N182" s="88"/>
      <c r="O182" s="88">
        <f t="shared" si="20"/>
        <v>-200000</v>
      </c>
      <c r="P182" s="88">
        <f t="shared" si="21"/>
        <v>-200000</v>
      </c>
      <c r="Q182" s="88">
        <f t="shared" si="22"/>
        <v>-200000</v>
      </c>
      <c r="R182" s="88">
        <f t="shared" si="23"/>
        <v>-200000</v>
      </c>
      <c r="S182" s="88">
        <f t="shared" si="24"/>
        <v>-200000</v>
      </c>
      <c r="T182" s="88">
        <f t="shared" si="25"/>
        <v>-200000</v>
      </c>
      <c r="U182" s="88">
        <f t="shared" si="26"/>
        <v>-200000</v>
      </c>
      <c r="V182" s="88">
        <f t="shared" si="27"/>
        <v>-200000</v>
      </c>
      <c r="W182" s="88">
        <f t="shared" si="28"/>
        <v>-200000</v>
      </c>
      <c r="X182" s="88">
        <f t="shared" si="29"/>
        <v>-200000</v>
      </c>
    </row>
    <row r="183" spans="1:24" x14ac:dyDescent="0.25">
      <c r="A183" s="37" t="str">
        <f>'Risk Master'!B183:B266&amp;"-"&amp;'Risk Master'!D183</f>
        <v>Hurricane-Typhoon -Texas</v>
      </c>
      <c r="B183" s="37" t="str">
        <f>'Input Sheet year 2'!B184</f>
        <v>Hurricane-Typhoon -Texas</v>
      </c>
      <c r="C183" s="29" t="str">
        <f>'Risk Master'!F183</f>
        <v>A135</v>
      </c>
      <c r="D183" s="73">
        <f>'Risk Master'!$G183*-1+('Risk Master'!$G183*'Event Trigger'!$D183*(1-'Input Sheet year 1'!H184))</f>
        <v>200000</v>
      </c>
      <c r="E183" s="73">
        <f>'Risk Master'!$G183*-1+('Risk Master'!$G183*'Event Trigger'!$D183*(1-'Input Sheet year 2'!I184))</f>
        <v>200000</v>
      </c>
      <c r="F183" s="73">
        <f>'Risk Master'!$G183*-1+('Risk Master'!$G183*'Event Trigger'!$D183*(1-'Input Sheet year 2'!J184))</f>
        <v>200000</v>
      </c>
      <c r="G183" s="73">
        <f>'Risk Master'!$G183*-1+('Risk Master'!$G183*'Event Trigger'!$D183*(1-'Input Sheet year 2'!K184))</f>
        <v>200000</v>
      </c>
      <c r="H183" s="73">
        <f>'Risk Master'!$G183*-1+('Risk Master'!$G183*'Event Trigger'!$D183*(1-'Input Sheet year 2'!L184))</f>
        <v>200000</v>
      </c>
      <c r="I183" s="73">
        <f>'Risk Master'!$G183*-1+('Risk Master'!$G183*'Event Trigger'!$D183*(1-'Input Sheet year 2'!M184))</f>
        <v>200000</v>
      </c>
      <c r="J183" s="73">
        <f>'Risk Master'!$G183*-1+('Risk Master'!$G183*'Event Trigger'!$D183*(1-'Input Sheet year 2'!N184))</f>
        <v>200000</v>
      </c>
      <c r="K183" s="73">
        <f>'Risk Master'!$G183*-1+('Risk Master'!$G183*'Event Trigger'!$D183*(1-'Input Sheet year 2'!O184))</f>
        <v>200000</v>
      </c>
      <c r="L183" s="73">
        <f>'Risk Master'!$G183*-1+('Risk Master'!$G183*'Event Trigger'!$D183*(1-'Input Sheet year 2'!P184))</f>
        <v>200000</v>
      </c>
      <c r="M183" s="73">
        <f>'Risk Master'!$G183*-1+('Risk Master'!$G183*'Event Trigger'!$D183*(1-'Input Sheet year 2'!Q184))</f>
        <v>200000</v>
      </c>
      <c r="N183" s="88"/>
      <c r="O183" s="88">
        <f t="shared" si="20"/>
        <v>-200000</v>
      </c>
      <c r="P183" s="88">
        <f t="shared" si="21"/>
        <v>-200000</v>
      </c>
      <c r="Q183" s="88">
        <f t="shared" si="22"/>
        <v>-200000</v>
      </c>
      <c r="R183" s="88">
        <f t="shared" si="23"/>
        <v>-200000</v>
      </c>
      <c r="S183" s="88">
        <f t="shared" si="24"/>
        <v>-200000</v>
      </c>
      <c r="T183" s="88">
        <f t="shared" si="25"/>
        <v>-200000</v>
      </c>
      <c r="U183" s="88">
        <f t="shared" si="26"/>
        <v>-200000</v>
      </c>
      <c r="V183" s="88">
        <f t="shared" si="27"/>
        <v>-200000</v>
      </c>
      <c r="W183" s="88">
        <f t="shared" si="28"/>
        <v>-200000</v>
      </c>
      <c r="X183" s="88">
        <f t="shared" si="29"/>
        <v>-200000</v>
      </c>
    </row>
  </sheetData>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id="{589786EC-5261-4CA2-952E-48E1B1EF9E3D}">
            <xm:f>IF(ISBLANK('Asset Master'!$F2),TRUE,FALSE)</xm:f>
            <x14:dxf>
              <fill>
                <patternFill>
                  <bgColor rgb="FF92D050"/>
                </patternFill>
              </fill>
            </x14:dxf>
          </x14:cfRule>
          <x14:cfRule type="expression" priority="2" id="{C2FAF123-2D14-413F-AD57-3B8AF9326F9C}">
            <xm:f>IF(AA2&lt;'Asset Master'!$F2,TRUE,FALSE)</xm:f>
            <x14:dxf>
              <font>
                <color theme="0"/>
              </font>
              <fill>
                <patternFill>
                  <bgColor rgb="FFFFC000"/>
                </patternFill>
              </fill>
            </x14:dxf>
          </x14:cfRule>
          <xm:sqref>AA2:AJ136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Q323"/>
  <sheetViews>
    <sheetView workbookViewId="0">
      <pane ySplit="2" topLeftCell="A3" activePane="bottomLeft" state="frozen"/>
      <selection activeCell="F1" sqref="F1"/>
      <selection pane="bottomLeft" activeCell="H16" sqref="H16"/>
    </sheetView>
  </sheetViews>
  <sheetFormatPr defaultRowHeight="12.95" customHeight="1" x14ac:dyDescent="0.2"/>
  <cols>
    <col min="1" max="1" width="11.28515625" style="28" bestFit="1" customWidth="1"/>
    <col min="2" max="2" width="34.28515625" style="38" customWidth="1"/>
    <col min="3" max="3" width="5.85546875" style="39" bestFit="1" customWidth="1"/>
    <col min="4" max="4" width="30.140625" style="38" customWidth="1"/>
    <col min="5" max="5" width="12.7109375" style="28" bestFit="1" customWidth="1"/>
    <col min="6" max="6" width="4.28515625" style="70" customWidth="1"/>
    <col min="7" max="7" width="2.85546875" style="71" customWidth="1"/>
    <col min="8" max="8" width="20" style="66" bestFit="1" customWidth="1"/>
    <col min="9" max="12" width="20" style="29" bestFit="1" customWidth="1"/>
    <col min="13" max="16" width="20" style="36" bestFit="1" customWidth="1"/>
    <col min="17" max="17" width="21" style="36" bestFit="1" customWidth="1"/>
    <col min="18" max="16384" width="9.140625" style="28"/>
  </cols>
  <sheetData>
    <row r="1" spans="1:17" ht="12.95" customHeight="1" x14ac:dyDescent="0.2">
      <c r="A1" s="90" t="s">
        <v>401</v>
      </c>
      <c r="B1" s="90" t="s">
        <v>782</v>
      </c>
      <c r="C1" s="90" t="s">
        <v>0</v>
      </c>
      <c r="D1" s="90" t="s">
        <v>783</v>
      </c>
      <c r="E1" s="90" t="s">
        <v>917</v>
      </c>
      <c r="F1" s="68"/>
      <c r="G1" s="69"/>
      <c r="H1" s="65" t="s">
        <v>918</v>
      </c>
      <c r="I1" s="34" t="s">
        <v>919</v>
      </c>
      <c r="J1" s="34" t="s">
        <v>920</v>
      </c>
      <c r="K1" s="34" t="s">
        <v>921</v>
      </c>
      <c r="L1" s="34" t="s">
        <v>922</v>
      </c>
      <c r="M1" s="34" t="s">
        <v>923</v>
      </c>
      <c r="N1" s="34" t="s">
        <v>924</v>
      </c>
      <c r="O1" s="34" t="s">
        <v>925</v>
      </c>
      <c r="P1" s="34" t="s">
        <v>926</v>
      </c>
      <c r="Q1" s="34" t="s">
        <v>927</v>
      </c>
    </row>
    <row r="2" spans="1:17" ht="35.25" customHeight="1" x14ac:dyDescent="0.2">
      <c r="A2" s="91"/>
      <c r="B2" s="91"/>
      <c r="C2" s="91"/>
      <c r="D2" s="91"/>
      <c r="E2" s="91"/>
      <c r="H2" s="67" t="str">
        <f ca="1">IF(SUMIF(H3:H184,1,'Risk Master'!$N2)&gt;H185,("Policy selection exceeded the budgeted amount by"&amp; "  " &amp; SUMIF(H3:H184,1,'Risk Master'!$N2)-H185),SUMIF(H3:H184,1,'Risk Master'!$N2))</f>
        <v>Policy selection exceeded the budgeted amount by  325000</v>
      </c>
      <c r="I2" s="67" t="str">
        <f ca="1">IF(SUMIF(I3:I184,1,'Risk Master'!$N2)&gt;I185,("Policy selection exceeded the budgeted amount by"&amp; "  " &amp; SUMIF(I3:I184,1,'Risk Master'!$N2)-I185),SUMIF(I3:I184,1,'Risk Master'!$N2))</f>
        <v>Policy selection exceeded the budgeted amount by  300000</v>
      </c>
      <c r="J2" s="67" t="str">
        <f ca="1">IF(SUMIF(J3:J184,1,'Risk Master'!$N2)&gt;J185,("Policy selection exceeded the budgeted amount by"&amp; "  " &amp; SUMIF(J3:J184,1,'Risk Master'!$N2)-J185),SUMIF(J3:J184,1,'Risk Master'!$N2))</f>
        <v>Policy selection exceeded the budgeted amount by  450000</v>
      </c>
      <c r="K2" s="67" t="str">
        <f ca="1">IF(SUMIF(K3:K184,1,'Risk Master'!$N2)&gt;K185,("Policy selection exceeded the budgeted amount by"&amp; "  " &amp; SUMIF(K3:K184,1,'Risk Master'!$N2)-K185),SUMIF(K3:K184,1,'Risk Master'!$N2))</f>
        <v>Policy selection exceeded the budgeted amount by  435000</v>
      </c>
      <c r="L2" s="67" t="str">
        <f ca="1">IF(SUMIF(L3:L184,1,'Risk Master'!$N2)&gt;L185,("Policy selection exceeded the budgeted amount by"&amp; "  " &amp; SUMIF(L3:L184,1,'Risk Master'!$N2)-L185),SUMIF(L3:L184,1,'Risk Master'!$N2))</f>
        <v>Policy selection exceeded the budgeted amount by  415000</v>
      </c>
      <c r="M2" s="67" t="str">
        <f ca="1">IF(SUMIF(M3:M184,1,'Risk Master'!$N2)&gt;M185,("Policy selection exceeded the budgeted amount by"&amp; "  " &amp; SUMIF(M3:M184,1,'Risk Master'!$N2)-M185),SUMIF(M3:M184,1,'Risk Master'!$N2))</f>
        <v>Policy selection exceeded the budgeted amount by  225000</v>
      </c>
      <c r="N2" s="67" t="str">
        <f ca="1">IF(SUMIF(N3:N184,1,'Risk Master'!$N2)&gt;N185,("Policy selection exceeded the budgeted amount by"&amp; "  " &amp; SUMIF(N3:N184,1,'Risk Master'!$N2)-N185),SUMIF(N3:N184,1,'Risk Master'!$N2))</f>
        <v>Policy selection exceeded the budgeted amount by  310000</v>
      </c>
      <c r="O2" s="67" t="str">
        <f ca="1">IF(SUMIF(O3:O184,1,'Risk Master'!$N2)&gt;O185,("Policy selection exceeded the budgeted amount by"&amp; "  " &amp; SUMIF(O3:O184,1,'Risk Master'!$N2)-O185),SUMIF(O3:O184,1,'Risk Master'!$N2))</f>
        <v>Policy selection exceeded the budgeted amount by  300000</v>
      </c>
      <c r="P2" s="67" t="str">
        <f ca="1">IF(SUMIF(P3:P184,1,'Risk Master'!$N2)&gt;P185,("Policy selection exceeded the budgeted amount by"&amp; "  " &amp; SUMIF(P3:P184,1,'Risk Master'!$N2)-P185),SUMIF(P3:P184,1,'Risk Master'!$N2))</f>
        <v>Policy selection exceeded the budgeted amount by  330000</v>
      </c>
      <c r="Q2" s="67" t="str">
        <f ca="1">IF(SUMIF(Q3:Q184,1,'Risk Master'!$N2)&gt;Q185,("Policy selection exceeded the budgeted amount by"&amp; "  " &amp; SUMIF(Q3:Q184,1,'Risk Master'!$N2)-Q185),SUMIF(Q3:Q184,1,'Risk Master'!$N2))</f>
        <v>Policy selection exceeded the budgeted amount by  325000</v>
      </c>
    </row>
    <row r="3" spans="1:17" ht="12.95" customHeight="1" x14ac:dyDescent="0.2">
      <c r="A3" s="36" t="s">
        <v>301</v>
      </c>
      <c r="B3" s="37" t="str">
        <f>'Risk Master'!C2&amp;"-"&amp;'Risk Master'!D2</f>
        <v>Flood-Mumbai</v>
      </c>
      <c r="C3" s="29" t="str">
        <f>'Risk Master'!F2</f>
        <v>A1</v>
      </c>
      <c r="D3" s="37" t="str">
        <f>VLOOKUP(C3,'Asset Master'!A:B,2,FALSE)</f>
        <v>Heavy Machinery-Mumbai</v>
      </c>
      <c r="E3" s="64">
        <f>'Risk Master'!N2</f>
        <v>20000</v>
      </c>
      <c r="H3" s="66">
        <v>0</v>
      </c>
      <c r="I3" s="29">
        <v>0</v>
      </c>
      <c r="J3" s="29">
        <v>0</v>
      </c>
      <c r="K3" s="29">
        <v>0</v>
      </c>
      <c r="L3" s="66">
        <v>0</v>
      </c>
      <c r="M3" s="29">
        <v>1</v>
      </c>
      <c r="N3" s="29">
        <v>1</v>
      </c>
      <c r="O3" s="29">
        <v>0</v>
      </c>
      <c r="P3" s="29">
        <v>1</v>
      </c>
      <c r="Q3" s="66">
        <v>1</v>
      </c>
    </row>
    <row r="4" spans="1:17" ht="12.95" customHeight="1" x14ac:dyDescent="0.2">
      <c r="A4" s="36" t="s">
        <v>302</v>
      </c>
      <c r="B4" s="37" t="str">
        <f>'Risk Master'!C3&amp;"-"&amp;'Risk Master'!D3</f>
        <v>Earthquake-Mumbai</v>
      </c>
      <c r="C4" s="29" t="str">
        <f>'Risk Master'!F3</f>
        <v>A1</v>
      </c>
      <c r="D4" s="37" t="str">
        <f>VLOOKUP(C4,'Asset Master'!A:B,2,FALSE)</f>
        <v>Heavy Machinery-Mumbai</v>
      </c>
      <c r="E4" s="64">
        <f>'Risk Master'!N3</f>
        <v>20000</v>
      </c>
      <c r="H4" s="66">
        <v>0</v>
      </c>
      <c r="I4" s="66">
        <v>1</v>
      </c>
      <c r="J4" s="29">
        <v>0</v>
      </c>
      <c r="K4" s="29">
        <v>0</v>
      </c>
      <c r="L4" s="66">
        <v>1</v>
      </c>
      <c r="M4" s="29">
        <v>1</v>
      </c>
      <c r="N4" s="29">
        <v>0</v>
      </c>
      <c r="O4" s="29">
        <v>0</v>
      </c>
      <c r="P4" s="29">
        <v>1</v>
      </c>
      <c r="Q4" s="66">
        <v>1</v>
      </c>
    </row>
    <row r="5" spans="1:17" ht="12.95" customHeight="1" x14ac:dyDescent="0.2">
      <c r="A5" s="36" t="s">
        <v>303</v>
      </c>
      <c r="B5" s="37" t="str">
        <f>'Risk Master'!C4&amp;"-"&amp;'Risk Master'!D4</f>
        <v>Fire-Mumbai</v>
      </c>
      <c r="C5" s="29" t="str">
        <f>'Risk Master'!F4</f>
        <v>A1</v>
      </c>
      <c r="D5" s="37" t="str">
        <f>VLOOKUP(C5,'Asset Master'!A:B,2,FALSE)</f>
        <v>Heavy Machinery-Mumbai</v>
      </c>
      <c r="E5" s="64">
        <f>'Risk Master'!N4</f>
        <v>20000</v>
      </c>
      <c r="H5" s="66">
        <v>0</v>
      </c>
      <c r="I5" s="66">
        <v>0</v>
      </c>
      <c r="J5" s="29">
        <v>0</v>
      </c>
      <c r="K5" s="29">
        <v>0</v>
      </c>
      <c r="L5" s="66">
        <v>0</v>
      </c>
      <c r="M5" s="29">
        <v>0</v>
      </c>
      <c r="N5" s="29">
        <v>0</v>
      </c>
      <c r="O5" s="29">
        <v>0</v>
      </c>
      <c r="P5" s="29">
        <v>0</v>
      </c>
      <c r="Q5" s="66">
        <v>0</v>
      </c>
    </row>
    <row r="6" spans="1:17" ht="12.95" customHeight="1" x14ac:dyDescent="0.2">
      <c r="A6" s="36" t="s">
        <v>304</v>
      </c>
      <c r="B6" s="37" t="str">
        <f>'Risk Master'!C5&amp;"-"&amp;'Risk Master'!D5</f>
        <v>Typhoon-Mumbai</v>
      </c>
      <c r="C6" s="29" t="str">
        <f>'Risk Master'!F5</f>
        <v>A1</v>
      </c>
      <c r="D6" s="37" t="str">
        <f>VLOOKUP(C6,'Asset Master'!A:B,2,FALSE)</f>
        <v>Heavy Machinery-Mumbai</v>
      </c>
      <c r="E6" s="64">
        <f>'Risk Master'!N5</f>
        <v>20000</v>
      </c>
      <c r="H6" s="66">
        <v>0</v>
      </c>
      <c r="I6" s="66">
        <v>0</v>
      </c>
      <c r="J6" s="29">
        <v>0</v>
      </c>
      <c r="K6" s="29">
        <v>1</v>
      </c>
      <c r="L6" s="66">
        <v>0</v>
      </c>
      <c r="M6" s="29">
        <v>1</v>
      </c>
      <c r="N6" s="29">
        <v>1</v>
      </c>
      <c r="O6" s="29">
        <v>0</v>
      </c>
      <c r="P6" s="29">
        <v>0</v>
      </c>
      <c r="Q6" s="66">
        <v>1</v>
      </c>
    </row>
    <row r="7" spans="1:17" ht="12.95" customHeight="1" x14ac:dyDescent="0.2">
      <c r="A7" s="36" t="s">
        <v>305</v>
      </c>
      <c r="B7" s="37" t="str">
        <f>'Risk Master'!C6&amp;"-"&amp;'Risk Master'!D6</f>
        <v>Thunderstorms, Tornados &amp; Hail-Mumbai</v>
      </c>
      <c r="C7" s="29" t="str">
        <f>'Risk Master'!F6</f>
        <v>A1</v>
      </c>
      <c r="D7" s="37" t="str">
        <f>VLOOKUP(C7,'Asset Master'!A:B,2,FALSE)</f>
        <v>Heavy Machinery-Mumbai</v>
      </c>
      <c r="E7" s="64">
        <f>'Risk Master'!N6</f>
        <v>20000</v>
      </c>
      <c r="H7" s="66">
        <v>0</v>
      </c>
      <c r="I7" s="66">
        <v>1</v>
      </c>
      <c r="J7" s="29">
        <v>0</v>
      </c>
      <c r="K7" s="29">
        <v>0</v>
      </c>
      <c r="L7" s="66">
        <v>0</v>
      </c>
      <c r="M7" s="29">
        <v>0</v>
      </c>
      <c r="N7" s="29">
        <v>0</v>
      </c>
      <c r="O7" s="29">
        <v>0</v>
      </c>
      <c r="P7" s="29">
        <v>0</v>
      </c>
      <c r="Q7" s="66">
        <v>0</v>
      </c>
    </row>
    <row r="8" spans="1:17" ht="12.95" customHeight="1" x14ac:dyDescent="0.2">
      <c r="A8" s="36" t="s">
        <v>306</v>
      </c>
      <c r="B8" s="37" t="str">
        <f>'Risk Master'!C7&amp;"-"&amp;'Risk Master'!D7</f>
        <v>Tsunami-Mumbai</v>
      </c>
      <c r="C8" s="29" t="str">
        <f>'Risk Master'!F7</f>
        <v>A1</v>
      </c>
      <c r="D8" s="37" t="str">
        <f>VLOOKUP(C8,'Asset Master'!A:B,2,FALSE)</f>
        <v>Heavy Machinery-Mumbai</v>
      </c>
      <c r="E8" s="64">
        <f>'Risk Master'!N7</f>
        <v>20000</v>
      </c>
      <c r="H8" s="66">
        <v>0</v>
      </c>
      <c r="I8" s="66">
        <v>0</v>
      </c>
      <c r="J8" s="29">
        <v>0</v>
      </c>
      <c r="K8" s="29">
        <v>1</v>
      </c>
      <c r="L8" s="66">
        <v>0</v>
      </c>
      <c r="M8" s="29">
        <v>0</v>
      </c>
      <c r="N8" s="29">
        <v>0</v>
      </c>
      <c r="O8" s="29">
        <v>0</v>
      </c>
      <c r="P8" s="29">
        <v>0</v>
      </c>
      <c r="Q8" s="66">
        <v>0</v>
      </c>
    </row>
    <row r="9" spans="1:17" ht="12.95" customHeight="1" x14ac:dyDescent="0.2">
      <c r="A9" s="36" t="s">
        <v>307</v>
      </c>
      <c r="B9" s="37" t="str">
        <f>'Risk Master'!C8&amp;"-"&amp;'Risk Master'!D8</f>
        <v>Flood-Mumbai</v>
      </c>
      <c r="C9" s="29" t="str">
        <f>'Risk Master'!F8</f>
        <v>A2</v>
      </c>
      <c r="D9" s="37" t="str">
        <f>VLOOKUP(C9,'Asset Master'!A:B,2,FALSE)</f>
        <v>Heat Exchanger-Mumbai</v>
      </c>
      <c r="E9" s="64">
        <f>'Risk Master'!N8</f>
        <v>20000</v>
      </c>
      <c r="H9" s="66">
        <v>1</v>
      </c>
      <c r="I9" s="66">
        <v>0</v>
      </c>
      <c r="J9" s="29">
        <v>0</v>
      </c>
      <c r="K9" s="29">
        <v>0</v>
      </c>
      <c r="L9" s="66">
        <v>0</v>
      </c>
      <c r="M9" s="29">
        <v>1</v>
      </c>
      <c r="N9" s="29">
        <v>0</v>
      </c>
      <c r="O9" s="29">
        <v>0</v>
      </c>
      <c r="P9" s="66">
        <v>0</v>
      </c>
      <c r="Q9" s="66">
        <v>0</v>
      </c>
    </row>
    <row r="10" spans="1:17" ht="12.95" customHeight="1" x14ac:dyDescent="0.2">
      <c r="A10" s="36" t="s">
        <v>308</v>
      </c>
      <c r="B10" s="37" t="str">
        <f>'Risk Master'!C9&amp;"-"&amp;'Risk Master'!D9</f>
        <v>Earthquake-Mumbai</v>
      </c>
      <c r="C10" s="29" t="str">
        <f>'Risk Master'!F9</f>
        <v>A2</v>
      </c>
      <c r="D10" s="37" t="str">
        <f>VLOOKUP(C10,'Asset Master'!A:B,2,FALSE)</f>
        <v>Heat Exchanger-Mumbai</v>
      </c>
      <c r="E10" s="64">
        <f>'Risk Master'!N9</f>
        <v>20000</v>
      </c>
      <c r="H10" s="66">
        <v>1</v>
      </c>
      <c r="I10" s="66">
        <v>1</v>
      </c>
      <c r="J10" s="29">
        <v>0</v>
      </c>
      <c r="K10" s="29">
        <v>0</v>
      </c>
      <c r="L10" s="66">
        <v>0</v>
      </c>
      <c r="M10" s="29">
        <v>1</v>
      </c>
      <c r="N10" s="29">
        <v>0</v>
      </c>
      <c r="O10" s="29">
        <v>0</v>
      </c>
      <c r="P10" s="66">
        <v>0</v>
      </c>
      <c r="Q10" s="66">
        <v>0</v>
      </c>
    </row>
    <row r="11" spans="1:17" ht="12.95" customHeight="1" x14ac:dyDescent="0.2">
      <c r="A11" s="36" t="s">
        <v>309</v>
      </c>
      <c r="B11" s="37" t="str">
        <f>'Risk Master'!C10&amp;"-"&amp;'Risk Master'!D10</f>
        <v>Fire-Mumbai</v>
      </c>
      <c r="C11" s="29" t="str">
        <f>'Risk Master'!F10</f>
        <v>A2</v>
      </c>
      <c r="D11" s="37" t="str">
        <f>VLOOKUP(C11,'Asset Master'!A:B,2,FALSE)</f>
        <v>Heat Exchanger-Mumbai</v>
      </c>
      <c r="E11" s="64">
        <f>'Risk Master'!N10</f>
        <v>20000</v>
      </c>
      <c r="H11" s="66">
        <v>1</v>
      </c>
      <c r="I11" s="66">
        <v>0</v>
      </c>
      <c r="J11" s="29">
        <v>0</v>
      </c>
      <c r="K11" s="29">
        <v>0</v>
      </c>
      <c r="L11" s="66">
        <v>0</v>
      </c>
      <c r="M11" s="29">
        <v>1</v>
      </c>
      <c r="N11" s="29">
        <v>0</v>
      </c>
      <c r="O11" s="29">
        <v>0</v>
      </c>
      <c r="P11" s="66">
        <v>0</v>
      </c>
      <c r="Q11" s="66">
        <v>0</v>
      </c>
    </row>
    <row r="12" spans="1:17" ht="12.95" customHeight="1" x14ac:dyDescent="0.2">
      <c r="A12" s="36" t="s">
        <v>310</v>
      </c>
      <c r="B12" s="37" t="str">
        <f>'Risk Master'!C11&amp;"-"&amp;'Risk Master'!D11</f>
        <v>Typhoon-Mumbai</v>
      </c>
      <c r="C12" s="29" t="str">
        <f>'Risk Master'!F11</f>
        <v>A2</v>
      </c>
      <c r="D12" s="37" t="str">
        <f>VLOOKUP(C12,'Asset Master'!A:B,2,FALSE)</f>
        <v>Heat Exchanger-Mumbai</v>
      </c>
      <c r="E12" s="64">
        <f>'Risk Master'!N11</f>
        <v>20000</v>
      </c>
      <c r="H12" s="66">
        <v>1</v>
      </c>
      <c r="I12" s="66">
        <v>0</v>
      </c>
      <c r="J12" s="29">
        <v>0</v>
      </c>
      <c r="K12" s="29">
        <v>0</v>
      </c>
      <c r="L12" s="66">
        <v>0</v>
      </c>
      <c r="M12" s="29">
        <v>1</v>
      </c>
      <c r="N12" s="29">
        <v>0</v>
      </c>
      <c r="O12" s="29">
        <v>0</v>
      </c>
      <c r="P12" s="66">
        <v>1</v>
      </c>
      <c r="Q12" s="66">
        <v>0</v>
      </c>
    </row>
    <row r="13" spans="1:17" ht="12.95" customHeight="1" x14ac:dyDescent="0.2">
      <c r="A13" s="36" t="s">
        <v>311</v>
      </c>
      <c r="B13" s="37" t="str">
        <f>'Risk Master'!C12&amp;"-"&amp;'Risk Master'!D12</f>
        <v>Thunderstorms, Tornados &amp; Hail-Mumbai</v>
      </c>
      <c r="C13" s="29" t="str">
        <f>'Risk Master'!F12</f>
        <v>A4</v>
      </c>
      <c r="D13" s="37" t="str">
        <f>VLOOKUP(C13,'Asset Master'!A:B,2,FALSE)</f>
        <v>Property (Office Locations)-Mumbai</v>
      </c>
      <c r="E13" s="64">
        <f>'Risk Master'!N12</f>
        <v>70000</v>
      </c>
      <c r="H13" s="66">
        <v>1</v>
      </c>
      <c r="I13" s="66">
        <v>0</v>
      </c>
      <c r="J13" s="29">
        <v>0</v>
      </c>
      <c r="K13" s="29">
        <v>0</v>
      </c>
      <c r="L13" s="66">
        <v>0</v>
      </c>
      <c r="M13" s="29">
        <v>0</v>
      </c>
      <c r="N13" s="29">
        <v>0</v>
      </c>
      <c r="O13" s="29">
        <v>0</v>
      </c>
      <c r="P13" s="66">
        <v>0</v>
      </c>
      <c r="Q13" s="66">
        <v>0</v>
      </c>
    </row>
    <row r="14" spans="1:17" ht="12.95" customHeight="1" x14ac:dyDescent="0.2">
      <c r="A14" s="36" t="s">
        <v>312</v>
      </c>
      <c r="B14" s="37" t="str">
        <f>'Risk Master'!C13&amp;"-"&amp;'Risk Master'!D13</f>
        <v>Tsunami-Mumbai</v>
      </c>
      <c r="C14" s="29" t="str">
        <f>'Risk Master'!F13</f>
        <v>A4</v>
      </c>
      <c r="D14" s="37" t="str">
        <f>VLOOKUP(C14,'Asset Master'!A:B,2,FALSE)</f>
        <v>Property (Office Locations)-Mumbai</v>
      </c>
      <c r="E14" s="64">
        <f>'Risk Master'!N13</f>
        <v>70000</v>
      </c>
      <c r="H14" s="66">
        <v>1</v>
      </c>
      <c r="I14" s="66">
        <v>0</v>
      </c>
      <c r="J14" s="29">
        <v>1</v>
      </c>
      <c r="K14" s="29">
        <v>0</v>
      </c>
      <c r="L14" s="66">
        <v>1</v>
      </c>
      <c r="M14" s="29">
        <v>0</v>
      </c>
      <c r="N14" s="66">
        <v>0</v>
      </c>
      <c r="O14" s="29">
        <v>0</v>
      </c>
      <c r="P14" s="66">
        <v>1</v>
      </c>
      <c r="Q14" s="66">
        <v>0</v>
      </c>
    </row>
    <row r="15" spans="1:17" ht="12.95" customHeight="1" x14ac:dyDescent="0.2">
      <c r="A15" s="36" t="s">
        <v>313</v>
      </c>
      <c r="B15" s="37" t="str">
        <f>'Risk Master'!C14&amp;"-"&amp;'Risk Master'!D14</f>
        <v>Flood-Mumbai</v>
      </c>
      <c r="C15" s="29" t="str">
        <f>'Risk Master'!F14</f>
        <v>A6</v>
      </c>
      <c r="D15" s="37" t="str">
        <f>VLOOKUP(C15,'Asset Master'!A:B,2,FALSE)</f>
        <v>Warehouse &amp; Cold Storage-Mumbai</v>
      </c>
      <c r="E15" s="64">
        <f>'Risk Master'!N14</f>
        <v>40000</v>
      </c>
      <c r="H15" s="66">
        <v>1</v>
      </c>
      <c r="I15" s="66">
        <v>0</v>
      </c>
      <c r="J15" s="29">
        <v>0</v>
      </c>
      <c r="K15" s="29">
        <v>1</v>
      </c>
      <c r="L15" s="66">
        <v>0</v>
      </c>
      <c r="M15" s="29">
        <v>0</v>
      </c>
      <c r="N15" s="66">
        <v>0</v>
      </c>
      <c r="O15" s="29">
        <v>0</v>
      </c>
      <c r="P15" s="66">
        <v>0</v>
      </c>
      <c r="Q15" s="66">
        <v>0</v>
      </c>
    </row>
    <row r="16" spans="1:17" ht="12.95" customHeight="1" x14ac:dyDescent="0.2">
      <c r="A16" s="36" t="s">
        <v>314</v>
      </c>
      <c r="B16" s="37" t="str">
        <f>'Risk Master'!C15&amp;"-"&amp;'Risk Master'!D15</f>
        <v>Earthquake-Mumbai</v>
      </c>
      <c r="C16" s="29" t="str">
        <f>'Risk Master'!F15</f>
        <v>A6</v>
      </c>
      <c r="D16" s="37" t="str">
        <f>VLOOKUP(C16,'Asset Master'!A:B,2,FALSE)</f>
        <v>Warehouse &amp; Cold Storage-Mumbai</v>
      </c>
      <c r="E16" s="64">
        <f>'Risk Master'!N15</f>
        <v>40000</v>
      </c>
      <c r="H16" s="66">
        <v>1</v>
      </c>
      <c r="I16" s="66">
        <v>0</v>
      </c>
      <c r="J16" s="29">
        <v>0</v>
      </c>
      <c r="K16" s="29">
        <v>0</v>
      </c>
      <c r="L16" s="66">
        <v>0</v>
      </c>
      <c r="M16" s="29">
        <v>0</v>
      </c>
      <c r="N16" s="66">
        <v>0</v>
      </c>
      <c r="O16" s="29">
        <v>0</v>
      </c>
      <c r="P16" s="66">
        <v>0</v>
      </c>
      <c r="Q16" s="66">
        <v>0</v>
      </c>
    </row>
    <row r="17" spans="1:17" ht="12.95" customHeight="1" x14ac:dyDescent="0.2">
      <c r="A17" s="36" t="s">
        <v>315</v>
      </c>
      <c r="B17" s="37" t="str">
        <f>'Risk Master'!C16&amp;"-"&amp;'Risk Master'!D16</f>
        <v>Terror Attack-Mumbai</v>
      </c>
      <c r="C17" s="29" t="str">
        <f>'Risk Master'!F16</f>
        <v>A4</v>
      </c>
      <c r="D17" s="37" t="str">
        <f>VLOOKUP(C17,'Asset Master'!A:B,2,FALSE)</f>
        <v>Property (Office Locations)-Mumbai</v>
      </c>
      <c r="E17" s="64">
        <f>'Risk Master'!N16</f>
        <v>70000</v>
      </c>
      <c r="H17" s="66">
        <v>1</v>
      </c>
      <c r="I17" s="66">
        <v>0</v>
      </c>
      <c r="J17" s="29">
        <v>1</v>
      </c>
      <c r="K17" s="29">
        <v>1</v>
      </c>
      <c r="L17" s="66">
        <v>1</v>
      </c>
      <c r="M17" s="29">
        <v>0</v>
      </c>
      <c r="N17" s="66">
        <v>0</v>
      </c>
      <c r="O17" s="29">
        <v>0</v>
      </c>
      <c r="P17" s="66">
        <v>1</v>
      </c>
      <c r="Q17" s="66">
        <v>1</v>
      </c>
    </row>
    <row r="18" spans="1:17" ht="12.95" customHeight="1" x14ac:dyDescent="0.2">
      <c r="A18" s="36" t="s">
        <v>316</v>
      </c>
      <c r="B18" s="37" t="str">
        <f>'Risk Master'!C17&amp;"-"&amp;'Risk Master'!D17</f>
        <v>Typhoon-Mumbai</v>
      </c>
      <c r="C18" s="29" t="str">
        <f>'Risk Master'!F17</f>
        <v>A6</v>
      </c>
      <c r="D18" s="37" t="str">
        <f>VLOOKUP(C18,'Asset Master'!A:B,2,FALSE)</f>
        <v>Warehouse &amp; Cold Storage-Mumbai</v>
      </c>
      <c r="E18" s="64">
        <f>'Risk Master'!N17</f>
        <v>40000</v>
      </c>
      <c r="H18" s="66">
        <v>1</v>
      </c>
      <c r="I18" s="66">
        <v>1</v>
      </c>
      <c r="J18" s="29">
        <v>0</v>
      </c>
      <c r="K18" s="29">
        <v>0</v>
      </c>
      <c r="L18" s="66">
        <v>0</v>
      </c>
      <c r="M18" s="29">
        <v>1</v>
      </c>
      <c r="N18" s="66">
        <v>0</v>
      </c>
      <c r="O18" s="29">
        <v>0</v>
      </c>
      <c r="P18" s="66">
        <v>0</v>
      </c>
      <c r="Q18" s="66">
        <v>0</v>
      </c>
    </row>
    <row r="19" spans="1:17" ht="12.95" customHeight="1" x14ac:dyDescent="0.2">
      <c r="A19" s="36" t="s">
        <v>317</v>
      </c>
      <c r="B19" s="37" t="str">
        <f>'Risk Master'!C18&amp;"-"&amp;'Risk Master'!D18</f>
        <v>Thunderstorms, Tornados &amp; Hail-Mumbai</v>
      </c>
      <c r="C19" s="29" t="str">
        <f>'Risk Master'!F18</f>
        <v>A6</v>
      </c>
      <c r="D19" s="37" t="str">
        <f>VLOOKUP(C19,'Asset Master'!A:B,2,FALSE)</f>
        <v>Warehouse &amp; Cold Storage-Mumbai</v>
      </c>
      <c r="E19" s="64">
        <f>'Risk Master'!N18</f>
        <v>40000</v>
      </c>
      <c r="H19" s="66">
        <v>1</v>
      </c>
      <c r="I19" s="66">
        <v>0</v>
      </c>
      <c r="J19" s="29">
        <v>1</v>
      </c>
      <c r="K19" s="29">
        <v>0</v>
      </c>
      <c r="L19" s="66">
        <v>0</v>
      </c>
      <c r="M19" s="29">
        <v>1</v>
      </c>
      <c r="N19" s="66">
        <v>0</v>
      </c>
      <c r="O19" s="29">
        <v>0</v>
      </c>
      <c r="P19" s="66">
        <v>0</v>
      </c>
      <c r="Q19" s="66">
        <v>0</v>
      </c>
    </row>
    <row r="20" spans="1:17" ht="12.95" customHeight="1" x14ac:dyDescent="0.2">
      <c r="A20" s="36" t="s">
        <v>318</v>
      </c>
      <c r="B20" s="37" t="str">
        <f>'Risk Master'!C19&amp;"-"&amp;'Risk Master'!D19</f>
        <v>Tsunami-Mumbai</v>
      </c>
      <c r="C20" s="29" t="str">
        <f>'Risk Master'!F19</f>
        <v>A6</v>
      </c>
      <c r="D20" s="37" t="str">
        <f>VLOOKUP(C20,'Asset Master'!A:B,2,FALSE)</f>
        <v>Warehouse &amp; Cold Storage-Mumbai</v>
      </c>
      <c r="E20" s="64">
        <f>'Risk Master'!N19</f>
        <v>40000</v>
      </c>
      <c r="H20" s="66">
        <v>1</v>
      </c>
      <c r="I20" s="66">
        <v>0</v>
      </c>
      <c r="J20" s="29">
        <v>0</v>
      </c>
      <c r="K20" s="29">
        <v>0</v>
      </c>
      <c r="L20" s="66">
        <v>1</v>
      </c>
      <c r="M20" s="29">
        <v>0</v>
      </c>
      <c r="N20" s="66">
        <v>0</v>
      </c>
      <c r="O20" s="29">
        <v>0</v>
      </c>
      <c r="P20" s="66">
        <v>0</v>
      </c>
      <c r="Q20" s="66">
        <v>0</v>
      </c>
    </row>
    <row r="21" spans="1:17" ht="12.95" customHeight="1" x14ac:dyDescent="0.2">
      <c r="A21" s="36" t="s">
        <v>319</v>
      </c>
      <c r="B21" s="37" t="str">
        <f>'Risk Master'!C20&amp;"-"&amp;'Risk Master'!D20</f>
        <v>Flood-Mumbai</v>
      </c>
      <c r="C21" s="29" t="str">
        <f>'Risk Master'!F20</f>
        <v>A7</v>
      </c>
      <c r="D21" s="37" t="str">
        <f>VLOOKUP(C21,'Asset Master'!A:B,2,FALSE)</f>
        <v>Hotels &amp; Resorts-Mumbai</v>
      </c>
      <c r="E21" s="64">
        <f>'Risk Master'!N20</f>
        <v>80000</v>
      </c>
      <c r="H21" s="66">
        <v>0</v>
      </c>
      <c r="I21" s="66">
        <v>0</v>
      </c>
      <c r="J21" s="29">
        <v>1</v>
      </c>
      <c r="K21" s="29">
        <v>0</v>
      </c>
      <c r="L21" s="66">
        <v>0</v>
      </c>
      <c r="M21" s="29">
        <v>1</v>
      </c>
      <c r="N21" s="66">
        <v>0</v>
      </c>
      <c r="O21" s="29">
        <v>0</v>
      </c>
      <c r="P21" s="66">
        <v>0</v>
      </c>
      <c r="Q21" s="66">
        <v>0</v>
      </c>
    </row>
    <row r="22" spans="1:17" ht="12.95" customHeight="1" x14ac:dyDescent="0.2">
      <c r="A22" s="36" t="s">
        <v>320</v>
      </c>
      <c r="B22" s="37" t="str">
        <f>'Risk Master'!C21&amp;"-"&amp;'Risk Master'!D21</f>
        <v>Earthquake-Mumbai</v>
      </c>
      <c r="C22" s="29" t="str">
        <f>'Risk Master'!F21</f>
        <v>A8</v>
      </c>
      <c r="D22" s="37" t="str">
        <f>VLOOKUP(C22,'Asset Master'!A:B,2,FALSE)</f>
        <v>Supermarkets &amp; Malls-Mumbai</v>
      </c>
      <c r="E22" s="64">
        <f>'Risk Master'!N21</f>
        <v>30000</v>
      </c>
      <c r="H22" s="66">
        <v>0</v>
      </c>
      <c r="I22" s="66">
        <v>1</v>
      </c>
      <c r="J22" s="29">
        <v>0</v>
      </c>
      <c r="K22" s="29">
        <v>1</v>
      </c>
      <c r="L22" s="66">
        <v>0</v>
      </c>
      <c r="M22" s="29">
        <v>0</v>
      </c>
      <c r="N22" s="66">
        <v>0</v>
      </c>
      <c r="O22" s="29">
        <v>0</v>
      </c>
      <c r="P22" s="66">
        <v>0</v>
      </c>
      <c r="Q22" s="66">
        <v>0</v>
      </c>
    </row>
    <row r="23" spans="1:17" ht="12.95" customHeight="1" x14ac:dyDescent="0.2">
      <c r="A23" s="36" t="s">
        <v>321</v>
      </c>
      <c r="B23" s="37" t="str">
        <f>'Risk Master'!C22&amp;"-"&amp;'Risk Master'!D22</f>
        <v>Fire-Mumbai</v>
      </c>
      <c r="C23" s="29" t="str">
        <f>'Risk Master'!F22</f>
        <v>A7</v>
      </c>
      <c r="D23" s="37" t="str">
        <f>VLOOKUP(C23,'Asset Master'!A:B,2,FALSE)</f>
        <v>Hotels &amp; Resorts-Mumbai</v>
      </c>
      <c r="E23" s="64">
        <f>'Risk Master'!N22</f>
        <v>80000</v>
      </c>
      <c r="H23" s="66">
        <v>0</v>
      </c>
      <c r="I23" s="66">
        <v>0</v>
      </c>
      <c r="J23" s="29">
        <v>0</v>
      </c>
      <c r="K23" s="29">
        <v>0</v>
      </c>
      <c r="L23" s="66">
        <v>0</v>
      </c>
      <c r="M23" s="29">
        <v>0</v>
      </c>
      <c r="N23" s="66">
        <v>0</v>
      </c>
      <c r="O23" s="29">
        <v>0</v>
      </c>
      <c r="P23" s="66">
        <v>0</v>
      </c>
      <c r="Q23" s="66">
        <v>0</v>
      </c>
    </row>
    <row r="24" spans="1:17" ht="12.95" customHeight="1" x14ac:dyDescent="0.2">
      <c r="A24" s="36" t="s">
        <v>322</v>
      </c>
      <c r="B24" s="37" t="str">
        <f>'Risk Master'!C23&amp;"-"&amp;'Risk Master'!D23</f>
        <v>Typhoon-Mumbai</v>
      </c>
      <c r="C24" s="29" t="str">
        <f>'Risk Master'!F23</f>
        <v>A8</v>
      </c>
      <c r="D24" s="37" t="str">
        <f>VLOOKUP(C24,'Asset Master'!A:B,2,FALSE)</f>
        <v>Supermarkets &amp; Malls-Mumbai</v>
      </c>
      <c r="E24" s="64">
        <f>'Risk Master'!N23</f>
        <v>30000</v>
      </c>
      <c r="H24" s="66">
        <v>0</v>
      </c>
      <c r="I24" s="66">
        <v>1</v>
      </c>
      <c r="J24" s="66">
        <v>0</v>
      </c>
      <c r="K24" s="29">
        <v>0</v>
      </c>
      <c r="L24" s="66">
        <v>0</v>
      </c>
      <c r="M24" s="29">
        <v>0</v>
      </c>
      <c r="N24" s="66">
        <v>0</v>
      </c>
      <c r="O24" s="29">
        <v>0</v>
      </c>
      <c r="P24" s="66">
        <v>1</v>
      </c>
      <c r="Q24" s="66">
        <v>0</v>
      </c>
    </row>
    <row r="25" spans="1:17" ht="12.95" customHeight="1" x14ac:dyDescent="0.2">
      <c r="A25" s="36" t="s">
        <v>323</v>
      </c>
      <c r="B25" s="37" t="str">
        <f>'Risk Master'!C24&amp;"-"&amp;'Risk Master'!D24</f>
        <v>Thunderstorms, Tornados &amp; Hail-Mumbai</v>
      </c>
      <c r="C25" s="29" t="str">
        <f>'Risk Master'!F24</f>
        <v>A8</v>
      </c>
      <c r="D25" s="37" t="str">
        <f>VLOOKUP(C25,'Asset Master'!A:B,2,FALSE)</f>
        <v>Supermarkets &amp; Malls-Mumbai</v>
      </c>
      <c r="E25" s="64">
        <f>'Risk Master'!N24</f>
        <v>30000</v>
      </c>
      <c r="H25" s="66">
        <v>0</v>
      </c>
      <c r="I25" s="66">
        <v>0</v>
      </c>
      <c r="J25" s="66">
        <v>0</v>
      </c>
      <c r="K25" s="29">
        <v>0</v>
      </c>
      <c r="L25" s="66">
        <v>0</v>
      </c>
      <c r="M25" s="29">
        <v>0</v>
      </c>
      <c r="N25" s="66">
        <v>1</v>
      </c>
      <c r="O25" s="29">
        <v>0</v>
      </c>
      <c r="P25" s="66">
        <v>0</v>
      </c>
      <c r="Q25" s="66">
        <v>1</v>
      </c>
    </row>
    <row r="26" spans="1:17" ht="12.95" customHeight="1" x14ac:dyDescent="0.2">
      <c r="A26" s="36" t="s">
        <v>324</v>
      </c>
      <c r="B26" s="37" t="str">
        <f>'Risk Master'!C25&amp;"-"&amp;'Risk Master'!D25</f>
        <v>Tsunami-Mumbai</v>
      </c>
      <c r="C26" s="29" t="str">
        <f>'Risk Master'!F25</f>
        <v>A8</v>
      </c>
      <c r="D26" s="37" t="str">
        <f>VLOOKUP(C26,'Asset Master'!A:B,2,FALSE)</f>
        <v>Supermarkets &amp; Malls-Mumbai</v>
      </c>
      <c r="E26" s="64">
        <f>'Risk Master'!N25</f>
        <v>30000</v>
      </c>
      <c r="H26" s="66">
        <v>0</v>
      </c>
      <c r="I26" s="66">
        <v>1</v>
      </c>
      <c r="J26" s="66">
        <v>0</v>
      </c>
      <c r="K26" s="29">
        <v>0</v>
      </c>
      <c r="L26" s="66">
        <v>0</v>
      </c>
      <c r="M26" s="29">
        <v>0</v>
      </c>
      <c r="N26" s="66">
        <v>0</v>
      </c>
      <c r="O26" s="29">
        <v>0</v>
      </c>
      <c r="P26" s="66">
        <v>1</v>
      </c>
      <c r="Q26" s="66">
        <v>0</v>
      </c>
    </row>
    <row r="27" spans="1:17" ht="12.95" customHeight="1" x14ac:dyDescent="0.2">
      <c r="A27" s="36" t="s">
        <v>325</v>
      </c>
      <c r="B27" s="37" t="str">
        <f>'Risk Master'!C26&amp;"-"&amp;'Risk Master'!D26</f>
        <v>Flood-Mumbai</v>
      </c>
      <c r="C27" s="29" t="str">
        <f>'Risk Master'!F26</f>
        <v>A9</v>
      </c>
      <c r="D27" s="37" t="str">
        <f>VLOOKUP(C27,'Asset Master'!A:B,2,FALSE)</f>
        <v>Mines-Mumbai</v>
      </c>
      <c r="E27" s="64">
        <f>'Risk Master'!N26</f>
        <v>30000</v>
      </c>
      <c r="H27" s="66">
        <v>0</v>
      </c>
      <c r="I27" s="66">
        <v>0</v>
      </c>
      <c r="J27" s="66">
        <v>0</v>
      </c>
      <c r="K27" s="29">
        <v>0</v>
      </c>
      <c r="L27" s="66">
        <v>0</v>
      </c>
      <c r="M27" s="29">
        <v>0</v>
      </c>
      <c r="N27" s="66">
        <v>0</v>
      </c>
      <c r="O27" s="29">
        <v>0</v>
      </c>
      <c r="P27" s="66">
        <v>0</v>
      </c>
      <c r="Q27" s="66">
        <v>0</v>
      </c>
    </row>
    <row r="28" spans="1:17" ht="12.95" customHeight="1" x14ac:dyDescent="0.2">
      <c r="A28" s="36" t="s">
        <v>326</v>
      </c>
      <c r="B28" s="37" t="str">
        <f>'Risk Master'!C27&amp;"-"&amp;'Risk Master'!D27</f>
        <v>Earthquake-Mumbai</v>
      </c>
      <c r="C28" s="29" t="str">
        <f>'Risk Master'!F27</f>
        <v>A9</v>
      </c>
      <c r="D28" s="37" t="str">
        <f>VLOOKUP(C28,'Asset Master'!A:B,2,FALSE)</f>
        <v>Mines-Mumbai</v>
      </c>
      <c r="E28" s="64">
        <f>'Risk Master'!N27</f>
        <v>30000</v>
      </c>
      <c r="H28" s="66">
        <v>0</v>
      </c>
      <c r="I28" s="66">
        <v>0</v>
      </c>
      <c r="J28" s="66">
        <v>0</v>
      </c>
      <c r="K28" s="29">
        <v>0</v>
      </c>
      <c r="L28" s="66">
        <v>1</v>
      </c>
      <c r="M28" s="29">
        <v>0</v>
      </c>
      <c r="N28" s="66">
        <v>1</v>
      </c>
      <c r="O28" s="29">
        <v>0</v>
      </c>
      <c r="P28" s="66">
        <v>1</v>
      </c>
      <c r="Q28" s="66">
        <v>0</v>
      </c>
    </row>
    <row r="29" spans="1:17" ht="12.95" customHeight="1" x14ac:dyDescent="0.2">
      <c r="A29" s="36" t="s">
        <v>327</v>
      </c>
      <c r="B29" s="37" t="str">
        <f>'Risk Master'!C28&amp;"-"&amp;'Risk Master'!D28</f>
        <v>Fire-Mumbai</v>
      </c>
      <c r="C29" s="29" t="str">
        <f>'Risk Master'!F28</f>
        <v>A9</v>
      </c>
      <c r="D29" s="37" t="str">
        <f>VLOOKUP(C29,'Asset Master'!A:B,2,FALSE)</f>
        <v>Mines-Mumbai</v>
      </c>
      <c r="E29" s="64">
        <f>'Risk Master'!N28</f>
        <v>30000</v>
      </c>
      <c r="H29" s="66">
        <v>0</v>
      </c>
      <c r="I29" s="66">
        <v>0</v>
      </c>
      <c r="J29" s="66">
        <v>0</v>
      </c>
      <c r="K29" s="29">
        <v>0</v>
      </c>
      <c r="L29" s="66">
        <v>0</v>
      </c>
      <c r="M29" s="29">
        <v>0</v>
      </c>
      <c r="N29" s="66">
        <v>0</v>
      </c>
      <c r="O29" s="29">
        <v>0</v>
      </c>
      <c r="P29" s="66">
        <v>0</v>
      </c>
      <c r="Q29" s="66">
        <v>0</v>
      </c>
    </row>
    <row r="30" spans="1:17" ht="12.95" customHeight="1" x14ac:dyDescent="0.2">
      <c r="A30" s="36" t="s">
        <v>328</v>
      </c>
      <c r="B30" s="37" t="str">
        <f>'Risk Master'!C29&amp;"-"&amp;'Risk Master'!D29</f>
        <v>Typhoon-Mumbai</v>
      </c>
      <c r="C30" s="29" t="str">
        <f>'Risk Master'!F29</f>
        <v>A9</v>
      </c>
      <c r="D30" s="37" t="str">
        <f>VLOOKUP(C30,'Asset Master'!A:B,2,FALSE)</f>
        <v>Mines-Mumbai</v>
      </c>
      <c r="E30" s="64">
        <f>'Risk Master'!N29</f>
        <v>30000</v>
      </c>
      <c r="H30" s="66">
        <v>0</v>
      </c>
      <c r="I30" s="66">
        <v>0</v>
      </c>
      <c r="J30" s="66">
        <v>0</v>
      </c>
      <c r="K30" s="29">
        <v>0</v>
      </c>
      <c r="L30" s="66">
        <v>0</v>
      </c>
      <c r="M30" s="29">
        <v>0</v>
      </c>
      <c r="N30" s="66">
        <v>0</v>
      </c>
      <c r="O30" s="29">
        <v>0</v>
      </c>
      <c r="P30" s="66">
        <v>0</v>
      </c>
      <c r="Q30" s="66">
        <v>0</v>
      </c>
    </row>
    <row r="31" spans="1:17" ht="12.95" customHeight="1" x14ac:dyDescent="0.2">
      <c r="A31" s="36" t="s">
        <v>329</v>
      </c>
      <c r="B31" s="37" t="str">
        <f>'Risk Master'!C30&amp;"-"&amp;'Risk Master'!D30</f>
        <v>Thunderstorms, Tornados &amp; Hail-Mumbai</v>
      </c>
      <c r="C31" s="29" t="str">
        <f>'Risk Master'!F30</f>
        <v>A9</v>
      </c>
      <c r="D31" s="37" t="str">
        <f>VLOOKUP(C31,'Asset Master'!A:B,2,FALSE)</f>
        <v>Mines-Mumbai</v>
      </c>
      <c r="E31" s="64">
        <f>'Risk Master'!N30</f>
        <v>30000</v>
      </c>
      <c r="H31" s="66">
        <v>0</v>
      </c>
      <c r="I31" s="66">
        <v>0</v>
      </c>
      <c r="J31" s="66">
        <v>0</v>
      </c>
      <c r="K31" s="29">
        <v>0</v>
      </c>
      <c r="L31" s="66">
        <v>0</v>
      </c>
      <c r="M31" s="29">
        <v>0</v>
      </c>
      <c r="N31" s="66">
        <v>1</v>
      </c>
      <c r="O31" s="29">
        <v>0</v>
      </c>
      <c r="P31" s="66">
        <v>1</v>
      </c>
      <c r="Q31" s="66">
        <v>1</v>
      </c>
    </row>
    <row r="32" spans="1:17" ht="12.95" customHeight="1" x14ac:dyDescent="0.2">
      <c r="A32" s="36" t="s">
        <v>330</v>
      </c>
      <c r="B32" s="37" t="str">
        <f>'Risk Master'!C31&amp;"-"&amp;'Risk Master'!D31</f>
        <v>Tsunami-Mumbai</v>
      </c>
      <c r="C32" s="29" t="str">
        <f>'Risk Master'!F31</f>
        <v>A9</v>
      </c>
      <c r="D32" s="37" t="str">
        <f>VLOOKUP(C32,'Asset Master'!A:B,2,FALSE)</f>
        <v>Mines-Mumbai</v>
      </c>
      <c r="E32" s="64">
        <f>'Risk Master'!N31</f>
        <v>30000</v>
      </c>
      <c r="H32" s="66">
        <v>0</v>
      </c>
      <c r="I32" s="66">
        <v>0</v>
      </c>
      <c r="J32" s="66">
        <v>0</v>
      </c>
      <c r="K32" s="29">
        <v>0</v>
      </c>
      <c r="L32" s="66">
        <v>1</v>
      </c>
      <c r="M32" s="29">
        <v>0</v>
      </c>
      <c r="N32" s="66">
        <v>0</v>
      </c>
      <c r="O32" s="29">
        <v>0</v>
      </c>
      <c r="P32" s="66">
        <v>0</v>
      </c>
      <c r="Q32" s="66">
        <v>1</v>
      </c>
    </row>
    <row r="33" spans="1:17" ht="12.95" customHeight="1" x14ac:dyDescent="0.2">
      <c r="A33" s="36" t="s">
        <v>331</v>
      </c>
      <c r="B33" s="37" t="str">
        <f>'Risk Master'!C32&amp;"-"&amp;'Risk Master'!D32</f>
        <v>Flood-Mumbai</v>
      </c>
      <c r="C33" s="29" t="str">
        <f>'Risk Master'!F32</f>
        <v>A10</v>
      </c>
      <c r="D33" s="37" t="str">
        <f>VLOOKUP(C33,'Asset Master'!A:B,2,FALSE)</f>
        <v>Power Plants-Mumbai</v>
      </c>
      <c r="E33" s="64">
        <f>'Risk Master'!N32</f>
        <v>40000</v>
      </c>
      <c r="H33" s="66">
        <v>0</v>
      </c>
      <c r="I33" s="66">
        <v>0</v>
      </c>
      <c r="J33" s="66">
        <v>0</v>
      </c>
      <c r="K33" s="29">
        <v>0</v>
      </c>
      <c r="L33" s="66">
        <v>0</v>
      </c>
      <c r="M33" s="29">
        <v>0</v>
      </c>
      <c r="N33" s="66">
        <v>0</v>
      </c>
      <c r="O33" s="29">
        <v>0</v>
      </c>
      <c r="P33" s="66">
        <v>0</v>
      </c>
      <c r="Q33" s="66">
        <v>0</v>
      </c>
    </row>
    <row r="34" spans="1:17" ht="12.95" customHeight="1" x14ac:dyDescent="0.2">
      <c r="A34" s="36" t="s">
        <v>332</v>
      </c>
      <c r="B34" s="37" t="str">
        <f>'Risk Master'!C33&amp;"-"&amp;'Risk Master'!D33</f>
        <v>Earthquake-Mumbai</v>
      </c>
      <c r="C34" s="29" t="str">
        <f>'Risk Master'!F33</f>
        <v>A10</v>
      </c>
      <c r="D34" s="37" t="str">
        <f>VLOOKUP(C34,'Asset Master'!A:B,2,FALSE)</f>
        <v>Power Plants-Mumbai</v>
      </c>
      <c r="E34" s="64">
        <f>'Risk Master'!N33</f>
        <v>40000</v>
      </c>
      <c r="H34" s="66">
        <v>0</v>
      </c>
      <c r="I34" s="66">
        <v>0</v>
      </c>
      <c r="J34" s="66">
        <v>0</v>
      </c>
      <c r="K34" s="29">
        <v>0</v>
      </c>
      <c r="L34" s="66">
        <v>0</v>
      </c>
      <c r="M34" s="29">
        <v>0</v>
      </c>
      <c r="N34" s="66">
        <v>0</v>
      </c>
      <c r="O34" s="29">
        <v>0</v>
      </c>
      <c r="P34" s="66">
        <v>0</v>
      </c>
      <c r="Q34" s="66">
        <v>0</v>
      </c>
    </row>
    <row r="35" spans="1:17" ht="12.95" customHeight="1" x14ac:dyDescent="0.2">
      <c r="A35" s="36" t="s">
        <v>333</v>
      </c>
      <c r="B35" s="37" t="str">
        <f>'Risk Master'!C34&amp;"-"&amp;'Risk Master'!D34</f>
        <v>Fire-Mumbai</v>
      </c>
      <c r="C35" s="29" t="str">
        <f>'Risk Master'!F34</f>
        <v>A10</v>
      </c>
      <c r="D35" s="37" t="str">
        <f>VLOOKUP(C35,'Asset Master'!A:B,2,FALSE)</f>
        <v>Power Plants-Mumbai</v>
      </c>
      <c r="E35" s="64">
        <f>'Risk Master'!N34</f>
        <v>40000</v>
      </c>
      <c r="H35" s="66">
        <v>0</v>
      </c>
      <c r="I35" s="66">
        <v>0</v>
      </c>
      <c r="J35" s="66">
        <v>1</v>
      </c>
      <c r="K35" s="29">
        <v>1</v>
      </c>
      <c r="L35" s="66">
        <v>0</v>
      </c>
      <c r="M35" s="29">
        <v>1</v>
      </c>
      <c r="N35" s="66">
        <v>0</v>
      </c>
      <c r="O35" s="29">
        <v>0</v>
      </c>
      <c r="P35" s="66">
        <v>0</v>
      </c>
      <c r="Q35" s="66">
        <v>0</v>
      </c>
    </row>
    <row r="36" spans="1:17" ht="12.95" customHeight="1" x14ac:dyDescent="0.2">
      <c r="A36" s="36" t="s">
        <v>334</v>
      </c>
      <c r="B36" s="37" t="str">
        <f>'Risk Master'!C35&amp;"-"&amp;'Risk Master'!D35</f>
        <v>Terror Attack-Mumbai</v>
      </c>
      <c r="C36" s="29" t="str">
        <f>'Risk Master'!F35</f>
        <v>A10</v>
      </c>
      <c r="D36" s="37" t="str">
        <f>VLOOKUP(C36,'Asset Master'!A:B,2,FALSE)</f>
        <v>Power Plants-Mumbai</v>
      </c>
      <c r="E36" s="64">
        <f>'Risk Master'!N35</f>
        <v>40000</v>
      </c>
      <c r="H36" s="66">
        <v>0</v>
      </c>
      <c r="I36" s="66">
        <v>0</v>
      </c>
      <c r="J36" s="66">
        <v>0</v>
      </c>
      <c r="K36" s="29">
        <v>0</v>
      </c>
      <c r="L36" s="66">
        <v>1</v>
      </c>
      <c r="M36" s="29">
        <v>0</v>
      </c>
      <c r="N36" s="66">
        <v>0</v>
      </c>
      <c r="O36" s="29">
        <v>0</v>
      </c>
      <c r="P36" s="66">
        <v>0</v>
      </c>
      <c r="Q36" s="66">
        <v>0</v>
      </c>
    </row>
    <row r="37" spans="1:17" ht="12.95" customHeight="1" x14ac:dyDescent="0.2">
      <c r="A37" s="36" t="s">
        <v>335</v>
      </c>
      <c r="B37" s="37" t="str">
        <f>'Risk Master'!C36&amp;"-"&amp;'Risk Master'!D36</f>
        <v>Thunderstorms, Tornados &amp; Hail-Mumbai</v>
      </c>
      <c r="C37" s="29" t="str">
        <f>'Risk Master'!F36</f>
        <v>A10</v>
      </c>
      <c r="D37" s="37" t="str">
        <f>VLOOKUP(C37,'Asset Master'!A:B,2,FALSE)</f>
        <v>Power Plants-Mumbai</v>
      </c>
      <c r="E37" s="64">
        <f>'Risk Master'!N36</f>
        <v>40000</v>
      </c>
      <c r="H37" s="66">
        <v>0</v>
      </c>
      <c r="I37" s="66">
        <v>0</v>
      </c>
      <c r="J37" s="66">
        <v>0</v>
      </c>
      <c r="K37" s="29">
        <v>0</v>
      </c>
      <c r="L37" s="66">
        <v>0</v>
      </c>
      <c r="M37" s="29">
        <v>1</v>
      </c>
      <c r="N37" s="66">
        <v>0</v>
      </c>
      <c r="O37" s="29">
        <v>0</v>
      </c>
      <c r="P37" s="66">
        <v>0</v>
      </c>
      <c r="Q37" s="66">
        <v>0</v>
      </c>
    </row>
    <row r="38" spans="1:17" ht="12.95" customHeight="1" x14ac:dyDescent="0.2">
      <c r="A38" s="36" t="s">
        <v>336</v>
      </c>
      <c r="B38" s="37" t="str">
        <f>'Risk Master'!C37&amp;"-"&amp;'Risk Master'!D37</f>
        <v>Tsunami-Mumbai</v>
      </c>
      <c r="C38" s="29" t="str">
        <f>'Risk Master'!F37</f>
        <v>A10</v>
      </c>
      <c r="D38" s="37" t="str">
        <f>VLOOKUP(C38,'Asset Master'!A:B,2,FALSE)</f>
        <v>Power Plants-Mumbai</v>
      </c>
      <c r="E38" s="64">
        <f>'Risk Master'!N37</f>
        <v>40000</v>
      </c>
      <c r="H38" s="66">
        <v>0</v>
      </c>
      <c r="I38" s="66">
        <v>0</v>
      </c>
      <c r="J38" s="66">
        <v>1</v>
      </c>
      <c r="K38" s="29">
        <v>0</v>
      </c>
      <c r="L38" s="66">
        <v>0</v>
      </c>
      <c r="M38" s="29">
        <v>0</v>
      </c>
      <c r="N38" s="66">
        <v>0</v>
      </c>
      <c r="O38" s="29">
        <v>0</v>
      </c>
      <c r="P38" s="66">
        <v>0</v>
      </c>
      <c r="Q38" s="66">
        <v>0</v>
      </c>
    </row>
    <row r="39" spans="1:17" ht="12.95" customHeight="1" x14ac:dyDescent="0.2">
      <c r="A39" s="36" t="s">
        <v>337</v>
      </c>
      <c r="B39" s="37" t="str">
        <f>'Risk Master'!C38&amp;"-"&amp;'Risk Master'!D38</f>
        <v>Flood-Mumbai</v>
      </c>
      <c r="C39" s="29" t="str">
        <f>'Risk Master'!F38</f>
        <v>A11</v>
      </c>
      <c r="D39" s="37" t="str">
        <f>VLOOKUP(C39,'Asset Master'!A:B,2,FALSE)</f>
        <v>Oil Refineries-Mumbai</v>
      </c>
      <c r="E39" s="64">
        <f>'Risk Master'!N38</f>
        <v>100000</v>
      </c>
      <c r="H39" s="66">
        <v>0</v>
      </c>
      <c r="I39" s="29">
        <v>0</v>
      </c>
      <c r="J39" s="66">
        <v>0</v>
      </c>
      <c r="K39" s="29">
        <v>0</v>
      </c>
      <c r="L39" s="66">
        <v>0</v>
      </c>
      <c r="M39" s="29">
        <v>0</v>
      </c>
      <c r="N39" s="66">
        <v>1</v>
      </c>
      <c r="O39" s="29">
        <v>0</v>
      </c>
      <c r="P39" s="66">
        <v>0</v>
      </c>
      <c r="Q39" s="66">
        <v>1</v>
      </c>
    </row>
    <row r="40" spans="1:17" ht="12.95" customHeight="1" x14ac:dyDescent="0.2">
      <c r="A40" s="36" t="s">
        <v>338</v>
      </c>
      <c r="B40" s="37" t="str">
        <f>'Risk Master'!C39&amp;"-"&amp;'Risk Master'!D39</f>
        <v>Earthquake-Mumbai</v>
      </c>
      <c r="C40" s="29" t="str">
        <f>'Risk Master'!F39</f>
        <v>A11</v>
      </c>
      <c r="D40" s="37" t="str">
        <f>VLOOKUP(C40,'Asset Master'!A:B,2,FALSE)</f>
        <v>Oil Refineries-Mumbai</v>
      </c>
      <c r="E40" s="64">
        <f>'Risk Master'!N39</f>
        <v>100000</v>
      </c>
      <c r="H40" s="66">
        <v>0</v>
      </c>
      <c r="I40" s="29">
        <v>0</v>
      </c>
      <c r="J40" s="66">
        <v>0</v>
      </c>
      <c r="K40" s="29">
        <v>0</v>
      </c>
      <c r="L40" s="66">
        <v>0</v>
      </c>
      <c r="M40" s="29">
        <v>0</v>
      </c>
      <c r="N40" s="66">
        <v>0</v>
      </c>
      <c r="O40" s="29">
        <v>0</v>
      </c>
      <c r="P40" s="66">
        <v>0</v>
      </c>
      <c r="Q40" s="66">
        <v>0</v>
      </c>
    </row>
    <row r="41" spans="1:17" ht="12.95" customHeight="1" x14ac:dyDescent="0.2">
      <c r="A41" s="36" t="s">
        <v>339</v>
      </c>
      <c r="B41" s="37" t="str">
        <f>'Risk Master'!C40&amp;"-"&amp;'Risk Master'!D40</f>
        <v>Fire-Mumbai</v>
      </c>
      <c r="C41" s="29" t="str">
        <f>'Risk Master'!F40</f>
        <v>A11</v>
      </c>
      <c r="D41" s="37" t="str">
        <f>VLOOKUP(C41,'Asset Master'!A:B,2,FALSE)</f>
        <v>Oil Refineries-Mumbai</v>
      </c>
      <c r="E41" s="64">
        <f>'Risk Master'!N40</f>
        <v>100000</v>
      </c>
      <c r="H41" s="66">
        <v>0</v>
      </c>
      <c r="I41" s="29">
        <v>0</v>
      </c>
      <c r="J41" s="66">
        <v>1</v>
      </c>
      <c r="K41" s="29">
        <v>0</v>
      </c>
      <c r="L41" s="66">
        <v>0</v>
      </c>
      <c r="M41" s="29">
        <v>0</v>
      </c>
      <c r="N41" s="66">
        <v>0</v>
      </c>
      <c r="O41" s="29">
        <v>0</v>
      </c>
      <c r="P41" s="66">
        <v>0</v>
      </c>
      <c r="Q41" s="66">
        <v>0</v>
      </c>
    </row>
    <row r="42" spans="1:17" ht="12.95" customHeight="1" x14ac:dyDescent="0.2">
      <c r="A42" s="36" t="s">
        <v>340</v>
      </c>
      <c r="B42" s="37" t="str">
        <f>'Risk Master'!C41&amp;"-"&amp;'Risk Master'!D41</f>
        <v>Typhoon-Mumbai</v>
      </c>
      <c r="C42" s="29" t="str">
        <f>'Risk Master'!F41</f>
        <v>A11</v>
      </c>
      <c r="D42" s="37" t="str">
        <f>VLOOKUP(C42,'Asset Master'!A:B,2,FALSE)</f>
        <v>Oil Refineries-Mumbai</v>
      </c>
      <c r="E42" s="64">
        <f>'Risk Master'!N41</f>
        <v>100000</v>
      </c>
      <c r="H42" s="66">
        <v>0</v>
      </c>
      <c r="I42" s="29">
        <v>0</v>
      </c>
      <c r="J42" s="66">
        <v>0</v>
      </c>
      <c r="K42" s="29">
        <v>1</v>
      </c>
      <c r="L42" s="66">
        <v>0</v>
      </c>
      <c r="M42" s="29">
        <v>0</v>
      </c>
      <c r="N42" s="66">
        <v>0</v>
      </c>
      <c r="O42" s="29">
        <v>0</v>
      </c>
      <c r="P42" s="66">
        <v>1</v>
      </c>
      <c r="Q42" s="66">
        <v>0</v>
      </c>
    </row>
    <row r="43" spans="1:17" ht="12.95" customHeight="1" x14ac:dyDescent="0.2">
      <c r="A43" s="36" t="s">
        <v>341</v>
      </c>
      <c r="B43" s="37" t="str">
        <f>'Risk Master'!C42&amp;"-"&amp;'Risk Master'!D42</f>
        <v>Thunderstorms, Tornados &amp; Hail-Mumbai</v>
      </c>
      <c r="C43" s="29" t="str">
        <f>'Risk Master'!F42</f>
        <v>A11</v>
      </c>
      <c r="D43" s="37" t="str">
        <f>VLOOKUP(C43,'Asset Master'!A:B,2,FALSE)</f>
        <v>Oil Refineries-Mumbai</v>
      </c>
      <c r="E43" s="64">
        <f>'Risk Master'!N42</f>
        <v>100000</v>
      </c>
      <c r="H43" s="66">
        <v>0</v>
      </c>
      <c r="I43" s="29">
        <v>0</v>
      </c>
      <c r="J43" s="66">
        <v>0</v>
      </c>
      <c r="K43" s="29">
        <v>0</v>
      </c>
      <c r="L43" s="66">
        <v>0</v>
      </c>
      <c r="M43" s="29">
        <v>0</v>
      </c>
      <c r="N43" s="66">
        <v>0</v>
      </c>
      <c r="O43" s="29">
        <v>0</v>
      </c>
      <c r="P43" s="29">
        <v>0</v>
      </c>
      <c r="Q43" s="66">
        <v>1</v>
      </c>
    </row>
    <row r="44" spans="1:17" ht="12.95" customHeight="1" x14ac:dyDescent="0.2">
      <c r="A44" s="36" t="s">
        <v>342</v>
      </c>
      <c r="B44" s="37" t="str">
        <f>'Risk Master'!C43&amp;"-"&amp;'Risk Master'!D43</f>
        <v>Tsunami-Mumbai</v>
      </c>
      <c r="C44" s="29" t="str">
        <f>'Risk Master'!F43</f>
        <v>A11</v>
      </c>
      <c r="D44" s="37" t="str">
        <f>VLOOKUP(C44,'Asset Master'!A:B,2,FALSE)</f>
        <v>Oil Refineries-Mumbai</v>
      </c>
      <c r="E44" s="64">
        <f>'Risk Master'!N43</f>
        <v>100000</v>
      </c>
      <c r="H44" s="66">
        <v>0</v>
      </c>
      <c r="I44" s="29">
        <v>1</v>
      </c>
      <c r="J44" s="66">
        <v>0</v>
      </c>
      <c r="K44" s="29">
        <v>0</v>
      </c>
      <c r="L44" s="66">
        <v>0</v>
      </c>
      <c r="M44" s="29">
        <v>1</v>
      </c>
      <c r="N44" s="66">
        <v>0</v>
      </c>
      <c r="O44" s="29">
        <v>0</v>
      </c>
      <c r="P44" s="29">
        <v>1</v>
      </c>
      <c r="Q44" s="66">
        <v>0</v>
      </c>
    </row>
    <row r="45" spans="1:17" ht="12.95" customHeight="1" x14ac:dyDescent="0.2">
      <c r="A45" s="36" t="s">
        <v>343</v>
      </c>
      <c r="B45" s="37" t="str">
        <f>'Risk Master'!C44&amp;"-"&amp;'Risk Master'!D44</f>
        <v>Flood-Mumbai</v>
      </c>
      <c r="C45" s="29" t="str">
        <f>'Risk Master'!F44</f>
        <v>A12</v>
      </c>
      <c r="D45" s="37" t="str">
        <f>VLOOKUP(C45,'Asset Master'!A:B,2,FALSE)</f>
        <v>Telecom Towers-Mumbai</v>
      </c>
      <c r="E45" s="64">
        <f>'Risk Master'!N44</f>
        <v>50000</v>
      </c>
      <c r="H45" s="66">
        <v>0</v>
      </c>
      <c r="I45" s="29">
        <v>0</v>
      </c>
      <c r="J45" s="66">
        <v>0</v>
      </c>
      <c r="K45" s="29">
        <v>0</v>
      </c>
      <c r="L45" s="66">
        <v>0</v>
      </c>
      <c r="M45" s="29">
        <v>0</v>
      </c>
      <c r="N45" s="66">
        <v>0</v>
      </c>
      <c r="O45" s="29">
        <v>0</v>
      </c>
      <c r="P45" s="29">
        <v>0</v>
      </c>
      <c r="Q45" s="66">
        <v>1</v>
      </c>
    </row>
    <row r="46" spans="1:17" ht="12.95" customHeight="1" x14ac:dyDescent="0.2">
      <c r="A46" s="36" t="s">
        <v>344</v>
      </c>
      <c r="B46" s="37" t="str">
        <f>'Risk Master'!C45&amp;"-"&amp;'Risk Master'!D45</f>
        <v>Earthquake-Mumbai</v>
      </c>
      <c r="C46" s="29" t="str">
        <f>'Risk Master'!F45</f>
        <v>A12</v>
      </c>
      <c r="D46" s="37" t="str">
        <f>VLOOKUP(C46,'Asset Master'!A:B,2,FALSE)</f>
        <v>Telecom Towers-Mumbai</v>
      </c>
      <c r="E46" s="64">
        <f>'Risk Master'!N45</f>
        <v>50000</v>
      </c>
      <c r="H46" s="66">
        <v>0</v>
      </c>
      <c r="I46" s="29">
        <v>0</v>
      </c>
      <c r="J46" s="66">
        <v>0</v>
      </c>
      <c r="K46" s="29">
        <v>0</v>
      </c>
      <c r="L46" s="66">
        <v>0</v>
      </c>
      <c r="M46" s="29">
        <v>0</v>
      </c>
      <c r="N46" s="66">
        <v>0</v>
      </c>
      <c r="O46" s="29">
        <v>0</v>
      </c>
      <c r="P46" s="29">
        <v>0</v>
      </c>
      <c r="Q46" s="66">
        <v>0</v>
      </c>
    </row>
    <row r="47" spans="1:17" ht="12.95" customHeight="1" x14ac:dyDescent="0.2">
      <c r="A47" s="36" t="s">
        <v>345</v>
      </c>
      <c r="B47" s="37" t="str">
        <f>'Risk Master'!C46&amp;"-"&amp;'Risk Master'!D46</f>
        <v>Fire-Mumbai</v>
      </c>
      <c r="C47" s="29" t="str">
        <f>'Risk Master'!F46</f>
        <v>A12</v>
      </c>
      <c r="D47" s="37" t="str">
        <f>VLOOKUP(C47,'Asset Master'!A:B,2,FALSE)</f>
        <v>Telecom Towers-Mumbai</v>
      </c>
      <c r="E47" s="64">
        <f>'Risk Master'!N46</f>
        <v>50000</v>
      </c>
      <c r="H47" s="66">
        <v>0</v>
      </c>
      <c r="I47" s="29">
        <v>0</v>
      </c>
      <c r="J47" s="66">
        <v>0</v>
      </c>
      <c r="K47" s="29">
        <v>0</v>
      </c>
      <c r="L47" s="66">
        <v>0</v>
      </c>
      <c r="M47" s="29">
        <v>0</v>
      </c>
      <c r="N47" s="66">
        <v>1</v>
      </c>
      <c r="O47" s="29">
        <v>0</v>
      </c>
      <c r="P47" s="29">
        <v>0</v>
      </c>
      <c r="Q47" s="66">
        <v>1</v>
      </c>
    </row>
    <row r="48" spans="1:17" ht="12.95" customHeight="1" x14ac:dyDescent="0.2">
      <c r="A48" s="36" t="s">
        <v>346</v>
      </c>
      <c r="B48" s="37" t="str">
        <f>'Risk Master'!C47&amp;"-"&amp;'Risk Master'!D47</f>
        <v>Typhoon-Mumbai</v>
      </c>
      <c r="C48" s="29" t="str">
        <f>'Risk Master'!F47</f>
        <v>A12</v>
      </c>
      <c r="D48" s="37" t="str">
        <f>VLOOKUP(C48,'Asset Master'!A:B,2,FALSE)</f>
        <v>Telecom Towers-Mumbai</v>
      </c>
      <c r="E48" s="64">
        <f>'Risk Master'!N47</f>
        <v>50000</v>
      </c>
      <c r="H48" s="66">
        <v>0</v>
      </c>
      <c r="I48" s="29">
        <v>0</v>
      </c>
      <c r="J48" s="66">
        <v>0</v>
      </c>
      <c r="K48" s="29">
        <v>0</v>
      </c>
      <c r="L48" s="66">
        <v>0</v>
      </c>
      <c r="M48" s="29">
        <v>0</v>
      </c>
      <c r="N48" s="66">
        <v>0</v>
      </c>
      <c r="O48" s="29">
        <v>0</v>
      </c>
      <c r="P48" s="29">
        <v>0</v>
      </c>
      <c r="Q48" s="66">
        <v>0</v>
      </c>
    </row>
    <row r="49" spans="1:17" ht="12.95" customHeight="1" x14ac:dyDescent="0.2">
      <c r="A49" s="36" t="s">
        <v>347</v>
      </c>
      <c r="B49" s="37" t="str">
        <f>'Risk Master'!C48&amp;"-"&amp;'Risk Master'!D48</f>
        <v>Thunderstorms, Tornados &amp; Hail-Mumbai</v>
      </c>
      <c r="C49" s="29" t="str">
        <f>'Risk Master'!F48</f>
        <v>A12</v>
      </c>
      <c r="D49" s="37" t="str">
        <f>VLOOKUP(C49,'Asset Master'!A:B,2,FALSE)</f>
        <v>Telecom Towers-Mumbai</v>
      </c>
      <c r="E49" s="64">
        <f>'Risk Master'!N48</f>
        <v>50000</v>
      </c>
      <c r="H49" s="66">
        <v>0</v>
      </c>
      <c r="I49" s="29">
        <v>0</v>
      </c>
      <c r="J49" s="66">
        <v>1</v>
      </c>
      <c r="K49" s="29">
        <v>1</v>
      </c>
      <c r="L49" s="66">
        <v>0</v>
      </c>
      <c r="M49" s="29">
        <v>0</v>
      </c>
      <c r="N49" s="66">
        <v>0</v>
      </c>
      <c r="O49" s="29">
        <v>1</v>
      </c>
      <c r="P49" s="29">
        <v>0</v>
      </c>
      <c r="Q49" s="66">
        <v>0</v>
      </c>
    </row>
    <row r="50" spans="1:17" ht="12.95" customHeight="1" x14ac:dyDescent="0.2">
      <c r="A50" s="36" t="s">
        <v>348</v>
      </c>
      <c r="B50" s="37" t="str">
        <f>'Risk Master'!C49&amp;"-"&amp;'Risk Master'!D49</f>
        <v>Tsunami-Mumbai</v>
      </c>
      <c r="C50" s="29" t="str">
        <f>'Risk Master'!F49</f>
        <v>A12</v>
      </c>
      <c r="D50" s="37" t="str">
        <f>VLOOKUP(C50,'Asset Master'!A:B,2,FALSE)</f>
        <v>Telecom Towers-Mumbai</v>
      </c>
      <c r="E50" s="64">
        <f>'Risk Master'!N49</f>
        <v>50000</v>
      </c>
      <c r="H50" s="66">
        <v>0</v>
      </c>
      <c r="I50" s="29">
        <v>0</v>
      </c>
      <c r="J50" s="66">
        <v>0</v>
      </c>
      <c r="K50" s="29">
        <v>0</v>
      </c>
      <c r="L50" s="66">
        <v>0</v>
      </c>
      <c r="M50" s="29">
        <v>0</v>
      </c>
      <c r="N50" s="66">
        <v>0</v>
      </c>
      <c r="O50" s="66">
        <v>1</v>
      </c>
      <c r="P50" s="29">
        <v>0</v>
      </c>
      <c r="Q50" s="66">
        <v>1</v>
      </c>
    </row>
    <row r="51" spans="1:17" ht="12.95" customHeight="1" x14ac:dyDescent="0.2">
      <c r="A51" s="36" t="s">
        <v>349</v>
      </c>
      <c r="B51" s="37" t="str">
        <f>'Risk Master'!C50&amp;"-"&amp;'Risk Master'!D50</f>
        <v>Flood-Mumbai</v>
      </c>
      <c r="C51" s="29" t="str">
        <f>'Risk Master'!F50</f>
        <v>A13</v>
      </c>
      <c r="D51" s="37" t="str">
        <f>VLOOKUP(C51,'Asset Master'!A:B,2,FALSE)</f>
        <v>Aircrafts-Mumbai</v>
      </c>
      <c r="E51" s="64">
        <f>'Risk Master'!N50</f>
        <v>20000</v>
      </c>
      <c r="H51" s="66">
        <v>0</v>
      </c>
      <c r="I51" s="29">
        <v>1</v>
      </c>
      <c r="J51" s="66">
        <v>0</v>
      </c>
      <c r="K51" s="29">
        <v>1</v>
      </c>
      <c r="L51" s="66">
        <v>0</v>
      </c>
      <c r="M51" s="29">
        <v>0</v>
      </c>
      <c r="N51" s="66">
        <v>0</v>
      </c>
      <c r="O51" s="66">
        <v>0</v>
      </c>
      <c r="P51" s="29">
        <v>0</v>
      </c>
      <c r="Q51" s="66">
        <v>0</v>
      </c>
    </row>
    <row r="52" spans="1:17" ht="12.95" customHeight="1" x14ac:dyDescent="0.2">
      <c r="A52" s="36" t="s">
        <v>350</v>
      </c>
      <c r="B52" s="37" t="str">
        <f>'Risk Master'!C51&amp;"-"&amp;'Risk Master'!D51</f>
        <v>Earthquake-Mumbai</v>
      </c>
      <c r="C52" s="29" t="str">
        <f>'Risk Master'!F51</f>
        <v>A13</v>
      </c>
      <c r="D52" s="37" t="str">
        <f>VLOOKUP(C52,'Asset Master'!A:B,2,FALSE)</f>
        <v>Aircrafts-Mumbai</v>
      </c>
      <c r="E52" s="64">
        <f>'Risk Master'!N51</f>
        <v>20000</v>
      </c>
      <c r="H52" s="66">
        <v>0</v>
      </c>
      <c r="I52" s="29">
        <v>1</v>
      </c>
      <c r="J52" s="66">
        <v>1</v>
      </c>
      <c r="K52" s="29">
        <v>1</v>
      </c>
      <c r="L52" s="66">
        <v>0</v>
      </c>
      <c r="M52" s="29">
        <v>0</v>
      </c>
      <c r="N52" s="66">
        <v>0</v>
      </c>
      <c r="O52" s="66">
        <v>1</v>
      </c>
      <c r="P52" s="29">
        <v>0</v>
      </c>
      <c r="Q52" s="66">
        <v>0</v>
      </c>
    </row>
    <row r="53" spans="1:17" ht="12.95" customHeight="1" x14ac:dyDescent="0.2">
      <c r="A53" s="36" t="s">
        <v>351</v>
      </c>
      <c r="B53" s="37" t="str">
        <f>'Risk Master'!C52&amp;"-"&amp;'Risk Master'!D52</f>
        <v>Fire-Mumbai</v>
      </c>
      <c r="C53" s="29" t="str">
        <f>'Risk Master'!F52</f>
        <v>A13</v>
      </c>
      <c r="D53" s="37" t="str">
        <f>VLOOKUP(C53,'Asset Master'!A:B,2,FALSE)</f>
        <v>Aircrafts-Mumbai</v>
      </c>
      <c r="E53" s="64">
        <f>'Risk Master'!N52</f>
        <v>20000</v>
      </c>
      <c r="H53" s="66">
        <v>0</v>
      </c>
      <c r="I53" s="29">
        <v>0</v>
      </c>
      <c r="J53" s="66">
        <v>0</v>
      </c>
      <c r="K53" s="29">
        <v>0</v>
      </c>
      <c r="L53" s="66">
        <v>0</v>
      </c>
      <c r="M53" s="29">
        <v>0</v>
      </c>
      <c r="N53" s="66">
        <v>0</v>
      </c>
      <c r="O53" s="66">
        <v>0</v>
      </c>
      <c r="P53" s="29">
        <v>0</v>
      </c>
      <c r="Q53" s="66">
        <v>0</v>
      </c>
    </row>
    <row r="54" spans="1:17" ht="12.95" customHeight="1" x14ac:dyDescent="0.2">
      <c r="A54" s="36" t="s">
        <v>352</v>
      </c>
      <c r="B54" s="37" t="str">
        <f>'Risk Master'!C53&amp;"-"&amp;'Risk Master'!D53</f>
        <v>Typhoon-Mumbai</v>
      </c>
      <c r="C54" s="29" t="str">
        <f>'Risk Master'!F53</f>
        <v>A13</v>
      </c>
      <c r="D54" s="37" t="str">
        <f>VLOOKUP(C54,'Asset Master'!A:B,2,FALSE)</f>
        <v>Aircrafts-Mumbai</v>
      </c>
      <c r="E54" s="64">
        <f>'Risk Master'!N53</f>
        <v>20000</v>
      </c>
      <c r="H54" s="66">
        <v>1</v>
      </c>
      <c r="I54" s="29">
        <v>1</v>
      </c>
      <c r="J54" s="66">
        <v>1</v>
      </c>
      <c r="K54" s="29">
        <v>0</v>
      </c>
      <c r="L54" s="66">
        <v>1</v>
      </c>
      <c r="M54" s="29">
        <v>0</v>
      </c>
      <c r="N54" s="66">
        <v>0</v>
      </c>
      <c r="O54" s="66">
        <v>1</v>
      </c>
      <c r="P54" s="29">
        <v>0</v>
      </c>
      <c r="Q54" s="66">
        <v>0</v>
      </c>
    </row>
    <row r="55" spans="1:17" ht="12.95" customHeight="1" x14ac:dyDescent="0.2">
      <c r="A55" s="36" t="s">
        <v>353</v>
      </c>
      <c r="B55" s="37" t="str">
        <f>'Risk Master'!C54&amp;"-"&amp;'Risk Master'!D54</f>
        <v>Thunderstorms, Tornados &amp; Hail-Mumbai</v>
      </c>
      <c r="C55" s="29" t="str">
        <f>'Risk Master'!F54</f>
        <v>A13</v>
      </c>
      <c r="D55" s="37" t="str">
        <f>VLOOKUP(C55,'Asset Master'!A:B,2,FALSE)</f>
        <v>Aircrafts-Mumbai</v>
      </c>
      <c r="E55" s="64">
        <f>'Risk Master'!N54</f>
        <v>20000</v>
      </c>
      <c r="H55" s="66">
        <v>0</v>
      </c>
      <c r="I55" s="29">
        <v>0</v>
      </c>
      <c r="J55" s="66">
        <v>0</v>
      </c>
      <c r="K55" s="29">
        <v>0</v>
      </c>
      <c r="L55" s="66">
        <v>1</v>
      </c>
      <c r="M55" s="29">
        <v>0</v>
      </c>
      <c r="N55" s="66">
        <v>0</v>
      </c>
      <c r="O55" s="66">
        <v>0</v>
      </c>
      <c r="P55" s="29">
        <v>0</v>
      </c>
      <c r="Q55" s="66">
        <v>0</v>
      </c>
    </row>
    <row r="56" spans="1:17" ht="12.95" customHeight="1" x14ac:dyDescent="0.2">
      <c r="A56" s="36" t="s">
        <v>354</v>
      </c>
      <c r="B56" s="37" t="str">
        <f>'Risk Master'!C55&amp;"-"&amp;'Risk Master'!D55</f>
        <v>Tsunami-Mumbai</v>
      </c>
      <c r="C56" s="29" t="str">
        <f>'Risk Master'!F55</f>
        <v>A13</v>
      </c>
      <c r="D56" s="37" t="str">
        <f>VLOOKUP(C56,'Asset Master'!A:B,2,FALSE)</f>
        <v>Aircrafts-Mumbai</v>
      </c>
      <c r="E56" s="64">
        <f>'Risk Master'!N55</f>
        <v>20000</v>
      </c>
      <c r="H56" s="66">
        <v>0</v>
      </c>
      <c r="I56" s="29">
        <v>0</v>
      </c>
      <c r="J56" s="66">
        <v>0</v>
      </c>
      <c r="K56" s="29">
        <v>0</v>
      </c>
      <c r="L56" s="66">
        <v>1</v>
      </c>
      <c r="M56" s="29">
        <v>0</v>
      </c>
      <c r="N56" s="66">
        <v>0</v>
      </c>
      <c r="O56" s="66">
        <v>1</v>
      </c>
      <c r="P56" s="29">
        <v>0</v>
      </c>
      <c r="Q56" s="66">
        <v>0</v>
      </c>
    </row>
    <row r="57" spans="1:17" ht="12.95" customHeight="1" x14ac:dyDescent="0.2">
      <c r="A57" s="36" t="s">
        <v>355</v>
      </c>
      <c r="B57" s="37" t="str">
        <f>'Risk Master'!C56&amp;"-"&amp;'Risk Master'!D56</f>
        <v>Flood-Mumbai</v>
      </c>
      <c r="C57" s="29" t="str">
        <f>'Risk Master'!F56</f>
        <v>A14</v>
      </c>
      <c r="D57" s="37" t="str">
        <f>VLOOKUP(C57,'Asset Master'!A:B,2,FALSE)</f>
        <v>Ships &amp; Cargo-Mumbai</v>
      </c>
      <c r="E57" s="64">
        <f>'Risk Master'!N56</f>
        <v>30000</v>
      </c>
      <c r="H57" s="66">
        <v>1</v>
      </c>
      <c r="I57" s="29">
        <v>1</v>
      </c>
      <c r="J57" s="66">
        <v>0</v>
      </c>
      <c r="K57" s="29">
        <v>0</v>
      </c>
      <c r="L57" s="66">
        <v>0</v>
      </c>
      <c r="M57" s="29">
        <v>1</v>
      </c>
      <c r="N57" s="66">
        <v>0</v>
      </c>
      <c r="O57" s="66">
        <v>0</v>
      </c>
      <c r="P57" s="29">
        <v>1</v>
      </c>
      <c r="Q57" s="66">
        <v>1</v>
      </c>
    </row>
    <row r="58" spans="1:17" ht="12.95" customHeight="1" x14ac:dyDescent="0.2">
      <c r="A58" s="36" t="s">
        <v>356</v>
      </c>
      <c r="B58" s="37" t="str">
        <f>'Risk Master'!C57&amp;"-"&amp;'Risk Master'!D57</f>
        <v>Earthquake-Mumbai</v>
      </c>
      <c r="C58" s="29" t="str">
        <f>'Risk Master'!F57</f>
        <v>A14</v>
      </c>
      <c r="D58" s="37" t="str">
        <f>VLOOKUP(C58,'Asset Master'!A:B,2,FALSE)</f>
        <v>Ships &amp; Cargo-Mumbai</v>
      </c>
      <c r="E58" s="64">
        <f>'Risk Master'!N57</f>
        <v>30000</v>
      </c>
      <c r="H58" s="66">
        <v>0</v>
      </c>
      <c r="I58" s="29">
        <v>0</v>
      </c>
      <c r="J58" s="66">
        <v>1</v>
      </c>
      <c r="K58" s="29">
        <v>0</v>
      </c>
      <c r="L58" s="66">
        <v>0</v>
      </c>
      <c r="M58" s="29">
        <v>0</v>
      </c>
      <c r="N58" s="66">
        <v>0</v>
      </c>
      <c r="O58" s="66">
        <v>1</v>
      </c>
      <c r="P58" s="29">
        <v>0</v>
      </c>
      <c r="Q58" s="66">
        <v>0</v>
      </c>
    </row>
    <row r="59" spans="1:17" ht="12.95" customHeight="1" x14ac:dyDescent="0.2">
      <c r="A59" s="36" t="s">
        <v>357</v>
      </c>
      <c r="B59" s="37" t="str">
        <f>'Risk Master'!C58&amp;"-"&amp;'Risk Master'!D58</f>
        <v>Fire-Mumbai</v>
      </c>
      <c r="C59" s="29" t="str">
        <f>'Risk Master'!F58</f>
        <v>A14</v>
      </c>
      <c r="D59" s="37" t="str">
        <f>VLOOKUP(C59,'Asset Master'!A:B,2,FALSE)</f>
        <v>Ships &amp; Cargo-Mumbai</v>
      </c>
      <c r="E59" s="64">
        <f>'Risk Master'!N58</f>
        <v>30000</v>
      </c>
      <c r="H59" s="66">
        <v>0</v>
      </c>
      <c r="I59" s="29">
        <v>0</v>
      </c>
      <c r="J59" s="66">
        <v>0</v>
      </c>
      <c r="K59" s="29">
        <v>0</v>
      </c>
      <c r="L59" s="66">
        <v>0</v>
      </c>
      <c r="M59" s="29">
        <v>0</v>
      </c>
      <c r="N59" s="66">
        <v>0</v>
      </c>
      <c r="O59" s="66">
        <v>0</v>
      </c>
      <c r="P59" s="29">
        <v>0</v>
      </c>
      <c r="Q59" s="66">
        <v>1</v>
      </c>
    </row>
    <row r="60" spans="1:17" ht="12.95" customHeight="1" x14ac:dyDescent="0.2">
      <c r="A60" s="36" t="s">
        <v>358</v>
      </c>
      <c r="B60" s="37" t="str">
        <f>'Risk Master'!C59&amp;"-"&amp;'Risk Master'!D59</f>
        <v>Typhoon-Mumbai</v>
      </c>
      <c r="C60" s="29" t="str">
        <f>'Risk Master'!F59</f>
        <v>A14</v>
      </c>
      <c r="D60" s="37" t="str">
        <f>VLOOKUP(C60,'Asset Master'!A:B,2,FALSE)</f>
        <v>Ships &amp; Cargo-Mumbai</v>
      </c>
      <c r="E60" s="64">
        <f>'Risk Master'!N59</f>
        <v>30000</v>
      </c>
      <c r="H60" s="66">
        <v>1</v>
      </c>
      <c r="I60" s="29">
        <v>1</v>
      </c>
      <c r="J60" s="66">
        <v>1</v>
      </c>
      <c r="K60" s="29">
        <v>0</v>
      </c>
      <c r="L60" s="66">
        <v>0</v>
      </c>
      <c r="M60" s="29">
        <v>1</v>
      </c>
      <c r="N60" s="66">
        <v>0</v>
      </c>
      <c r="O60" s="66">
        <v>0</v>
      </c>
      <c r="P60" s="29">
        <v>1</v>
      </c>
      <c r="Q60" s="66">
        <v>0</v>
      </c>
    </row>
    <row r="61" spans="1:17" ht="12.95" customHeight="1" x14ac:dyDescent="0.2">
      <c r="A61" s="36" t="s">
        <v>359</v>
      </c>
      <c r="B61" s="37" t="str">
        <f>'Risk Master'!C60&amp;"-"&amp;'Risk Master'!D60</f>
        <v>Thunderstorms, Tornados &amp; Hail-Mumbai</v>
      </c>
      <c r="C61" s="29" t="str">
        <f>'Risk Master'!F60</f>
        <v>A14</v>
      </c>
      <c r="D61" s="37" t="str">
        <f>VLOOKUP(C61,'Asset Master'!A:B,2,FALSE)</f>
        <v>Ships &amp; Cargo-Mumbai</v>
      </c>
      <c r="E61" s="64">
        <f>'Risk Master'!N60</f>
        <v>30000</v>
      </c>
      <c r="H61" s="66">
        <v>0</v>
      </c>
      <c r="I61" s="29">
        <v>0</v>
      </c>
      <c r="J61" s="66">
        <v>0</v>
      </c>
      <c r="K61" s="29">
        <v>0</v>
      </c>
      <c r="L61" s="66">
        <v>0</v>
      </c>
      <c r="M61" s="29">
        <v>0</v>
      </c>
      <c r="N61" s="66">
        <v>0</v>
      </c>
      <c r="O61" s="66">
        <v>0</v>
      </c>
      <c r="P61" s="29">
        <v>0</v>
      </c>
      <c r="Q61" s="66">
        <v>1</v>
      </c>
    </row>
    <row r="62" spans="1:17" ht="12.95" customHeight="1" x14ac:dyDescent="0.2">
      <c r="A62" s="36" t="s">
        <v>360</v>
      </c>
      <c r="B62" s="37" t="str">
        <f>'Risk Master'!C61&amp;"-"&amp;'Risk Master'!D61</f>
        <v>Tsunami-Mumbai</v>
      </c>
      <c r="C62" s="29" t="str">
        <f>'Risk Master'!F61</f>
        <v>A14</v>
      </c>
      <c r="D62" s="37" t="str">
        <f>VLOOKUP(C62,'Asset Master'!A:B,2,FALSE)</f>
        <v>Ships &amp; Cargo-Mumbai</v>
      </c>
      <c r="E62" s="64">
        <f>'Risk Master'!N61</f>
        <v>30000</v>
      </c>
      <c r="H62" s="66">
        <v>0</v>
      </c>
      <c r="I62" s="29">
        <v>0</v>
      </c>
      <c r="J62" s="66">
        <v>0</v>
      </c>
      <c r="K62" s="29">
        <v>0</v>
      </c>
      <c r="L62" s="66">
        <v>1</v>
      </c>
      <c r="M62" s="29">
        <v>0</v>
      </c>
      <c r="N62" s="66">
        <v>0</v>
      </c>
      <c r="O62" s="66">
        <v>0</v>
      </c>
      <c r="P62" s="29">
        <v>0</v>
      </c>
      <c r="Q62" s="66">
        <v>0</v>
      </c>
    </row>
    <row r="63" spans="1:17" ht="12.95" customHeight="1" x14ac:dyDescent="0.2">
      <c r="A63" s="36" t="s">
        <v>361</v>
      </c>
      <c r="B63" s="37" t="str">
        <f>'Risk Master'!C62&amp;"-"&amp;'Risk Master'!D62</f>
        <v>Flood-Mumbai</v>
      </c>
      <c r="C63" s="29" t="str">
        <f>'Risk Master'!F62</f>
        <v>A15</v>
      </c>
      <c r="D63" s="37" t="str">
        <f>VLOOKUP(C63,'Asset Master'!A:B,2,FALSE)</f>
        <v>Fleets &amp; Cars-Mumbai</v>
      </c>
      <c r="E63" s="64">
        <f>'Risk Master'!N62</f>
        <v>20000</v>
      </c>
      <c r="H63" s="66">
        <v>0</v>
      </c>
      <c r="I63" s="29">
        <v>1</v>
      </c>
      <c r="J63" s="66">
        <v>0</v>
      </c>
      <c r="K63" s="29">
        <v>0</v>
      </c>
      <c r="L63" s="66">
        <v>0</v>
      </c>
      <c r="M63" s="29">
        <v>0</v>
      </c>
      <c r="N63" s="66">
        <v>0</v>
      </c>
      <c r="O63" s="66">
        <v>0</v>
      </c>
      <c r="P63" s="29">
        <v>1</v>
      </c>
      <c r="Q63" s="66">
        <v>0</v>
      </c>
    </row>
    <row r="64" spans="1:17" ht="12.95" customHeight="1" x14ac:dyDescent="0.2">
      <c r="A64" s="36" t="s">
        <v>362</v>
      </c>
      <c r="B64" s="37" t="str">
        <f>'Risk Master'!C63&amp;"-"&amp;'Risk Master'!D63</f>
        <v>Earthquake-Mumbai</v>
      </c>
      <c r="C64" s="29" t="str">
        <f>'Risk Master'!F63</f>
        <v>A15</v>
      </c>
      <c r="D64" s="37" t="str">
        <f>VLOOKUP(C64,'Asset Master'!A:B,2,FALSE)</f>
        <v>Fleets &amp; Cars-Mumbai</v>
      </c>
      <c r="E64" s="64">
        <f>'Risk Master'!N63</f>
        <v>20000</v>
      </c>
      <c r="H64" s="66">
        <v>1</v>
      </c>
      <c r="I64" s="29">
        <v>0</v>
      </c>
      <c r="J64" s="66">
        <v>0</v>
      </c>
      <c r="K64" s="29">
        <v>0</v>
      </c>
      <c r="L64" s="66">
        <v>0</v>
      </c>
      <c r="M64" s="29">
        <v>1</v>
      </c>
      <c r="N64" s="66">
        <v>0</v>
      </c>
      <c r="O64" s="66">
        <v>0</v>
      </c>
      <c r="P64" s="29">
        <v>1</v>
      </c>
      <c r="Q64" s="66">
        <v>1</v>
      </c>
    </row>
    <row r="65" spans="1:17" ht="12.95" customHeight="1" x14ac:dyDescent="0.2">
      <c r="A65" s="36" t="s">
        <v>363</v>
      </c>
      <c r="B65" s="37" t="str">
        <f>'Risk Master'!C64&amp;"-"&amp;'Risk Master'!D64</f>
        <v>Fire-Mumbai</v>
      </c>
      <c r="C65" s="29" t="str">
        <f>'Risk Master'!F64</f>
        <v>A15</v>
      </c>
      <c r="D65" s="37" t="str">
        <f>VLOOKUP(C65,'Asset Master'!A:B,2,FALSE)</f>
        <v>Fleets &amp; Cars-Mumbai</v>
      </c>
      <c r="E65" s="64">
        <f>'Risk Master'!N64</f>
        <v>20000</v>
      </c>
      <c r="H65" s="66">
        <v>0</v>
      </c>
      <c r="I65" s="29">
        <v>1</v>
      </c>
      <c r="J65" s="66">
        <v>0</v>
      </c>
      <c r="K65" s="29">
        <v>0</v>
      </c>
      <c r="L65" s="66">
        <v>0</v>
      </c>
      <c r="M65" s="29">
        <v>0</v>
      </c>
      <c r="N65" s="66">
        <v>0</v>
      </c>
      <c r="O65" s="66">
        <v>0</v>
      </c>
      <c r="P65" s="29">
        <v>1</v>
      </c>
      <c r="Q65" s="66">
        <v>0</v>
      </c>
    </row>
    <row r="66" spans="1:17" ht="12.95" customHeight="1" x14ac:dyDescent="0.2">
      <c r="A66" s="36" t="s">
        <v>364</v>
      </c>
      <c r="B66" s="37" t="str">
        <f>'Risk Master'!C65&amp;"-"&amp;'Risk Master'!D65</f>
        <v>Typhoon-Mumbai</v>
      </c>
      <c r="C66" s="29" t="str">
        <f>'Risk Master'!F65</f>
        <v>A15</v>
      </c>
      <c r="D66" s="37" t="str">
        <f>VLOOKUP(C66,'Asset Master'!A:B,2,FALSE)</f>
        <v>Fleets &amp; Cars-Mumbai</v>
      </c>
      <c r="E66" s="64">
        <f>'Risk Master'!N65</f>
        <v>20000</v>
      </c>
      <c r="H66" s="66">
        <v>0</v>
      </c>
      <c r="I66" s="29">
        <v>0</v>
      </c>
      <c r="J66" s="66">
        <v>0</v>
      </c>
      <c r="K66" s="29">
        <v>0</v>
      </c>
      <c r="L66" s="66">
        <v>0</v>
      </c>
      <c r="M66" s="29">
        <v>0</v>
      </c>
      <c r="N66" s="66">
        <v>1</v>
      </c>
      <c r="O66" s="29">
        <v>0</v>
      </c>
      <c r="P66" s="29">
        <v>0</v>
      </c>
      <c r="Q66" s="66">
        <v>0</v>
      </c>
    </row>
    <row r="67" spans="1:17" ht="12.95" customHeight="1" x14ac:dyDescent="0.2">
      <c r="A67" s="36" t="s">
        <v>365</v>
      </c>
      <c r="B67" s="37" t="str">
        <f>'Risk Master'!C66&amp;"-"&amp;'Risk Master'!D66</f>
        <v>Thunderstorms, Tornados &amp; Hail-Mumbai</v>
      </c>
      <c r="C67" s="29" t="str">
        <f>'Risk Master'!F66</f>
        <v>A15</v>
      </c>
      <c r="D67" s="37" t="str">
        <f>VLOOKUP(C67,'Asset Master'!A:B,2,FALSE)</f>
        <v>Fleets &amp; Cars-Mumbai</v>
      </c>
      <c r="E67" s="64">
        <f>'Risk Master'!N66</f>
        <v>20000</v>
      </c>
      <c r="H67" s="66">
        <v>1</v>
      </c>
      <c r="I67" s="29">
        <v>0</v>
      </c>
      <c r="J67" s="66">
        <v>0</v>
      </c>
      <c r="K67" s="29">
        <v>0</v>
      </c>
      <c r="L67" s="66">
        <v>0</v>
      </c>
      <c r="M67" s="29">
        <v>0</v>
      </c>
      <c r="N67" s="66">
        <v>0</v>
      </c>
      <c r="O67" s="29">
        <v>0</v>
      </c>
      <c r="P67" s="29">
        <v>0</v>
      </c>
      <c r="Q67" s="66">
        <v>0</v>
      </c>
    </row>
    <row r="68" spans="1:17" ht="12.95" customHeight="1" x14ac:dyDescent="0.2">
      <c r="A68" s="36" t="s">
        <v>366</v>
      </c>
      <c r="B68" s="37" t="str">
        <f>'Risk Master'!C67&amp;"-"&amp;'Risk Master'!D67</f>
        <v>Tsunami-Mumbai</v>
      </c>
      <c r="C68" s="29" t="str">
        <f>'Risk Master'!F67</f>
        <v>A15</v>
      </c>
      <c r="D68" s="37" t="str">
        <f>VLOOKUP(C68,'Asset Master'!A:B,2,FALSE)</f>
        <v>Fleets &amp; Cars-Mumbai</v>
      </c>
      <c r="E68" s="64">
        <f>'Risk Master'!N67</f>
        <v>20000</v>
      </c>
      <c r="H68" s="66">
        <v>0</v>
      </c>
      <c r="I68" s="29">
        <v>1</v>
      </c>
      <c r="J68" s="66">
        <v>0</v>
      </c>
      <c r="K68" s="29">
        <v>0</v>
      </c>
      <c r="L68" s="66">
        <v>1</v>
      </c>
      <c r="M68" s="29">
        <v>0</v>
      </c>
      <c r="N68" s="66">
        <v>0</v>
      </c>
      <c r="O68" s="29">
        <v>0</v>
      </c>
      <c r="P68" s="29">
        <v>1</v>
      </c>
      <c r="Q68" s="66">
        <v>0</v>
      </c>
    </row>
    <row r="69" spans="1:17" ht="12.95" customHeight="1" x14ac:dyDescent="0.2">
      <c r="A69" s="36" t="s">
        <v>367</v>
      </c>
      <c r="B69" s="37" t="str">
        <f>'Risk Master'!C68&amp;"-"&amp;'Risk Master'!D68</f>
        <v>Hurricane-Typhoon -Germany</v>
      </c>
      <c r="C69" s="29" t="str">
        <f>'Risk Master'!F68</f>
        <v>A16</v>
      </c>
      <c r="D69" s="37" t="str">
        <f>VLOOKUP(C69,'Asset Master'!A:B,2,FALSE)</f>
        <v>Heavy Machinery-Germany</v>
      </c>
      <c r="E69" s="64">
        <f>'Risk Master'!N68</f>
        <v>30000</v>
      </c>
      <c r="H69" s="66">
        <v>0</v>
      </c>
      <c r="I69" s="29">
        <v>0</v>
      </c>
      <c r="J69" s="66">
        <v>0</v>
      </c>
      <c r="K69" s="29">
        <v>0</v>
      </c>
      <c r="L69" s="66">
        <v>0</v>
      </c>
      <c r="M69" s="29">
        <v>0</v>
      </c>
      <c r="N69" s="66">
        <v>0</v>
      </c>
      <c r="O69" s="29">
        <v>0</v>
      </c>
      <c r="P69" s="29">
        <v>0</v>
      </c>
      <c r="Q69" s="66">
        <v>0</v>
      </c>
    </row>
    <row r="70" spans="1:17" ht="12.95" customHeight="1" x14ac:dyDescent="0.2">
      <c r="A70" s="36" t="s">
        <v>368</v>
      </c>
      <c r="B70" s="37" t="str">
        <f>'Risk Master'!C69&amp;"-"&amp;'Risk Master'!D69</f>
        <v>Earthquake-Germany</v>
      </c>
      <c r="C70" s="29" t="str">
        <f>'Risk Master'!F69</f>
        <v>A16</v>
      </c>
      <c r="D70" s="37" t="str">
        <f>VLOOKUP(C70,'Asset Master'!A:B,2,FALSE)</f>
        <v>Heavy Machinery-Germany</v>
      </c>
      <c r="E70" s="64">
        <f>'Risk Master'!N69</f>
        <v>30000</v>
      </c>
      <c r="H70" s="66">
        <v>0</v>
      </c>
      <c r="I70" s="29">
        <v>1</v>
      </c>
      <c r="J70" s="66">
        <v>0</v>
      </c>
      <c r="K70" s="29">
        <v>0</v>
      </c>
      <c r="L70" s="66">
        <v>0</v>
      </c>
      <c r="M70" s="29">
        <v>1</v>
      </c>
      <c r="N70" s="66">
        <v>0</v>
      </c>
      <c r="O70" s="66">
        <v>1</v>
      </c>
      <c r="P70" s="29">
        <v>1</v>
      </c>
      <c r="Q70" s="66">
        <v>0</v>
      </c>
    </row>
    <row r="71" spans="1:17" ht="12.95" customHeight="1" x14ac:dyDescent="0.2">
      <c r="A71" s="36" t="s">
        <v>369</v>
      </c>
      <c r="B71" s="37" t="str">
        <f>'Risk Master'!C70&amp;"-"&amp;'Risk Master'!D70</f>
        <v>Fire-Germany</v>
      </c>
      <c r="C71" s="29" t="str">
        <f>'Risk Master'!F70</f>
        <v>A16</v>
      </c>
      <c r="D71" s="37" t="str">
        <f>VLOOKUP(C71,'Asset Master'!A:B,2,FALSE)</f>
        <v>Heavy Machinery-Germany</v>
      </c>
      <c r="E71" s="64">
        <f>'Risk Master'!N70</f>
        <v>30000</v>
      </c>
      <c r="H71" s="66">
        <v>0</v>
      </c>
      <c r="I71" s="29">
        <v>0</v>
      </c>
      <c r="J71" s="66">
        <v>0</v>
      </c>
      <c r="K71" s="29">
        <v>0</v>
      </c>
      <c r="L71" s="66">
        <v>1</v>
      </c>
      <c r="M71" s="29">
        <v>0</v>
      </c>
      <c r="N71" s="66">
        <v>0</v>
      </c>
      <c r="O71" s="66">
        <v>0</v>
      </c>
      <c r="P71" s="29">
        <v>0</v>
      </c>
      <c r="Q71" s="66">
        <v>0</v>
      </c>
    </row>
    <row r="72" spans="1:17" ht="12.95" customHeight="1" x14ac:dyDescent="0.2">
      <c r="A72" s="36" t="s">
        <v>370</v>
      </c>
      <c r="B72" s="37" t="str">
        <f>'Risk Master'!C71&amp;"-"&amp;'Risk Master'!D71</f>
        <v>Thunderstorms, Tornados &amp; Hail-Germany</v>
      </c>
      <c r="C72" s="29" t="str">
        <f>'Risk Master'!F71</f>
        <v>A16</v>
      </c>
      <c r="D72" s="37" t="str">
        <f>VLOOKUP(C72,'Asset Master'!A:B,2,FALSE)</f>
        <v>Heavy Machinery-Germany</v>
      </c>
      <c r="E72" s="64">
        <f>'Risk Master'!N71</f>
        <v>30000</v>
      </c>
      <c r="H72" s="66">
        <v>0</v>
      </c>
      <c r="I72" s="29">
        <v>0</v>
      </c>
      <c r="J72" s="66">
        <v>0</v>
      </c>
      <c r="K72" s="29">
        <v>0</v>
      </c>
      <c r="L72" s="66">
        <v>0</v>
      </c>
      <c r="M72" s="29">
        <v>0</v>
      </c>
      <c r="N72" s="66">
        <v>0</v>
      </c>
      <c r="O72" s="66">
        <v>1</v>
      </c>
      <c r="P72" s="29">
        <v>0</v>
      </c>
      <c r="Q72" s="66">
        <v>0</v>
      </c>
    </row>
    <row r="73" spans="1:17" ht="12.95" customHeight="1" x14ac:dyDescent="0.2">
      <c r="A73" s="36" t="s">
        <v>371</v>
      </c>
      <c r="B73" s="37" t="str">
        <f>'Risk Master'!C72&amp;"-"&amp;'Risk Master'!D72</f>
        <v>Hurricane-Typhoon -Germany</v>
      </c>
      <c r="C73" s="29" t="str">
        <f>'Risk Master'!F72</f>
        <v>A19</v>
      </c>
      <c r="D73" s="37" t="str">
        <f>VLOOKUP(C73,'Asset Master'!A:B,2,FALSE)</f>
        <v>Property (Office Locations)-Germany</v>
      </c>
      <c r="E73" s="64">
        <f>'Risk Master'!N72</f>
        <v>50000</v>
      </c>
      <c r="H73" s="66">
        <v>1</v>
      </c>
      <c r="I73" s="29">
        <v>0</v>
      </c>
      <c r="J73" s="66">
        <v>0</v>
      </c>
      <c r="K73" s="29">
        <v>0</v>
      </c>
      <c r="L73" s="66">
        <v>0</v>
      </c>
      <c r="M73" s="29">
        <v>0</v>
      </c>
      <c r="N73" s="66">
        <v>1</v>
      </c>
      <c r="O73" s="66">
        <v>0</v>
      </c>
      <c r="P73" s="29">
        <v>0</v>
      </c>
      <c r="Q73" s="66">
        <v>0</v>
      </c>
    </row>
    <row r="74" spans="1:17" ht="12.95" customHeight="1" x14ac:dyDescent="0.2">
      <c r="A74" s="36" t="s">
        <v>372</v>
      </c>
      <c r="B74" s="37" t="str">
        <f>'Risk Master'!C73&amp;"-"&amp;'Risk Master'!D73</f>
        <v>Earthquake-Germany</v>
      </c>
      <c r="C74" s="29" t="str">
        <f>'Risk Master'!F73</f>
        <v>A19</v>
      </c>
      <c r="D74" s="37" t="str">
        <f>VLOOKUP(C74,'Asset Master'!A:B,2,FALSE)</f>
        <v>Property (Office Locations)-Germany</v>
      </c>
      <c r="E74" s="64">
        <f>'Risk Master'!N73</f>
        <v>50000</v>
      </c>
      <c r="H74" s="66">
        <v>0</v>
      </c>
      <c r="I74" s="29">
        <v>0</v>
      </c>
      <c r="J74" s="66">
        <v>0</v>
      </c>
      <c r="K74" s="29">
        <v>1</v>
      </c>
      <c r="L74" s="66">
        <v>0</v>
      </c>
      <c r="M74" s="29">
        <v>0</v>
      </c>
      <c r="N74" s="66">
        <v>0</v>
      </c>
      <c r="O74" s="66">
        <v>1</v>
      </c>
      <c r="P74" s="29">
        <v>0</v>
      </c>
      <c r="Q74" s="66">
        <v>0</v>
      </c>
    </row>
    <row r="75" spans="1:17" ht="12.95" customHeight="1" x14ac:dyDescent="0.2">
      <c r="A75" s="36" t="s">
        <v>373</v>
      </c>
      <c r="B75" s="37" t="str">
        <f>'Risk Master'!C74&amp;"-"&amp;'Risk Master'!D74</f>
        <v>Fire-Germany</v>
      </c>
      <c r="C75" s="29" t="str">
        <f>'Risk Master'!F74</f>
        <v>A19</v>
      </c>
      <c r="D75" s="37" t="str">
        <f>VLOOKUP(C75,'Asset Master'!A:B,2,FALSE)</f>
        <v>Property (Office Locations)-Germany</v>
      </c>
      <c r="E75" s="64">
        <f>'Risk Master'!N74</f>
        <v>50000</v>
      </c>
      <c r="H75" s="66">
        <v>1</v>
      </c>
      <c r="I75" s="29">
        <v>0</v>
      </c>
      <c r="J75" s="66">
        <v>0</v>
      </c>
      <c r="K75" s="29">
        <v>0</v>
      </c>
      <c r="L75" s="66">
        <v>0</v>
      </c>
      <c r="M75" s="29">
        <v>0</v>
      </c>
      <c r="N75" s="66">
        <v>0</v>
      </c>
      <c r="O75" s="66">
        <v>0</v>
      </c>
      <c r="P75" s="29">
        <v>0</v>
      </c>
      <c r="Q75" s="66">
        <v>1</v>
      </c>
    </row>
    <row r="76" spans="1:17" ht="12.95" customHeight="1" x14ac:dyDescent="0.2">
      <c r="A76" s="36" t="s">
        <v>374</v>
      </c>
      <c r="B76" s="37" t="str">
        <f>'Risk Master'!C75&amp;"-"&amp;'Risk Master'!D75</f>
        <v>Thunderstorms, Tornados &amp; Hail-Germany</v>
      </c>
      <c r="C76" s="29" t="str">
        <f>'Risk Master'!F75</f>
        <v>A19</v>
      </c>
      <c r="D76" s="37" t="str">
        <f>VLOOKUP(C76,'Asset Master'!A:B,2,FALSE)</f>
        <v>Property (Office Locations)-Germany</v>
      </c>
      <c r="E76" s="64">
        <f>'Risk Master'!N75</f>
        <v>50000</v>
      </c>
      <c r="H76" s="66">
        <v>0</v>
      </c>
      <c r="I76" s="29">
        <v>1</v>
      </c>
      <c r="J76" s="66">
        <v>0</v>
      </c>
      <c r="K76" s="29">
        <v>0</v>
      </c>
      <c r="L76" s="66">
        <v>0</v>
      </c>
      <c r="M76" s="29">
        <v>1</v>
      </c>
      <c r="N76" s="66">
        <v>0</v>
      </c>
      <c r="O76" s="66">
        <v>1</v>
      </c>
      <c r="P76" s="29">
        <v>0</v>
      </c>
      <c r="Q76" s="66">
        <v>1</v>
      </c>
    </row>
    <row r="77" spans="1:17" ht="12.95" customHeight="1" x14ac:dyDescent="0.2">
      <c r="A77" s="36" t="s">
        <v>375</v>
      </c>
      <c r="B77" s="37" t="str">
        <f>'Risk Master'!C76&amp;"-"&amp;'Risk Master'!D76</f>
        <v>Hurricane-Typhoon -Germany</v>
      </c>
      <c r="C77" s="29" t="str">
        <f>'Risk Master'!F76</f>
        <v>A22</v>
      </c>
      <c r="D77" s="37" t="str">
        <f>VLOOKUP(C77,'Asset Master'!A:B,2,FALSE)</f>
        <v>Hotels &amp; Resorts-Germany</v>
      </c>
      <c r="E77" s="64">
        <f>'Risk Master'!N76</f>
        <v>100000</v>
      </c>
      <c r="H77" s="66">
        <v>0</v>
      </c>
      <c r="I77" s="29">
        <v>1</v>
      </c>
      <c r="J77" s="66">
        <v>0</v>
      </c>
      <c r="K77" s="29">
        <v>0</v>
      </c>
      <c r="L77" s="66">
        <v>0</v>
      </c>
      <c r="M77" s="29">
        <v>1</v>
      </c>
      <c r="N77" s="66">
        <v>0</v>
      </c>
      <c r="O77" s="66">
        <v>0</v>
      </c>
      <c r="P77" s="29">
        <v>1</v>
      </c>
      <c r="Q77" s="66">
        <v>0</v>
      </c>
    </row>
    <row r="78" spans="1:17" ht="12.95" customHeight="1" x14ac:dyDescent="0.2">
      <c r="A78" s="36" t="s">
        <v>376</v>
      </c>
      <c r="B78" s="37" t="str">
        <f>'Risk Master'!C77&amp;"-"&amp;'Risk Master'!D77</f>
        <v>Earthquake-Germany</v>
      </c>
      <c r="C78" s="29" t="str">
        <f>'Risk Master'!F77</f>
        <v>A22</v>
      </c>
      <c r="D78" s="37" t="str">
        <f>VLOOKUP(C78,'Asset Master'!A:B,2,FALSE)</f>
        <v>Hotels &amp; Resorts-Germany</v>
      </c>
      <c r="E78" s="64">
        <f>'Risk Master'!N77</f>
        <v>100000</v>
      </c>
      <c r="H78" s="66">
        <v>0</v>
      </c>
      <c r="I78" s="29">
        <v>1</v>
      </c>
      <c r="J78" s="66">
        <v>0</v>
      </c>
      <c r="K78" s="29">
        <v>0</v>
      </c>
      <c r="L78" s="66">
        <v>1</v>
      </c>
      <c r="M78" s="29">
        <v>0</v>
      </c>
      <c r="N78" s="66">
        <v>0</v>
      </c>
      <c r="O78" s="66">
        <v>1</v>
      </c>
      <c r="P78" s="29">
        <v>0</v>
      </c>
      <c r="Q78" s="66">
        <v>1</v>
      </c>
    </row>
    <row r="79" spans="1:17" ht="12.95" customHeight="1" x14ac:dyDescent="0.2">
      <c r="A79" s="36" t="s">
        <v>377</v>
      </c>
      <c r="B79" s="37" t="str">
        <f>'Risk Master'!C78&amp;"-"&amp;'Risk Master'!D78</f>
        <v>Fire-Germany</v>
      </c>
      <c r="C79" s="29" t="str">
        <f>'Risk Master'!F78</f>
        <v>A22</v>
      </c>
      <c r="D79" s="37" t="str">
        <f>VLOOKUP(C79,'Asset Master'!A:B,2,FALSE)</f>
        <v>Hotels &amp; Resorts-Germany</v>
      </c>
      <c r="E79" s="64">
        <f>'Risk Master'!N78</f>
        <v>100000</v>
      </c>
      <c r="H79" s="66">
        <v>0</v>
      </c>
      <c r="I79" s="29">
        <v>1</v>
      </c>
      <c r="J79" s="66">
        <v>0</v>
      </c>
      <c r="K79" s="29">
        <v>0</v>
      </c>
      <c r="L79" s="66">
        <v>0</v>
      </c>
      <c r="M79" s="29">
        <v>1</v>
      </c>
      <c r="N79" s="66">
        <v>0</v>
      </c>
      <c r="O79" s="66">
        <v>0</v>
      </c>
      <c r="P79" s="29">
        <v>0</v>
      </c>
      <c r="Q79" s="66">
        <v>0</v>
      </c>
    </row>
    <row r="80" spans="1:17" ht="12.95" customHeight="1" x14ac:dyDescent="0.2">
      <c r="A80" s="36" t="s">
        <v>378</v>
      </c>
      <c r="B80" s="37" t="str">
        <f>'Risk Master'!C79&amp;"-"&amp;'Risk Master'!D79</f>
        <v>Thunderstorms, Tornados &amp; Hail-Germany</v>
      </c>
      <c r="C80" s="29" t="str">
        <f>'Risk Master'!F79</f>
        <v>A22</v>
      </c>
      <c r="D80" s="37" t="str">
        <f>VLOOKUP(C80,'Asset Master'!A:B,2,FALSE)</f>
        <v>Hotels &amp; Resorts-Germany</v>
      </c>
      <c r="E80" s="64">
        <f>'Risk Master'!N79</f>
        <v>100000</v>
      </c>
      <c r="H80" s="66">
        <v>0</v>
      </c>
      <c r="I80" s="29">
        <v>0</v>
      </c>
      <c r="J80" s="66">
        <v>0</v>
      </c>
      <c r="K80" s="29">
        <v>0</v>
      </c>
      <c r="L80" s="66">
        <v>0</v>
      </c>
      <c r="M80" s="29">
        <v>0</v>
      </c>
      <c r="N80" s="66">
        <v>0</v>
      </c>
      <c r="O80" s="66">
        <v>0</v>
      </c>
      <c r="P80" s="29">
        <v>0</v>
      </c>
      <c r="Q80" s="66">
        <v>0</v>
      </c>
    </row>
    <row r="81" spans="1:17" ht="12.95" customHeight="1" x14ac:dyDescent="0.2">
      <c r="A81" s="36" t="s">
        <v>379</v>
      </c>
      <c r="B81" s="37" t="str">
        <f>'Risk Master'!C80&amp;"-"&amp;'Risk Master'!D80</f>
        <v>Hurricane-Typhoon -Germany</v>
      </c>
      <c r="C81" s="29" t="str">
        <f>'Risk Master'!F80</f>
        <v>A23</v>
      </c>
      <c r="D81" s="37" t="str">
        <f>VLOOKUP(C81,'Asset Master'!A:B,2,FALSE)</f>
        <v>Supermarkets &amp; Malls-Germany</v>
      </c>
      <c r="E81" s="64">
        <f>'Risk Master'!N80</f>
        <v>30000</v>
      </c>
      <c r="H81" s="66">
        <v>0</v>
      </c>
      <c r="I81" s="29">
        <v>0</v>
      </c>
      <c r="J81" s="66">
        <v>0</v>
      </c>
      <c r="K81" s="29">
        <v>0</v>
      </c>
      <c r="L81" s="66">
        <v>0</v>
      </c>
      <c r="M81" s="29">
        <v>1</v>
      </c>
      <c r="N81" s="66">
        <v>0</v>
      </c>
      <c r="O81" s="66">
        <v>0</v>
      </c>
      <c r="P81" s="29">
        <v>1</v>
      </c>
      <c r="Q81" s="66">
        <v>1</v>
      </c>
    </row>
    <row r="82" spans="1:17" ht="12.95" customHeight="1" x14ac:dyDescent="0.2">
      <c r="A82" s="36" t="s">
        <v>380</v>
      </c>
      <c r="B82" s="37" t="str">
        <f>'Risk Master'!C81&amp;"-"&amp;'Risk Master'!D81</f>
        <v>Earthquake-Germany</v>
      </c>
      <c r="C82" s="29" t="str">
        <f>'Risk Master'!F81</f>
        <v>A23</v>
      </c>
      <c r="D82" s="37" t="str">
        <f>VLOOKUP(C82,'Asset Master'!A:B,2,FALSE)</f>
        <v>Supermarkets &amp; Malls-Germany</v>
      </c>
      <c r="E82" s="64">
        <f>'Risk Master'!N81</f>
        <v>30000</v>
      </c>
      <c r="H82" s="66">
        <v>0</v>
      </c>
      <c r="I82" s="29">
        <v>0</v>
      </c>
      <c r="J82" s="66">
        <v>0</v>
      </c>
      <c r="K82" s="29">
        <v>0</v>
      </c>
      <c r="L82" s="66">
        <v>0</v>
      </c>
      <c r="M82" s="29">
        <v>0</v>
      </c>
      <c r="N82" s="66">
        <v>1</v>
      </c>
      <c r="O82" s="66">
        <v>0</v>
      </c>
      <c r="P82" s="29">
        <v>1</v>
      </c>
      <c r="Q82" s="66">
        <v>0</v>
      </c>
    </row>
    <row r="83" spans="1:17" ht="12.95" customHeight="1" x14ac:dyDescent="0.2">
      <c r="A83" s="36" t="s">
        <v>381</v>
      </c>
      <c r="B83" s="37" t="str">
        <f>'Risk Master'!C82&amp;"-"&amp;'Risk Master'!D82</f>
        <v>Fire-Germany</v>
      </c>
      <c r="C83" s="29" t="str">
        <f>'Risk Master'!F82</f>
        <v>A23</v>
      </c>
      <c r="D83" s="37" t="str">
        <f>VLOOKUP(C83,'Asset Master'!A:B,2,FALSE)</f>
        <v>Supermarkets &amp; Malls-Germany</v>
      </c>
      <c r="E83" s="64">
        <f>'Risk Master'!N82</f>
        <v>30000</v>
      </c>
      <c r="H83" s="66">
        <v>0</v>
      </c>
      <c r="I83" s="29">
        <v>0</v>
      </c>
      <c r="J83" s="66">
        <v>1</v>
      </c>
      <c r="K83" s="29">
        <v>0</v>
      </c>
      <c r="L83" s="66">
        <v>0</v>
      </c>
      <c r="M83" s="29">
        <v>1</v>
      </c>
      <c r="N83" s="66">
        <v>0</v>
      </c>
      <c r="O83" s="66">
        <v>0</v>
      </c>
      <c r="P83" s="29">
        <v>1</v>
      </c>
      <c r="Q83" s="66">
        <v>0</v>
      </c>
    </row>
    <row r="84" spans="1:17" ht="12.95" customHeight="1" x14ac:dyDescent="0.2">
      <c r="A84" s="36" t="s">
        <v>382</v>
      </c>
      <c r="B84" s="37" t="str">
        <f>'Risk Master'!C83&amp;"-"&amp;'Risk Master'!D83</f>
        <v>Thunderstorms, Tornados &amp; Hail-Germany</v>
      </c>
      <c r="C84" s="29" t="str">
        <f>'Risk Master'!F83</f>
        <v>A23</v>
      </c>
      <c r="D84" s="37" t="str">
        <f>VLOOKUP(C84,'Asset Master'!A:B,2,FALSE)</f>
        <v>Supermarkets &amp; Malls-Germany</v>
      </c>
      <c r="E84" s="64">
        <f>'Risk Master'!N83</f>
        <v>30000</v>
      </c>
      <c r="H84" s="66">
        <v>0</v>
      </c>
      <c r="I84" s="29">
        <v>0</v>
      </c>
      <c r="J84" s="66">
        <v>0</v>
      </c>
      <c r="K84" s="29">
        <v>0</v>
      </c>
      <c r="L84" s="66">
        <v>0</v>
      </c>
      <c r="M84" s="29">
        <v>0</v>
      </c>
      <c r="N84" s="66">
        <v>0</v>
      </c>
      <c r="O84" s="66">
        <v>0</v>
      </c>
      <c r="P84" s="29">
        <v>0</v>
      </c>
      <c r="Q84" s="66">
        <v>0</v>
      </c>
    </row>
    <row r="85" spans="1:17" ht="12.95" customHeight="1" x14ac:dyDescent="0.2">
      <c r="A85" s="36" t="s">
        <v>383</v>
      </c>
      <c r="B85" s="37" t="str">
        <f>'Risk Master'!C84&amp;"-"&amp;'Risk Master'!D84</f>
        <v>Hurricane-Typhoon -Germany</v>
      </c>
      <c r="C85" s="29" t="str">
        <f>'Risk Master'!F84</f>
        <v>A25</v>
      </c>
      <c r="D85" s="37" t="str">
        <f>VLOOKUP(C85,'Asset Master'!A:B,2,FALSE)</f>
        <v>Power Plants-Germany</v>
      </c>
      <c r="E85" s="64">
        <f>'Risk Master'!N84</f>
        <v>30000</v>
      </c>
      <c r="H85" s="66">
        <v>0</v>
      </c>
      <c r="I85" s="29">
        <v>0</v>
      </c>
      <c r="J85" s="66">
        <v>0</v>
      </c>
      <c r="K85" s="29">
        <v>0</v>
      </c>
      <c r="L85" s="66">
        <v>0</v>
      </c>
      <c r="M85" s="29">
        <v>0</v>
      </c>
      <c r="N85" s="66">
        <v>0</v>
      </c>
      <c r="O85" s="66">
        <v>0</v>
      </c>
      <c r="P85" s="29">
        <v>0</v>
      </c>
      <c r="Q85" s="66">
        <v>0</v>
      </c>
    </row>
    <row r="86" spans="1:17" ht="12.95" customHeight="1" x14ac:dyDescent="0.2">
      <c r="A86" s="36" t="s">
        <v>384</v>
      </c>
      <c r="B86" s="37" t="str">
        <f>'Risk Master'!C85&amp;"-"&amp;'Risk Master'!D85</f>
        <v>Earthquake-Germany</v>
      </c>
      <c r="C86" s="29" t="str">
        <f>'Risk Master'!F85</f>
        <v>A25</v>
      </c>
      <c r="D86" s="37" t="str">
        <f>VLOOKUP(C86,'Asset Master'!A:B,2,FALSE)</f>
        <v>Power Plants-Germany</v>
      </c>
      <c r="E86" s="64">
        <f>'Risk Master'!N85</f>
        <v>30000</v>
      </c>
      <c r="H86" s="66">
        <v>0</v>
      </c>
      <c r="I86" s="29">
        <v>0</v>
      </c>
      <c r="J86" s="66">
        <v>0</v>
      </c>
      <c r="K86" s="29">
        <v>0</v>
      </c>
      <c r="L86" s="66">
        <v>0</v>
      </c>
      <c r="M86" s="29">
        <v>0</v>
      </c>
      <c r="N86" s="66">
        <v>0</v>
      </c>
      <c r="O86" s="29">
        <v>0</v>
      </c>
      <c r="P86" s="29">
        <v>0</v>
      </c>
      <c r="Q86" s="66">
        <v>0</v>
      </c>
    </row>
    <row r="87" spans="1:17" ht="12.95" customHeight="1" x14ac:dyDescent="0.2">
      <c r="A87" s="36" t="s">
        <v>385</v>
      </c>
      <c r="B87" s="37" t="str">
        <f>'Risk Master'!C86&amp;"-"&amp;'Risk Master'!D86</f>
        <v>Fire-Germany</v>
      </c>
      <c r="C87" s="29" t="str">
        <f>'Risk Master'!F86</f>
        <v>A25</v>
      </c>
      <c r="D87" s="37" t="str">
        <f>VLOOKUP(C87,'Asset Master'!A:B,2,FALSE)</f>
        <v>Power Plants-Germany</v>
      </c>
      <c r="E87" s="64">
        <f>'Risk Master'!N86</f>
        <v>30000</v>
      </c>
      <c r="H87" s="66">
        <v>0</v>
      </c>
      <c r="I87" s="29">
        <v>0</v>
      </c>
      <c r="J87" s="66">
        <v>0</v>
      </c>
      <c r="K87" s="29">
        <v>0</v>
      </c>
      <c r="L87" s="66">
        <v>0</v>
      </c>
      <c r="M87" s="29">
        <v>0</v>
      </c>
      <c r="N87" s="66">
        <v>0</v>
      </c>
      <c r="O87" s="29">
        <v>0</v>
      </c>
      <c r="P87" s="29">
        <v>1</v>
      </c>
      <c r="Q87" s="66">
        <v>0</v>
      </c>
    </row>
    <row r="88" spans="1:17" ht="12.95" customHeight="1" x14ac:dyDescent="0.2">
      <c r="A88" s="36" t="s">
        <v>386</v>
      </c>
      <c r="B88" s="37" t="str">
        <f>'Risk Master'!C87&amp;"-"&amp;'Risk Master'!D87</f>
        <v>Thunderstorms, Tornados &amp; Hail-Germany</v>
      </c>
      <c r="C88" s="29" t="str">
        <f>'Risk Master'!F87</f>
        <v>A25</v>
      </c>
      <c r="D88" s="37" t="str">
        <f>VLOOKUP(C88,'Asset Master'!A:B,2,FALSE)</f>
        <v>Power Plants-Germany</v>
      </c>
      <c r="E88" s="64">
        <f>'Risk Master'!N87</f>
        <v>30000</v>
      </c>
      <c r="H88" s="66">
        <v>0</v>
      </c>
      <c r="I88" s="29">
        <v>0</v>
      </c>
      <c r="J88" s="66">
        <v>0</v>
      </c>
      <c r="K88" s="29">
        <v>0</v>
      </c>
      <c r="L88" s="66">
        <v>0</v>
      </c>
      <c r="M88" s="29">
        <v>0</v>
      </c>
      <c r="N88" s="66">
        <v>0</v>
      </c>
      <c r="O88" s="29">
        <v>0</v>
      </c>
      <c r="P88" s="29">
        <v>0</v>
      </c>
      <c r="Q88" s="66">
        <v>0</v>
      </c>
    </row>
    <row r="89" spans="1:17" ht="12.95" customHeight="1" x14ac:dyDescent="0.2">
      <c r="A89" s="36" t="s">
        <v>387</v>
      </c>
      <c r="B89" s="37" t="str">
        <f>'Risk Master'!C88&amp;"-"&amp;'Risk Master'!D88</f>
        <v>Hurricane-Typhoon -Germany</v>
      </c>
      <c r="C89" s="29" t="str">
        <f>'Risk Master'!F88</f>
        <v>A28</v>
      </c>
      <c r="D89" s="37" t="str">
        <f>VLOOKUP(C89,'Asset Master'!A:B,2,FALSE)</f>
        <v>Aircrafts-Germany</v>
      </c>
      <c r="E89" s="64">
        <f>'Risk Master'!N88</f>
        <v>40000</v>
      </c>
      <c r="H89" s="66">
        <v>0</v>
      </c>
      <c r="I89" s="29">
        <v>0</v>
      </c>
      <c r="J89" s="66">
        <v>0</v>
      </c>
      <c r="K89" s="29">
        <v>0</v>
      </c>
      <c r="L89" s="66">
        <v>1</v>
      </c>
      <c r="M89" s="29">
        <v>0</v>
      </c>
      <c r="N89" s="66">
        <v>1</v>
      </c>
      <c r="O89" s="29">
        <v>0</v>
      </c>
      <c r="P89" s="29">
        <v>0</v>
      </c>
      <c r="Q89" s="66">
        <v>0</v>
      </c>
    </row>
    <row r="90" spans="1:17" ht="12.95" customHeight="1" x14ac:dyDescent="0.2">
      <c r="A90" s="36" t="s">
        <v>388</v>
      </c>
      <c r="B90" s="37" t="str">
        <f>'Risk Master'!C89&amp;"-"&amp;'Risk Master'!D89</f>
        <v>Earthquake-Germany</v>
      </c>
      <c r="C90" s="29" t="str">
        <f>'Risk Master'!F89</f>
        <v>A28</v>
      </c>
      <c r="D90" s="37" t="str">
        <f>VLOOKUP(C90,'Asset Master'!A:B,2,FALSE)</f>
        <v>Aircrafts-Germany</v>
      </c>
      <c r="E90" s="64">
        <f>'Risk Master'!N89</f>
        <v>40000</v>
      </c>
      <c r="H90" s="66">
        <v>0</v>
      </c>
      <c r="I90" s="29">
        <v>0</v>
      </c>
      <c r="J90" s="66">
        <v>0</v>
      </c>
      <c r="K90" s="29">
        <v>0</v>
      </c>
      <c r="L90" s="66">
        <v>0</v>
      </c>
      <c r="M90" s="29">
        <v>0</v>
      </c>
      <c r="N90" s="66">
        <v>0</v>
      </c>
      <c r="O90" s="66">
        <v>1</v>
      </c>
      <c r="P90" s="29">
        <v>0</v>
      </c>
      <c r="Q90" s="66">
        <v>0</v>
      </c>
    </row>
    <row r="91" spans="1:17" ht="12.95" customHeight="1" x14ac:dyDescent="0.2">
      <c r="A91" s="36" t="s">
        <v>389</v>
      </c>
      <c r="B91" s="37" t="str">
        <f>'Risk Master'!C90&amp;"-"&amp;'Risk Master'!D90</f>
        <v>Fire-Germany</v>
      </c>
      <c r="C91" s="29" t="str">
        <f>'Risk Master'!F90</f>
        <v>A28</v>
      </c>
      <c r="D91" s="37" t="str">
        <f>VLOOKUP(C91,'Asset Master'!A:B,2,FALSE)</f>
        <v>Aircrafts-Germany</v>
      </c>
      <c r="E91" s="64">
        <f>'Risk Master'!N90</f>
        <v>40000</v>
      </c>
      <c r="H91" s="66">
        <v>0</v>
      </c>
      <c r="I91" s="29">
        <v>0</v>
      </c>
      <c r="J91" s="66">
        <v>0</v>
      </c>
      <c r="K91" s="29">
        <v>0</v>
      </c>
      <c r="L91" s="66">
        <v>0</v>
      </c>
      <c r="M91" s="29">
        <v>1</v>
      </c>
      <c r="N91" s="66">
        <v>0</v>
      </c>
      <c r="O91" s="66">
        <v>0</v>
      </c>
      <c r="P91" s="29">
        <v>0</v>
      </c>
      <c r="Q91" s="66">
        <v>0</v>
      </c>
    </row>
    <row r="92" spans="1:17" ht="12.95" customHeight="1" x14ac:dyDescent="0.2">
      <c r="A92" s="36" t="s">
        <v>390</v>
      </c>
      <c r="B92" s="37" t="str">
        <f>'Risk Master'!C91&amp;"-"&amp;'Risk Master'!D91</f>
        <v>Thunderstorms, Tornados &amp; Hail-Germany</v>
      </c>
      <c r="C92" s="29" t="str">
        <f>'Risk Master'!F91</f>
        <v>A28</v>
      </c>
      <c r="D92" s="37" t="str">
        <f>VLOOKUP(C92,'Asset Master'!A:B,2,FALSE)</f>
        <v>Aircrafts-Germany</v>
      </c>
      <c r="E92" s="64">
        <f>'Risk Master'!N91</f>
        <v>40000</v>
      </c>
      <c r="H92" s="66">
        <v>0</v>
      </c>
      <c r="I92" s="29">
        <v>0</v>
      </c>
      <c r="J92" s="66">
        <v>1</v>
      </c>
      <c r="K92" s="29">
        <v>0</v>
      </c>
      <c r="L92" s="66">
        <v>0</v>
      </c>
      <c r="M92" s="29">
        <v>0</v>
      </c>
      <c r="N92" s="66">
        <v>0</v>
      </c>
      <c r="O92" s="66">
        <v>0</v>
      </c>
      <c r="P92" s="29">
        <v>0</v>
      </c>
      <c r="Q92" s="66">
        <v>1</v>
      </c>
    </row>
    <row r="93" spans="1:17" ht="12.95" customHeight="1" x14ac:dyDescent="0.2">
      <c r="A93" s="36" t="s">
        <v>391</v>
      </c>
      <c r="B93" s="37" t="str">
        <f>'Risk Master'!C92&amp;"-"&amp;'Risk Master'!D92</f>
        <v>Hurricane-Typhoon -Germany</v>
      </c>
      <c r="C93" s="29" t="str">
        <f>'Risk Master'!F92</f>
        <v>A30</v>
      </c>
      <c r="D93" s="37" t="str">
        <f>VLOOKUP(C93,'Asset Master'!A:B,2,FALSE)</f>
        <v>Fleets &amp; Cars-Germany</v>
      </c>
      <c r="E93" s="64">
        <f>'Risk Master'!N92</f>
        <v>20000</v>
      </c>
      <c r="H93" s="66">
        <v>0</v>
      </c>
      <c r="I93" s="29">
        <v>0</v>
      </c>
      <c r="J93" s="66">
        <v>0</v>
      </c>
      <c r="K93" s="29">
        <v>0</v>
      </c>
      <c r="L93" s="66">
        <v>0</v>
      </c>
      <c r="M93" s="29">
        <v>0</v>
      </c>
      <c r="N93" s="66">
        <v>0</v>
      </c>
      <c r="O93" s="66">
        <v>1</v>
      </c>
      <c r="P93" s="29">
        <v>1</v>
      </c>
      <c r="Q93" s="66">
        <v>1</v>
      </c>
    </row>
    <row r="94" spans="1:17" ht="12.95" customHeight="1" x14ac:dyDescent="0.2">
      <c r="A94" s="36" t="s">
        <v>392</v>
      </c>
      <c r="B94" s="37" t="str">
        <f>'Risk Master'!C93&amp;"-"&amp;'Risk Master'!D93</f>
        <v>Earthquake-Germany</v>
      </c>
      <c r="C94" s="29" t="str">
        <f>'Risk Master'!F93</f>
        <v>A30</v>
      </c>
      <c r="D94" s="37" t="str">
        <f>VLOOKUP(C94,'Asset Master'!A:B,2,FALSE)</f>
        <v>Fleets &amp; Cars-Germany</v>
      </c>
      <c r="E94" s="64">
        <f>'Risk Master'!N93</f>
        <v>20000</v>
      </c>
      <c r="H94" s="66">
        <v>0</v>
      </c>
      <c r="I94" s="29">
        <v>0</v>
      </c>
      <c r="J94" s="66">
        <v>0</v>
      </c>
      <c r="K94" s="29">
        <v>0</v>
      </c>
      <c r="L94" s="66">
        <v>0</v>
      </c>
      <c r="M94" s="29">
        <v>0</v>
      </c>
      <c r="N94" s="66">
        <v>0</v>
      </c>
      <c r="O94" s="66">
        <v>0</v>
      </c>
      <c r="P94" s="29">
        <v>1</v>
      </c>
      <c r="Q94" s="66">
        <v>0</v>
      </c>
    </row>
    <row r="95" spans="1:17" ht="12.95" customHeight="1" x14ac:dyDescent="0.2">
      <c r="A95" s="36" t="s">
        <v>393</v>
      </c>
      <c r="B95" s="37" t="str">
        <f>'Risk Master'!C94&amp;"-"&amp;'Risk Master'!D94</f>
        <v>Fire-Germany</v>
      </c>
      <c r="C95" s="29" t="str">
        <f>'Risk Master'!F94</f>
        <v>A30</v>
      </c>
      <c r="D95" s="37" t="str">
        <f>VLOOKUP(C95,'Asset Master'!A:B,2,FALSE)</f>
        <v>Fleets &amp; Cars-Germany</v>
      </c>
      <c r="E95" s="64">
        <f>'Risk Master'!N94</f>
        <v>20000</v>
      </c>
      <c r="H95" s="66">
        <v>0</v>
      </c>
      <c r="I95" s="29">
        <v>0</v>
      </c>
      <c r="J95" s="66">
        <v>0</v>
      </c>
      <c r="K95" s="29">
        <v>0</v>
      </c>
      <c r="L95" s="66">
        <v>1</v>
      </c>
      <c r="M95" s="29">
        <v>0</v>
      </c>
      <c r="N95" s="66">
        <v>0</v>
      </c>
      <c r="O95" s="66">
        <v>0</v>
      </c>
      <c r="P95" s="29">
        <v>0</v>
      </c>
      <c r="Q95" s="66">
        <v>0</v>
      </c>
    </row>
    <row r="96" spans="1:17" ht="12.95" customHeight="1" x14ac:dyDescent="0.2">
      <c r="A96" s="36" t="s">
        <v>394</v>
      </c>
      <c r="B96" s="37" t="str">
        <f>'Risk Master'!C95&amp;"-"&amp;'Risk Master'!D95</f>
        <v>Thunderstorms, Tornados &amp; Hail-Germany</v>
      </c>
      <c r="C96" s="29" t="str">
        <f>'Risk Master'!F95</f>
        <v>A30</v>
      </c>
      <c r="D96" s="37" t="str">
        <f>VLOOKUP(C96,'Asset Master'!A:B,2,FALSE)</f>
        <v>Fleets &amp; Cars-Germany</v>
      </c>
      <c r="E96" s="64">
        <f>'Risk Master'!N95</f>
        <v>20000</v>
      </c>
      <c r="H96" s="66">
        <v>1</v>
      </c>
      <c r="I96" s="29">
        <v>0</v>
      </c>
      <c r="J96" s="66">
        <v>0</v>
      </c>
      <c r="K96" s="29">
        <v>0</v>
      </c>
      <c r="L96" s="66">
        <v>1</v>
      </c>
      <c r="M96" s="29">
        <v>0</v>
      </c>
      <c r="N96" s="66">
        <v>0</v>
      </c>
      <c r="O96" s="66">
        <v>1</v>
      </c>
      <c r="P96" s="29">
        <v>1</v>
      </c>
      <c r="Q96" s="66">
        <v>0</v>
      </c>
    </row>
    <row r="97" spans="1:17" ht="12.95" customHeight="1" x14ac:dyDescent="0.2">
      <c r="A97" s="36" t="s">
        <v>395</v>
      </c>
      <c r="B97" s="37" t="str">
        <f>'Risk Master'!C96&amp;"-"&amp;'Risk Master'!D96</f>
        <v>Hurricane-Typhoon -Manila</v>
      </c>
      <c r="C97" s="29" t="str">
        <f>'Risk Master'!F96</f>
        <v>A34</v>
      </c>
      <c r="D97" s="37" t="str">
        <f>VLOOKUP(C97,'Asset Master'!A:B,2,FALSE)</f>
        <v>Property (Office Locations)-Manila</v>
      </c>
      <c r="E97" s="64">
        <f>'Risk Master'!N96</f>
        <v>40000</v>
      </c>
      <c r="H97" s="66">
        <v>0</v>
      </c>
      <c r="I97" s="29">
        <v>0</v>
      </c>
      <c r="J97" s="66">
        <v>0</v>
      </c>
      <c r="K97" s="29">
        <v>1</v>
      </c>
      <c r="L97" s="66">
        <v>0</v>
      </c>
      <c r="M97" s="29">
        <v>0</v>
      </c>
      <c r="N97" s="66">
        <v>0</v>
      </c>
      <c r="O97" s="66">
        <v>0</v>
      </c>
      <c r="P97" s="29">
        <v>0</v>
      </c>
      <c r="Q97" s="66">
        <v>0</v>
      </c>
    </row>
    <row r="98" spans="1:17" ht="12.95" customHeight="1" x14ac:dyDescent="0.2">
      <c r="A98" s="36" t="s">
        <v>396</v>
      </c>
      <c r="B98" s="37" t="str">
        <f>'Risk Master'!C97&amp;"-"&amp;'Risk Master'!D97</f>
        <v>Earthquake-Manila</v>
      </c>
      <c r="C98" s="29" t="str">
        <f>'Risk Master'!F97</f>
        <v>A34</v>
      </c>
      <c r="D98" s="37" t="str">
        <f>VLOOKUP(C98,'Asset Master'!A:B,2,FALSE)</f>
        <v>Property (Office Locations)-Manila</v>
      </c>
      <c r="E98" s="64">
        <f>'Risk Master'!N97</f>
        <v>40000</v>
      </c>
      <c r="H98" s="66">
        <v>0</v>
      </c>
      <c r="I98" s="29">
        <v>0</v>
      </c>
      <c r="J98" s="66">
        <v>0</v>
      </c>
      <c r="K98" s="29">
        <v>0</v>
      </c>
      <c r="L98" s="66">
        <v>0</v>
      </c>
      <c r="M98" s="29">
        <v>0</v>
      </c>
      <c r="N98" s="66">
        <v>0</v>
      </c>
      <c r="O98" s="66">
        <v>0</v>
      </c>
      <c r="P98" s="29">
        <v>1</v>
      </c>
      <c r="Q98" s="66">
        <v>1</v>
      </c>
    </row>
    <row r="99" spans="1:17" ht="12.95" customHeight="1" x14ac:dyDescent="0.2">
      <c r="A99" s="36" t="s">
        <v>397</v>
      </c>
      <c r="B99" s="37" t="str">
        <f>'Risk Master'!C98&amp;"-"&amp;'Risk Master'!D98</f>
        <v>Fire-Manila</v>
      </c>
      <c r="C99" s="29" t="str">
        <f>'Risk Master'!F98</f>
        <v>A34</v>
      </c>
      <c r="D99" s="37" t="str">
        <f>VLOOKUP(C99,'Asset Master'!A:B,2,FALSE)</f>
        <v>Property (Office Locations)-Manila</v>
      </c>
      <c r="E99" s="64">
        <f>'Risk Master'!N98</f>
        <v>40000</v>
      </c>
      <c r="H99" s="66">
        <v>1</v>
      </c>
      <c r="I99" s="29">
        <v>0</v>
      </c>
      <c r="J99" s="66">
        <v>1</v>
      </c>
      <c r="K99" s="29">
        <v>0</v>
      </c>
      <c r="L99" s="66">
        <v>1</v>
      </c>
      <c r="M99" s="29">
        <v>0</v>
      </c>
      <c r="N99" s="66">
        <v>0</v>
      </c>
      <c r="O99" s="66">
        <v>0</v>
      </c>
      <c r="P99" s="29">
        <v>0</v>
      </c>
      <c r="Q99" s="66">
        <v>1</v>
      </c>
    </row>
    <row r="100" spans="1:17" ht="12.95" customHeight="1" x14ac:dyDescent="0.2">
      <c r="A100" s="36" t="s">
        <v>398</v>
      </c>
      <c r="B100" s="37" t="str">
        <f>'Risk Master'!C99&amp;"-"&amp;'Risk Master'!D99</f>
        <v>Earthquake-Manila</v>
      </c>
      <c r="C100" s="29" t="str">
        <f>'Risk Master'!F99</f>
        <v>A33</v>
      </c>
      <c r="D100" s="37" t="str">
        <f>VLOOKUP(C100,'Asset Master'!A:B,2,FALSE)</f>
        <v>Pipelines-Manila</v>
      </c>
      <c r="E100" s="64">
        <f>'Risk Master'!N99</f>
        <v>40000</v>
      </c>
      <c r="H100" s="66">
        <v>0</v>
      </c>
      <c r="I100" s="29">
        <v>0</v>
      </c>
      <c r="J100" s="66">
        <v>0</v>
      </c>
      <c r="K100" s="29">
        <v>0</v>
      </c>
      <c r="L100" s="66">
        <v>0</v>
      </c>
      <c r="M100" s="29">
        <v>0</v>
      </c>
      <c r="N100" s="66">
        <v>1</v>
      </c>
      <c r="O100" s="66">
        <v>0</v>
      </c>
      <c r="P100" s="29">
        <v>0</v>
      </c>
      <c r="Q100" s="66">
        <v>0</v>
      </c>
    </row>
    <row r="101" spans="1:17" ht="12.95" customHeight="1" x14ac:dyDescent="0.2">
      <c r="A101" s="36" t="s">
        <v>399</v>
      </c>
      <c r="B101" s="37" t="str">
        <f>'Risk Master'!C100&amp;"-"&amp;'Risk Master'!D100</f>
        <v>Fire-Manila</v>
      </c>
      <c r="C101" s="29" t="str">
        <f>'Risk Master'!F100</f>
        <v>A33</v>
      </c>
      <c r="D101" s="37" t="str">
        <f>VLOOKUP(C101,'Asset Master'!A:B,2,FALSE)</f>
        <v>Pipelines-Manila</v>
      </c>
      <c r="E101" s="64">
        <f>'Risk Master'!N100</f>
        <v>40000</v>
      </c>
      <c r="H101" s="66">
        <v>1</v>
      </c>
      <c r="I101" s="29">
        <v>0</v>
      </c>
      <c r="J101" s="66">
        <v>0</v>
      </c>
      <c r="K101" s="29">
        <v>0</v>
      </c>
      <c r="L101" s="66">
        <v>0</v>
      </c>
      <c r="M101" s="29">
        <v>0</v>
      </c>
      <c r="N101" s="66">
        <v>1</v>
      </c>
      <c r="O101" s="66">
        <v>0</v>
      </c>
      <c r="P101" s="29">
        <v>0</v>
      </c>
      <c r="Q101" s="66">
        <v>0</v>
      </c>
    </row>
    <row r="102" spans="1:17" ht="12.95" customHeight="1" x14ac:dyDescent="0.2">
      <c r="A102" s="36" t="s">
        <v>400</v>
      </c>
      <c r="B102" s="37" t="str">
        <f>'Risk Master'!C101&amp;"-"&amp;'Risk Master'!D101</f>
        <v>Hurricane-Typhoon -Manila</v>
      </c>
      <c r="C102" s="29" t="str">
        <f>'Risk Master'!F101</f>
        <v>A36</v>
      </c>
      <c r="D102" s="37" t="str">
        <f>VLOOKUP(C102,'Asset Master'!A:B,2,FALSE)</f>
        <v>Warehouse &amp; Cold Storage-Manila</v>
      </c>
      <c r="E102" s="64">
        <f>'Risk Master'!N101</f>
        <v>30000</v>
      </c>
      <c r="H102" s="66">
        <v>0</v>
      </c>
      <c r="I102" s="29">
        <v>1</v>
      </c>
      <c r="J102" s="66">
        <v>0</v>
      </c>
      <c r="K102" s="29">
        <v>1</v>
      </c>
      <c r="L102" s="66">
        <v>0</v>
      </c>
      <c r="M102" s="29">
        <v>1</v>
      </c>
      <c r="N102" s="66">
        <v>0</v>
      </c>
      <c r="O102" s="66">
        <v>0</v>
      </c>
      <c r="P102" s="29">
        <v>1</v>
      </c>
      <c r="Q102" s="66">
        <v>1</v>
      </c>
    </row>
    <row r="103" spans="1:17" ht="12.95" customHeight="1" x14ac:dyDescent="0.2">
      <c r="A103" s="36" t="s">
        <v>404</v>
      </c>
      <c r="B103" s="37" t="str">
        <f>'Risk Master'!C102&amp;"-"&amp;'Risk Master'!D102</f>
        <v>Earthquake-Manila</v>
      </c>
      <c r="C103" s="29" t="str">
        <f>'Risk Master'!F102</f>
        <v>A38</v>
      </c>
      <c r="D103" s="37" t="str">
        <f>VLOOKUP(C103,'Asset Master'!A:B,2,FALSE)</f>
        <v>Supermarkets &amp; Malls-Manila</v>
      </c>
      <c r="E103" s="64">
        <f>'Risk Master'!N102</f>
        <v>50000</v>
      </c>
      <c r="H103" s="66">
        <v>0</v>
      </c>
      <c r="I103" s="29">
        <v>0</v>
      </c>
      <c r="J103" s="66">
        <v>0</v>
      </c>
      <c r="K103" s="29">
        <v>0</v>
      </c>
      <c r="L103" s="66">
        <v>0</v>
      </c>
      <c r="M103" s="29">
        <v>0</v>
      </c>
      <c r="N103" s="66">
        <v>0</v>
      </c>
      <c r="O103" s="66">
        <v>0</v>
      </c>
      <c r="P103" s="29">
        <v>0</v>
      </c>
      <c r="Q103" s="66">
        <v>0</v>
      </c>
    </row>
    <row r="104" spans="1:17" ht="12.95" customHeight="1" x14ac:dyDescent="0.2">
      <c r="A104" s="36" t="s">
        <v>406</v>
      </c>
      <c r="B104" s="37" t="str">
        <f>'Risk Master'!C103&amp;"-"&amp;'Risk Master'!D103</f>
        <v>Fire-Manila</v>
      </c>
      <c r="C104" s="29" t="str">
        <f>'Risk Master'!F103</f>
        <v>A40</v>
      </c>
      <c r="D104" s="37" t="str">
        <f>VLOOKUP(C104,'Asset Master'!A:B,2,FALSE)</f>
        <v>Power Plants-Manila</v>
      </c>
      <c r="E104" s="64">
        <f>'Risk Master'!N103</f>
        <v>30000</v>
      </c>
      <c r="H104" s="66">
        <v>0</v>
      </c>
      <c r="I104" s="29">
        <v>0</v>
      </c>
      <c r="J104" s="66">
        <v>0</v>
      </c>
      <c r="K104" s="29">
        <v>0</v>
      </c>
      <c r="L104" s="66">
        <v>0</v>
      </c>
      <c r="M104" s="29">
        <v>0</v>
      </c>
      <c r="N104" s="66">
        <v>0</v>
      </c>
      <c r="O104" s="66">
        <v>1</v>
      </c>
      <c r="P104" s="29">
        <v>0</v>
      </c>
      <c r="Q104" s="66">
        <v>0</v>
      </c>
    </row>
    <row r="105" spans="1:17" ht="12.95" customHeight="1" x14ac:dyDescent="0.2">
      <c r="A105" s="36" t="s">
        <v>408</v>
      </c>
      <c r="B105" s="37" t="str">
        <f>'Risk Master'!C104&amp;"-"&amp;'Risk Master'!D104</f>
        <v>Hurricane-Typhoon -Manila</v>
      </c>
      <c r="C105" s="29" t="str">
        <f>'Risk Master'!F104</f>
        <v>A43</v>
      </c>
      <c r="D105" s="37" t="str">
        <f>VLOOKUP(C105,'Asset Master'!A:B,2,FALSE)</f>
        <v>Aircrafts-Manila</v>
      </c>
      <c r="E105" s="64">
        <f>'Risk Master'!N104</f>
        <v>50000</v>
      </c>
      <c r="H105" s="66">
        <v>1</v>
      </c>
      <c r="I105" s="29">
        <v>0</v>
      </c>
      <c r="J105" s="66">
        <v>0</v>
      </c>
      <c r="K105" s="29">
        <v>0</v>
      </c>
      <c r="L105" s="66">
        <v>0</v>
      </c>
      <c r="M105" s="29">
        <v>0</v>
      </c>
      <c r="N105" s="66">
        <v>0</v>
      </c>
      <c r="O105" s="66">
        <v>0</v>
      </c>
      <c r="P105" s="29">
        <v>0</v>
      </c>
      <c r="Q105" s="66">
        <v>0</v>
      </c>
    </row>
    <row r="106" spans="1:17" ht="12.95" customHeight="1" x14ac:dyDescent="0.2">
      <c r="A106" s="36" t="s">
        <v>410</v>
      </c>
      <c r="B106" s="37" t="str">
        <f>'Risk Master'!C105&amp;"-"&amp;'Risk Master'!D105</f>
        <v>Earthquake-Manila</v>
      </c>
      <c r="C106" s="29" t="str">
        <f>'Risk Master'!F105</f>
        <v>A43</v>
      </c>
      <c r="D106" s="37" t="str">
        <f>VLOOKUP(C106,'Asset Master'!A:B,2,FALSE)</f>
        <v>Aircrafts-Manila</v>
      </c>
      <c r="E106" s="64">
        <f>'Risk Master'!N105</f>
        <v>50000</v>
      </c>
      <c r="H106" s="66">
        <v>0</v>
      </c>
      <c r="I106" s="29">
        <v>0</v>
      </c>
      <c r="J106" s="66">
        <v>0</v>
      </c>
      <c r="K106" s="29">
        <v>0</v>
      </c>
      <c r="L106" s="66">
        <v>0</v>
      </c>
      <c r="M106" s="29">
        <v>0</v>
      </c>
      <c r="N106" s="66">
        <v>1</v>
      </c>
      <c r="O106" s="66">
        <v>0</v>
      </c>
      <c r="P106" s="29">
        <v>0</v>
      </c>
      <c r="Q106" s="66">
        <v>0</v>
      </c>
    </row>
    <row r="107" spans="1:17" ht="12.95" customHeight="1" x14ac:dyDescent="0.2">
      <c r="A107" s="36" t="s">
        <v>412</v>
      </c>
      <c r="B107" s="37" t="str">
        <f>'Risk Master'!C106&amp;"-"&amp;'Risk Master'!D106</f>
        <v>Fire-Manila</v>
      </c>
      <c r="C107" s="29" t="str">
        <f>'Risk Master'!F106</f>
        <v>A43</v>
      </c>
      <c r="D107" s="37" t="str">
        <f>VLOOKUP(C107,'Asset Master'!A:B,2,FALSE)</f>
        <v>Aircrafts-Manila</v>
      </c>
      <c r="E107" s="64">
        <f>'Risk Master'!N106</f>
        <v>50000</v>
      </c>
      <c r="H107" s="66">
        <v>0</v>
      </c>
      <c r="I107" s="29">
        <v>0</v>
      </c>
      <c r="J107" s="66">
        <v>0</v>
      </c>
      <c r="K107" s="29">
        <v>0</v>
      </c>
      <c r="L107" s="66">
        <v>0</v>
      </c>
      <c r="M107" s="29">
        <v>0</v>
      </c>
      <c r="N107" s="66">
        <v>1</v>
      </c>
      <c r="O107" s="66">
        <v>0</v>
      </c>
      <c r="P107" s="29">
        <v>1</v>
      </c>
      <c r="Q107" s="66">
        <v>0</v>
      </c>
    </row>
    <row r="108" spans="1:17" ht="12.95" customHeight="1" x14ac:dyDescent="0.2">
      <c r="A108" s="36" t="s">
        <v>414</v>
      </c>
      <c r="B108" s="37" t="str">
        <f>'Risk Master'!C107&amp;"-"&amp;'Risk Master'!D107</f>
        <v>Hurricane-Typhoon -Manila</v>
      </c>
      <c r="C108" s="29" t="str">
        <f>'Risk Master'!F107</f>
        <v>A45</v>
      </c>
      <c r="D108" s="37" t="str">
        <f>VLOOKUP(C108,'Asset Master'!A:B,2,FALSE)</f>
        <v>Fleets &amp; Cars-Manila</v>
      </c>
      <c r="E108" s="64">
        <f>'Risk Master'!N107</f>
        <v>30000</v>
      </c>
      <c r="H108" s="66">
        <v>0</v>
      </c>
      <c r="I108" s="29">
        <v>0</v>
      </c>
      <c r="J108" s="66">
        <v>0</v>
      </c>
      <c r="K108" s="29">
        <v>0</v>
      </c>
      <c r="L108" s="66">
        <v>0</v>
      </c>
      <c r="M108" s="29">
        <v>0</v>
      </c>
      <c r="N108" s="66">
        <v>0</v>
      </c>
      <c r="O108" s="66">
        <v>0</v>
      </c>
      <c r="P108" s="29">
        <v>0</v>
      </c>
      <c r="Q108" s="66">
        <v>0</v>
      </c>
    </row>
    <row r="109" spans="1:17" ht="12.95" customHeight="1" x14ac:dyDescent="0.2">
      <c r="A109" s="36" t="s">
        <v>416</v>
      </c>
      <c r="B109" s="37" t="str">
        <f>'Risk Master'!C108&amp;"-"&amp;'Risk Master'!D108</f>
        <v>Thunderstorms, Tornados &amp; Hail-San Francisco</v>
      </c>
      <c r="C109" s="29" t="str">
        <f>'Risk Master'!F108</f>
        <v>A47</v>
      </c>
      <c r="D109" s="37" t="str">
        <f>VLOOKUP(C109,'Asset Master'!A:B,2,FALSE)</f>
        <v>Heat Exchanger-San Francisco</v>
      </c>
      <c r="E109" s="64">
        <f>'Risk Master'!N108</f>
        <v>60000</v>
      </c>
      <c r="H109" s="66">
        <v>0</v>
      </c>
      <c r="I109" s="29">
        <v>0</v>
      </c>
      <c r="J109" s="66">
        <v>0</v>
      </c>
      <c r="K109" s="29">
        <v>0</v>
      </c>
      <c r="L109" s="66">
        <v>0</v>
      </c>
      <c r="M109" s="29">
        <v>0</v>
      </c>
      <c r="N109" s="66">
        <v>0</v>
      </c>
      <c r="O109" s="66">
        <v>0</v>
      </c>
      <c r="P109" s="29">
        <v>0</v>
      </c>
      <c r="Q109" s="66">
        <v>0</v>
      </c>
    </row>
    <row r="110" spans="1:17" ht="12.95" customHeight="1" x14ac:dyDescent="0.2">
      <c r="A110" s="36" t="s">
        <v>418</v>
      </c>
      <c r="B110" s="37" t="str">
        <f>'Risk Master'!C109&amp;"-"&amp;'Risk Master'!D109</f>
        <v>Hurricane-Typhoon -San Francisco</v>
      </c>
      <c r="C110" s="29" t="str">
        <f>'Risk Master'!F109</f>
        <v>A47</v>
      </c>
      <c r="D110" s="37" t="str">
        <f>VLOOKUP(C110,'Asset Master'!A:B,2,FALSE)</f>
        <v>Heat Exchanger-San Francisco</v>
      </c>
      <c r="E110" s="64">
        <f>'Risk Master'!N109</f>
        <v>60000</v>
      </c>
      <c r="H110" s="66">
        <v>0</v>
      </c>
      <c r="I110" s="29">
        <v>0</v>
      </c>
      <c r="J110" s="66">
        <v>0</v>
      </c>
      <c r="K110" s="29">
        <v>0</v>
      </c>
      <c r="L110" s="66">
        <v>1</v>
      </c>
      <c r="M110" s="29">
        <v>0</v>
      </c>
      <c r="N110" s="66">
        <v>1</v>
      </c>
      <c r="O110" s="66">
        <v>0</v>
      </c>
      <c r="P110" s="29">
        <v>0</v>
      </c>
      <c r="Q110" s="66">
        <v>0</v>
      </c>
    </row>
    <row r="111" spans="1:17" ht="12.95" customHeight="1" x14ac:dyDescent="0.2">
      <c r="A111" s="36" t="s">
        <v>420</v>
      </c>
      <c r="B111" s="37" t="str">
        <f>'Risk Master'!C110&amp;"-"&amp;'Risk Master'!D110</f>
        <v>Earthquake-San Francisco</v>
      </c>
      <c r="C111" s="29" t="str">
        <f>'Risk Master'!F110</f>
        <v>A47</v>
      </c>
      <c r="D111" s="37" t="str">
        <f>VLOOKUP(C111,'Asset Master'!A:B,2,FALSE)</f>
        <v>Heat Exchanger-San Francisco</v>
      </c>
      <c r="E111" s="64">
        <f>'Risk Master'!N110</f>
        <v>60000</v>
      </c>
      <c r="H111" s="66">
        <v>0</v>
      </c>
      <c r="I111" s="29">
        <v>1</v>
      </c>
      <c r="J111" s="66">
        <v>0</v>
      </c>
      <c r="K111" s="29">
        <v>0</v>
      </c>
      <c r="L111" s="66">
        <v>0</v>
      </c>
      <c r="M111" s="29">
        <v>0</v>
      </c>
      <c r="N111" s="66">
        <v>0</v>
      </c>
      <c r="O111" s="66">
        <v>0</v>
      </c>
      <c r="P111" s="29">
        <v>1</v>
      </c>
      <c r="Q111" s="66">
        <v>0</v>
      </c>
    </row>
    <row r="112" spans="1:17" ht="12.95" customHeight="1" x14ac:dyDescent="0.2">
      <c r="A112" s="36" t="s">
        <v>422</v>
      </c>
      <c r="B112" s="37" t="str">
        <f>'Risk Master'!C111&amp;"-"&amp;'Risk Master'!D111</f>
        <v>Thunderstorms, Tornados &amp; Hail-San Francisco</v>
      </c>
      <c r="C112" s="29" t="str">
        <f>'Risk Master'!F111</f>
        <v>A49</v>
      </c>
      <c r="D112" s="37" t="str">
        <f>VLOOKUP(C112,'Asset Master'!A:B,2,FALSE)</f>
        <v>Property (Office Locations)-San Francisco</v>
      </c>
      <c r="E112" s="64">
        <f>'Risk Master'!N111</f>
        <v>80000</v>
      </c>
      <c r="H112" s="66">
        <v>0</v>
      </c>
      <c r="I112" s="29">
        <v>0</v>
      </c>
      <c r="J112" s="66">
        <v>0</v>
      </c>
      <c r="K112" s="29">
        <v>0</v>
      </c>
      <c r="L112" s="66">
        <v>0</v>
      </c>
      <c r="M112" s="29">
        <v>0</v>
      </c>
      <c r="N112" s="66">
        <v>0</v>
      </c>
      <c r="O112" s="66">
        <v>1</v>
      </c>
      <c r="P112" s="29">
        <v>0</v>
      </c>
      <c r="Q112" s="66">
        <v>0</v>
      </c>
    </row>
    <row r="113" spans="1:17" ht="12.95" customHeight="1" x14ac:dyDescent="0.2">
      <c r="A113" s="36" t="s">
        <v>424</v>
      </c>
      <c r="B113" s="37" t="str">
        <f>'Risk Master'!C112&amp;"-"&amp;'Risk Master'!D112</f>
        <v>Hurricane-Typhoon -San Francisco</v>
      </c>
      <c r="C113" s="29" t="str">
        <f>'Risk Master'!F112</f>
        <v>A49</v>
      </c>
      <c r="D113" s="37" t="str">
        <f>VLOOKUP(C113,'Asset Master'!A:B,2,FALSE)</f>
        <v>Property (Office Locations)-San Francisco</v>
      </c>
      <c r="E113" s="64">
        <f>'Risk Master'!N112</f>
        <v>80000</v>
      </c>
      <c r="H113" s="66">
        <v>0</v>
      </c>
      <c r="I113" s="29">
        <v>0</v>
      </c>
      <c r="J113" s="66">
        <v>1</v>
      </c>
      <c r="K113" s="29">
        <v>0</v>
      </c>
      <c r="L113" s="66">
        <v>1</v>
      </c>
      <c r="M113" s="29">
        <v>0</v>
      </c>
      <c r="N113" s="66">
        <v>0</v>
      </c>
      <c r="O113" s="66">
        <v>0</v>
      </c>
      <c r="P113" s="29">
        <v>0</v>
      </c>
      <c r="Q113" s="66">
        <v>0</v>
      </c>
    </row>
    <row r="114" spans="1:17" ht="12.95" customHeight="1" x14ac:dyDescent="0.2">
      <c r="A114" s="36" t="s">
        <v>426</v>
      </c>
      <c r="B114" s="37" t="str">
        <f>'Risk Master'!C113&amp;"-"&amp;'Risk Master'!D113</f>
        <v>Earthquake-San Francisco</v>
      </c>
      <c r="C114" s="29" t="str">
        <f>'Risk Master'!F113</f>
        <v>A49</v>
      </c>
      <c r="D114" s="37" t="str">
        <f>VLOOKUP(C114,'Asset Master'!A:B,2,FALSE)</f>
        <v>Property (Office Locations)-San Francisco</v>
      </c>
      <c r="E114" s="64">
        <f>'Risk Master'!N113</f>
        <v>80000</v>
      </c>
      <c r="H114" s="66">
        <v>0</v>
      </c>
      <c r="I114" s="29">
        <v>0</v>
      </c>
      <c r="J114" s="66">
        <v>0</v>
      </c>
      <c r="K114" s="29">
        <v>1</v>
      </c>
      <c r="L114" s="66">
        <v>0</v>
      </c>
      <c r="M114" s="29">
        <v>0</v>
      </c>
      <c r="N114" s="66">
        <v>0</v>
      </c>
      <c r="O114" s="66">
        <v>0</v>
      </c>
      <c r="P114" s="29">
        <v>0</v>
      </c>
      <c r="Q114" s="66">
        <v>0</v>
      </c>
    </row>
    <row r="115" spans="1:17" ht="12.95" customHeight="1" x14ac:dyDescent="0.2">
      <c r="A115" s="36" t="s">
        <v>428</v>
      </c>
      <c r="B115" s="37" t="str">
        <f>'Risk Master'!C114&amp;"-"&amp;'Risk Master'!D114</f>
        <v>Thunderstorms, Tornados &amp; Hail-San Francisco</v>
      </c>
      <c r="C115" s="29" t="str">
        <f>'Risk Master'!F114</f>
        <v>A53</v>
      </c>
      <c r="D115" s="37" t="str">
        <f>VLOOKUP(C115,'Asset Master'!A:B,2,FALSE)</f>
        <v>Supermarkets &amp; Malls-San Francisco</v>
      </c>
      <c r="E115" s="64">
        <f>'Risk Master'!N114</f>
        <v>50000</v>
      </c>
      <c r="H115" s="66">
        <v>0</v>
      </c>
      <c r="I115" s="29">
        <v>0</v>
      </c>
      <c r="J115" s="66">
        <v>1</v>
      </c>
      <c r="K115" s="29">
        <v>0</v>
      </c>
      <c r="L115" s="66">
        <v>1</v>
      </c>
      <c r="M115" s="29">
        <v>0</v>
      </c>
      <c r="N115" s="66">
        <v>0</v>
      </c>
      <c r="O115" s="66">
        <v>0</v>
      </c>
      <c r="P115" s="29">
        <v>0</v>
      </c>
      <c r="Q115" s="66">
        <v>0</v>
      </c>
    </row>
    <row r="116" spans="1:17" ht="12.95" customHeight="1" x14ac:dyDescent="0.2">
      <c r="A116" s="36" t="s">
        <v>430</v>
      </c>
      <c r="B116" s="37" t="str">
        <f>'Risk Master'!C115&amp;"-"&amp;'Risk Master'!D115</f>
        <v>Hurricane-Typhoon -San Francisco</v>
      </c>
      <c r="C116" s="29" t="str">
        <f>'Risk Master'!F115</f>
        <v>A53</v>
      </c>
      <c r="D116" s="37" t="str">
        <f>VLOOKUP(C116,'Asset Master'!A:B,2,FALSE)</f>
        <v>Supermarkets &amp; Malls-San Francisco</v>
      </c>
      <c r="E116" s="64">
        <f>'Risk Master'!N115</f>
        <v>50000</v>
      </c>
      <c r="H116" s="66">
        <v>0</v>
      </c>
      <c r="I116" s="29">
        <v>0</v>
      </c>
      <c r="J116" s="66">
        <v>0</v>
      </c>
      <c r="K116" s="29">
        <v>0</v>
      </c>
      <c r="L116" s="66">
        <v>0</v>
      </c>
      <c r="M116" s="29">
        <v>0</v>
      </c>
      <c r="N116" s="66">
        <v>0</v>
      </c>
      <c r="O116" s="66">
        <v>0</v>
      </c>
      <c r="P116" s="29">
        <v>0</v>
      </c>
      <c r="Q116" s="66">
        <v>0</v>
      </c>
    </row>
    <row r="117" spans="1:17" ht="12.95" customHeight="1" x14ac:dyDescent="0.2">
      <c r="A117" s="36" t="s">
        <v>432</v>
      </c>
      <c r="B117" s="37" t="str">
        <f>'Risk Master'!C116&amp;"-"&amp;'Risk Master'!D116</f>
        <v>Earthquake-San Francisco</v>
      </c>
      <c r="C117" s="29" t="str">
        <f>'Risk Master'!F116</f>
        <v>A53</v>
      </c>
      <c r="D117" s="37" t="str">
        <f>VLOOKUP(C117,'Asset Master'!A:B,2,FALSE)</f>
        <v>Supermarkets &amp; Malls-San Francisco</v>
      </c>
      <c r="E117" s="64">
        <f>'Risk Master'!N116</f>
        <v>50000</v>
      </c>
      <c r="H117" s="66">
        <v>0</v>
      </c>
      <c r="I117" s="29">
        <v>0</v>
      </c>
      <c r="J117" s="66">
        <v>1</v>
      </c>
      <c r="K117" s="29">
        <v>0</v>
      </c>
      <c r="L117" s="66">
        <v>1</v>
      </c>
      <c r="M117" s="29">
        <v>0</v>
      </c>
      <c r="N117" s="66">
        <v>0</v>
      </c>
      <c r="O117" s="66">
        <v>0</v>
      </c>
      <c r="P117" s="29">
        <v>0</v>
      </c>
      <c r="Q117" s="66">
        <v>0</v>
      </c>
    </row>
    <row r="118" spans="1:17" ht="12.95" customHeight="1" x14ac:dyDescent="0.2">
      <c r="A118" s="36" t="s">
        <v>434</v>
      </c>
      <c r="B118" s="37" t="str">
        <f>'Risk Master'!C117&amp;"-"&amp;'Risk Master'!D117</f>
        <v>Thunderstorms, Tornados &amp; Hail-San Francisco</v>
      </c>
      <c r="C118" s="29" t="str">
        <f>'Risk Master'!F117</f>
        <v>A54</v>
      </c>
      <c r="D118" s="37" t="str">
        <f>VLOOKUP(C118,'Asset Master'!A:B,2,FALSE)</f>
        <v>Mines-San Francisco</v>
      </c>
      <c r="E118" s="64">
        <f>'Risk Master'!N117</f>
        <v>30000</v>
      </c>
      <c r="H118" s="66">
        <v>0</v>
      </c>
      <c r="I118" s="29">
        <v>1</v>
      </c>
      <c r="J118" s="66">
        <v>0</v>
      </c>
      <c r="K118" s="29">
        <v>1</v>
      </c>
      <c r="L118" s="66">
        <v>0</v>
      </c>
      <c r="M118" s="29">
        <v>0</v>
      </c>
      <c r="N118" s="66">
        <v>0</v>
      </c>
      <c r="O118" s="66">
        <v>0</v>
      </c>
      <c r="P118" s="29">
        <v>1</v>
      </c>
      <c r="Q118" s="66">
        <v>0</v>
      </c>
    </row>
    <row r="119" spans="1:17" ht="12.95" customHeight="1" x14ac:dyDescent="0.2">
      <c r="A119" s="36" t="s">
        <v>436</v>
      </c>
      <c r="B119" s="37" t="str">
        <f>'Risk Master'!C118&amp;"-"&amp;'Risk Master'!D118</f>
        <v>Hurricane-Typhoon -San Francisco</v>
      </c>
      <c r="C119" s="29" t="str">
        <f>'Risk Master'!F118</f>
        <v>A55</v>
      </c>
      <c r="D119" s="37" t="str">
        <f>VLOOKUP(C119,'Asset Master'!A:B,2,FALSE)</f>
        <v>Power Plants-San Francisco</v>
      </c>
      <c r="E119" s="64">
        <f>'Risk Master'!N118</f>
        <v>50000</v>
      </c>
      <c r="H119" s="66">
        <v>0</v>
      </c>
      <c r="I119" s="29">
        <v>0</v>
      </c>
      <c r="J119" s="66">
        <v>1</v>
      </c>
      <c r="K119" s="29">
        <v>0</v>
      </c>
      <c r="L119" s="66">
        <v>1</v>
      </c>
      <c r="M119" s="29">
        <v>0</v>
      </c>
      <c r="N119" s="66">
        <v>1</v>
      </c>
      <c r="O119" s="66">
        <v>0</v>
      </c>
      <c r="P119" s="29">
        <v>0</v>
      </c>
      <c r="Q119" s="66">
        <v>1</v>
      </c>
    </row>
    <row r="120" spans="1:17" ht="12.95" customHeight="1" x14ac:dyDescent="0.2">
      <c r="A120" s="36" t="s">
        <v>438</v>
      </c>
      <c r="B120" s="37" t="str">
        <f>'Risk Master'!C119&amp;"-"&amp;'Risk Master'!D119</f>
        <v>Earthquake-San Francisco</v>
      </c>
      <c r="C120" s="29" t="str">
        <f>'Risk Master'!F119</f>
        <v>A60</v>
      </c>
      <c r="D120" s="37" t="str">
        <f>VLOOKUP(C120,'Asset Master'!A:B,2,FALSE)</f>
        <v>Fleets &amp; Cars-San Francisco</v>
      </c>
      <c r="E120" s="64">
        <f>'Risk Master'!N119</f>
        <v>40000</v>
      </c>
      <c r="H120" s="66">
        <v>0</v>
      </c>
      <c r="I120" s="29">
        <v>0</v>
      </c>
      <c r="J120" s="66">
        <v>0</v>
      </c>
      <c r="K120" s="29">
        <v>0</v>
      </c>
      <c r="L120" s="66">
        <v>0</v>
      </c>
      <c r="M120" s="29">
        <v>0</v>
      </c>
      <c r="N120" s="66">
        <v>0</v>
      </c>
      <c r="O120" s="66">
        <v>0</v>
      </c>
      <c r="P120" s="29">
        <v>0</v>
      </c>
      <c r="Q120" s="66">
        <v>0</v>
      </c>
    </row>
    <row r="121" spans="1:17" ht="12.95" customHeight="1" x14ac:dyDescent="0.2">
      <c r="A121" s="36" t="s">
        <v>440</v>
      </c>
      <c r="B121" s="37" t="str">
        <f>'Risk Master'!C120&amp;"-"&amp;'Risk Master'!D120</f>
        <v>Hurricane-Typhoon -San Francisco</v>
      </c>
      <c r="C121" s="29" t="str">
        <f>'Risk Master'!F120</f>
        <v>A58</v>
      </c>
      <c r="D121" s="37" t="str">
        <f>VLOOKUP(C121,'Asset Master'!A:B,2,FALSE)</f>
        <v>Aircrafts-San Francisco</v>
      </c>
      <c r="E121" s="64">
        <f>'Risk Master'!N120</f>
        <v>20000</v>
      </c>
      <c r="H121" s="66">
        <v>0</v>
      </c>
      <c r="I121" s="29">
        <v>0</v>
      </c>
      <c r="J121" s="66">
        <v>0</v>
      </c>
      <c r="K121" s="29">
        <v>0</v>
      </c>
      <c r="L121" s="66">
        <v>1</v>
      </c>
      <c r="M121" s="29">
        <v>0</v>
      </c>
      <c r="N121" s="66">
        <v>1</v>
      </c>
      <c r="O121" s="66">
        <v>0</v>
      </c>
      <c r="P121" s="29">
        <v>1</v>
      </c>
      <c r="Q121" s="66">
        <v>0</v>
      </c>
    </row>
    <row r="122" spans="1:17" ht="12.95" customHeight="1" x14ac:dyDescent="0.2">
      <c r="A122" s="36" t="s">
        <v>442</v>
      </c>
      <c r="B122" s="37" t="str">
        <f>'Risk Master'!C121&amp;"-"&amp;'Risk Master'!D121</f>
        <v>Thunderstorms, Tornados &amp; Hail-Calgary</v>
      </c>
      <c r="C122" s="29" t="str">
        <f>'Risk Master'!F121</f>
        <v>A64</v>
      </c>
      <c r="D122" s="37" t="str">
        <f>VLOOKUP(C122,'Asset Master'!A:B,2,FALSE)</f>
        <v>Property (Office Locations)-Calgary</v>
      </c>
      <c r="E122" s="64">
        <f>'Risk Master'!N121</f>
        <v>100000</v>
      </c>
      <c r="H122" s="66">
        <v>0</v>
      </c>
      <c r="I122" s="29">
        <v>0</v>
      </c>
      <c r="J122" s="66">
        <v>0</v>
      </c>
      <c r="K122" s="29">
        <v>0</v>
      </c>
      <c r="L122" s="66">
        <v>0</v>
      </c>
      <c r="M122" s="29">
        <v>0</v>
      </c>
      <c r="N122" s="66">
        <v>0</v>
      </c>
      <c r="O122" s="66">
        <v>0</v>
      </c>
      <c r="P122" s="29">
        <v>0</v>
      </c>
      <c r="Q122" s="66">
        <v>0</v>
      </c>
    </row>
    <row r="123" spans="1:17" ht="12.95" customHeight="1" x14ac:dyDescent="0.2">
      <c r="A123" s="36" t="s">
        <v>444</v>
      </c>
      <c r="B123" s="37" t="str">
        <f>'Risk Master'!C122&amp;"-"&amp;'Risk Master'!D122</f>
        <v>Hurricane-Typhoon -Calgary</v>
      </c>
      <c r="C123" s="29" t="str">
        <f>'Risk Master'!F122</f>
        <v>A64</v>
      </c>
      <c r="D123" s="37" t="str">
        <f>VLOOKUP(C123,'Asset Master'!A:B,2,FALSE)</f>
        <v>Property (Office Locations)-Calgary</v>
      </c>
      <c r="E123" s="64">
        <f>'Risk Master'!N122</f>
        <v>100000</v>
      </c>
      <c r="H123" s="66">
        <v>0</v>
      </c>
      <c r="I123" s="29">
        <v>0</v>
      </c>
      <c r="J123" s="66">
        <v>1</v>
      </c>
      <c r="K123" s="29">
        <v>0</v>
      </c>
      <c r="L123" s="66">
        <v>1</v>
      </c>
      <c r="M123" s="29">
        <v>0</v>
      </c>
      <c r="N123" s="66">
        <v>0</v>
      </c>
      <c r="O123" s="66">
        <v>0</v>
      </c>
      <c r="P123" s="29">
        <v>1</v>
      </c>
      <c r="Q123" s="66">
        <v>0</v>
      </c>
    </row>
    <row r="124" spans="1:17" ht="12.95" customHeight="1" x14ac:dyDescent="0.2">
      <c r="A124" s="36" t="s">
        <v>446</v>
      </c>
      <c r="B124" s="37" t="str">
        <f>'Risk Master'!C123&amp;"-"&amp;'Risk Master'!D123</f>
        <v>Earthquake-Calgary</v>
      </c>
      <c r="C124" s="29" t="str">
        <f>'Risk Master'!F123</f>
        <v>A64</v>
      </c>
      <c r="D124" s="37" t="str">
        <f>VLOOKUP(C124,'Asset Master'!A:B,2,FALSE)</f>
        <v>Property (Office Locations)-Calgary</v>
      </c>
      <c r="E124" s="64">
        <f>'Risk Master'!N123</f>
        <v>100000</v>
      </c>
      <c r="H124" s="66">
        <v>0</v>
      </c>
      <c r="I124" s="29">
        <v>0</v>
      </c>
      <c r="J124" s="66">
        <v>0</v>
      </c>
      <c r="K124" s="29">
        <v>0</v>
      </c>
      <c r="L124" s="66">
        <v>0</v>
      </c>
      <c r="M124" s="29">
        <v>0</v>
      </c>
      <c r="N124" s="66">
        <v>0</v>
      </c>
      <c r="O124" s="66">
        <v>0</v>
      </c>
      <c r="P124" s="29">
        <v>0</v>
      </c>
      <c r="Q124" s="66">
        <v>0</v>
      </c>
    </row>
    <row r="125" spans="1:17" ht="12.95" customHeight="1" x14ac:dyDescent="0.2">
      <c r="A125" s="36" t="s">
        <v>448</v>
      </c>
      <c r="B125" s="37" t="str">
        <f>'Risk Master'!C124&amp;"-"&amp;'Risk Master'!D124</f>
        <v>Thunderstorms, Tornados &amp; Hail-Calgary</v>
      </c>
      <c r="C125" s="29" t="str">
        <f>'Risk Master'!F124</f>
        <v>A67</v>
      </c>
      <c r="D125" s="37" t="str">
        <f>VLOOKUP(C125,'Asset Master'!A:B,2,FALSE)</f>
        <v>Hotels &amp; Resorts-Calgary</v>
      </c>
      <c r="E125" s="64">
        <f>'Risk Master'!N124</f>
        <v>110000</v>
      </c>
      <c r="H125" s="66">
        <v>0</v>
      </c>
      <c r="I125" s="29">
        <v>0</v>
      </c>
      <c r="J125" s="66">
        <v>0</v>
      </c>
      <c r="K125" s="29">
        <v>0</v>
      </c>
      <c r="L125" s="66">
        <v>0</v>
      </c>
      <c r="M125" s="29">
        <v>0</v>
      </c>
      <c r="N125" s="66">
        <v>0</v>
      </c>
      <c r="O125" s="29">
        <v>0</v>
      </c>
      <c r="P125" s="29">
        <v>1</v>
      </c>
      <c r="Q125" s="66">
        <v>0</v>
      </c>
    </row>
    <row r="126" spans="1:17" ht="12.95" customHeight="1" x14ac:dyDescent="0.2">
      <c r="A126" s="36" t="s">
        <v>450</v>
      </c>
      <c r="B126" s="37" t="str">
        <f>'Risk Master'!C125&amp;"-"&amp;'Risk Master'!D125</f>
        <v>Hurricane-Typhoon -Calgary</v>
      </c>
      <c r="C126" s="29" t="str">
        <f>'Risk Master'!F125</f>
        <v>A68</v>
      </c>
      <c r="D126" s="37" t="str">
        <f>VLOOKUP(C126,'Asset Master'!A:B,2,FALSE)</f>
        <v>Supermarkets &amp; Malls-Calgary</v>
      </c>
      <c r="E126" s="64">
        <f>'Risk Master'!N125</f>
        <v>30000</v>
      </c>
      <c r="H126" s="66">
        <v>0</v>
      </c>
      <c r="I126" s="29">
        <v>0</v>
      </c>
      <c r="J126" s="66">
        <v>0</v>
      </c>
      <c r="K126" s="29">
        <v>0</v>
      </c>
      <c r="L126" s="66">
        <v>0</v>
      </c>
      <c r="M126" s="29">
        <v>0</v>
      </c>
      <c r="N126" s="66">
        <v>0</v>
      </c>
      <c r="O126" s="29">
        <v>0</v>
      </c>
      <c r="P126" s="29">
        <v>0</v>
      </c>
      <c r="Q126" s="66">
        <v>0</v>
      </c>
    </row>
    <row r="127" spans="1:17" ht="12.95" customHeight="1" x14ac:dyDescent="0.2">
      <c r="A127" s="36" t="s">
        <v>452</v>
      </c>
      <c r="B127" s="37" t="str">
        <f>'Risk Master'!C126&amp;"-"&amp;'Risk Master'!D126</f>
        <v>Earthquake-Calgary</v>
      </c>
      <c r="C127" s="29" t="str">
        <f>'Risk Master'!F126</f>
        <v>A69</v>
      </c>
      <c r="D127" s="37" t="str">
        <f>VLOOKUP(C127,'Asset Master'!A:B,2,FALSE)</f>
        <v>Mines-Calgary</v>
      </c>
      <c r="E127" s="64">
        <f>'Risk Master'!N126</f>
        <v>30000</v>
      </c>
      <c r="H127" s="66">
        <v>0</v>
      </c>
      <c r="I127" s="29">
        <v>0</v>
      </c>
      <c r="J127" s="66">
        <v>0</v>
      </c>
      <c r="K127" s="29">
        <v>0</v>
      </c>
      <c r="L127" s="66">
        <v>0</v>
      </c>
      <c r="M127" s="29">
        <v>0</v>
      </c>
      <c r="N127" s="66">
        <v>1</v>
      </c>
      <c r="O127" s="29">
        <v>0</v>
      </c>
      <c r="P127" s="29">
        <v>0</v>
      </c>
      <c r="Q127" s="66">
        <v>0</v>
      </c>
    </row>
    <row r="128" spans="1:17" ht="12.95" customHeight="1" x14ac:dyDescent="0.2">
      <c r="A128" s="36" t="s">
        <v>454</v>
      </c>
      <c r="B128" s="37" t="str">
        <f>'Risk Master'!C127&amp;"-"&amp;'Risk Master'!D127</f>
        <v>Thunderstorms, Tornados &amp; Hail-Calgary</v>
      </c>
      <c r="C128" s="29" t="str">
        <f>'Risk Master'!F127</f>
        <v>A71</v>
      </c>
      <c r="D128" s="37" t="str">
        <f>VLOOKUP(C128,'Asset Master'!A:B,2,FALSE)</f>
        <v>Oil Refineries-Calgary</v>
      </c>
      <c r="E128" s="64">
        <f>'Risk Master'!N127</f>
        <v>100000</v>
      </c>
      <c r="H128" s="66">
        <v>1</v>
      </c>
      <c r="I128" s="29">
        <v>0</v>
      </c>
      <c r="J128" s="66">
        <v>0</v>
      </c>
      <c r="K128" s="29">
        <v>0</v>
      </c>
      <c r="L128" s="66">
        <v>0</v>
      </c>
      <c r="M128" s="29">
        <v>0</v>
      </c>
      <c r="N128" s="66">
        <v>0</v>
      </c>
      <c r="O128" s="29">
        <v>0</v>
      </c>
      <c r="P128" s="29">
        <v>0</v>
      </c>
      <c r="Q128" s="66">
        <v>0</v>
      </c>
    </row>
    <row r="129" spans="1:17" ht="12.95" customHeight="1" x14ac:dyDescent="0.2">
      <c r="A129" s="36" t="s">
        <v>456</v>
      </c>
      <c r="B129" s="37" t="str">
        <f>'Risk Master'!C128&amp;"-"&amp;'Risk Master'!D128</f>
        <v>Hurricane-Typhoon -Calgary</v>
      </c>
      <c r="C129" s="29" t="str">
        <f>'Risk Master'!F128</f>
        <v>A72</v>
      </c>
      <c r="D129" s="37" t="str">
        <f>VLOOKUP(C129,'Asset Master'!A:B,2,FALSE)</f>
        <v>Telecom Towers-Calgary</v>
      </c>
      <c r="E129" s="64">
        <f>'Risk Master'!N128</f>
        <v>50000</v>
      </c>
      <c r="H129" s="66">
        <v>0</v>
      </c>
      <c r="I129" s="29">
        <v>1</v>
      </c>
      <c r="J129" s="66">
        <v>0</v>
      </c>
      <c r="K129" s="29">
        <v>1</v>
      </c>
      <c r="L129" s="66">
        <v>0</v>
      </c>
      <c r="M129" s="29">
        <v>1</v>
      </c>
      <c r="N129" s="66">
        <v>0</v>
      </c>
      <c r="O129" s="29">
        <v>1</v>
      </c>
      <c r="P129" s="29">
        <v>1</v>
      </c>
      <c r="Q129" s="66">
        <v>0</v>
      </c>
    </row>
    <row r="130" spans="1:17" ht="12.95" customHeight="1" x14ac:dyDescent="0.2">
      <c r="A130" s="36" t="s">
        <v>458</v>
      </c>
      <c r="B130" s="37" t="str">
        <f>'Risk Master'!C129&amp;"-"&amp;'Risk Master'!D129</f>
        <v>Earthquake-Calgary</v>
      </c>
      <c r="C130" s="29" t="str">
        <f>'Risk Master'!F129</f>
        <v>A73</v>
      </c>
      <c r="D130" s="37" t="str">
        <f>VLOOKUP(C130,'Asset Master'!A:B,2,FALSE)</f>
        <v>Aircrafts-Calgary</v>
      </c>
      <c r="E130" s="64">
        <f>'Risk Master'!N129</f>
        <v>20000</v>
      </c>
      <c r="H130" s="66">
        <v>0</v>
      </c>
      <c r="I130" s="29">
        <v>1</v>
      </c>
      <c r="J130" s="66">
        <v>0</v>
      </c>
      <c r="K130" s="29">
        <v>1</v>
      </c>
      <c r="L130" s="66">
        <v>1</v>
      </c>
      <c r="M130" s="29">
        <v>0</v>
      </c>
      <c r="N130" s="66">
        <v>0</v>
      </c>
      <c r="O130" s="29">
        <v>1</v>
      </c>
      <c r="P130" s="29">
        <v>1</v>
      </c>
      <c r="Q130" s="66">
        <v>0</v>
      </c>
    </row>
    <row r="131" spans="1:17" ht="12.95" customHeight="1" x14ac:dyDescent="0.2">
      <c r="A131" s="36" t="s">
        <v>460</v>
      </c>
      <c r="B131" s="37" t="str">
        <f>'Risk Master'!C130&amp;"-"&amp;'Risk Master'!D130</f>
        <v>Thunderstorms, Tornados &amp; Hail-Calgary</v>
      </c>
      <c r="C131" s="29" t="str">
        <f>'Risk Master'!F130</f>
        <v>A75</v>
      </c>
      <c r="D131" s="37" t="str">
        <f>VLOOKUP(C131,'Asset Master'!A:B,2,FALSE)</f>
        <v>Fleets &amp; Cars-Calgary</v>
      </c>
      <c r="E131" s="64">
        <f>'Risk Master'!N130</f>
        <v>20000</v>
      </c>
      <c r="H131" s="66">
        <v>0</v>
      </c>
      <c r="I131" s="29">
        <v>0</v>
      </c>
      <c r="J131" s="66">
        <v>0</v>
      </c>
      <c r="K131" s="29">
        <v>0</v>
      </c>
      <c r="L131" s="66">
        <v>0</v>
      </c>
      <c r="M131" s="29">
        <v>0</v>
      </c>
      <c r="N131" s="66">
        <v>0</v>
      </c>
      <c r="O131" s="29">
        <v>0</v>
      </c>
      <c r="P131" s="29">
        <v>0</v>
      </c>
      <c r="Q131" s="66">
        <v>0</v>
      </c>
    </row>
    <row r="132" spans="1:17" ht="12.95" customHeight="1" x14ac:dyDescent="0.2">
      <c r="A132" s="36" t="s">
        <v>462</v>
      </c>
      <c r="B132" s="37" t="str">
        <f>'Risk Master'!C131&amp;"-"&amp;'Risk Master'!D131</f>
        <v>Hurricane-Typhoon -Calgary</v>
      </c>
      <c r="C132" s="29" t="str">
        <f>'Risk Master'!F131</f>
        <v>A67</v>
      </c>
      <c r="D132" s="37" t="str">
        <f>VLOOKUP(C132,'Asset Master'!A:B,2,FALSE)</f>
        <v>Hotels &amp; Resorts-Calgary</v>
      </c>
      <c r="E132" s="64">
        <f>'Risk Master'!N131</f>
        <v>110000</v>
      </c>
      <c r="H132" s="66">
        <v>1</v>
      </c>
      <c r="I132" s="29">
        <v>0</v>
      </c>
      <c r="J132" s="66">
        <v>0</v>
      </c>
      <c r="K132" s="29">
        <v>1</v>
      </c>
      <c r="L132" s="66">
        <v>0</v>
      </c>
      <c r="M132" s="29">
        <v>0</v>
      </c>
      <c r="N132" s="66">
        <v>0</v>
      </c>
      <c r="O132" s="29">
        <v>1</v>
      </c>
      <c r="P132" s="29">
        <v>0</v>
      </c>
      <c r="Q132" s="66">
        <v>0</v>
      </c>
    </row>
    <row r="133" spans="1:17" ht="12.95" customHeight="1" x14ac:dyDescent="0.2">
      <c r="A133" s="36" t="s">
        <v>464</v>
      </c>
      <c r="B133" s="37" t="str">
        <f>'Risk Master'!C132&amp;"-"&amp;'Risk Master'!D132</f>
        <v>Earthquake-Calgary</v>
      </c>
      <c r="C133" s="29" t="str">
        <f>'Risk Master'!F132</f>
        <v>A68</v>
      </c>
      <c r="D133" s="37" t="str">
        <f>VLOOKUP(C133,'Asset Master'!A:B,2,FALSE)</f>
        <v>Supermarkets &amp; Malls-Calgary</v>
      </c>
      <c r="E133" s="64">
        <f>'Risk Master'!N132</f>
        <v>30000</v>
      </c>
      <c r="H133" s="66">
        <v>0</v>
      </c>
      <c r="I133" s="29">
        <v>0</v>
      </c>
      <c r="J133" s="66">
        <v>0</v>
      </c>
      <c r="K133" s="29">
        <v>0</v>
      </c>
      <c r="L133" s="66">
        <v>1</v>
      </c>
      <c r="M133" s="29">
        <v>0</v>
      </c>
      <c r="N133" s="66">
        <v>0</v>
      </c>
      <c r="O133" s="29">
        <v>0</v>
      </c>
      <c r="P133" s="29">
        <v>0</v>
      </c>
      <c r="Q133" s="66">
        <v>1</v>
      </c>
    </row>
    <row r="134" spans="1:17" ht="12.95" customHeight="1" x14ac:dyDescent="0.2">
      <c r="A134" s="36" t="s">
        <v>466</v>
      </c>
      <c r="B134" s="37" t="str">
        <f>'Risk Master'!C133&amp;"-"&amp;'Risk Master'!D133</f>
        <v>Hurricane-Typhoon -Calgary</v>
      </c>
      <c r="C134" s="29" t="str">
        <f>'Risk Master'!F133</f>
        <v>A73</v>
      </c>
      <c r="D134" s="37" t="str">
        <f>VLOOKUP(C134,'Asset Master'!A:B,2,FALSE)</f>
        <v>Aircrafts-Calgary</v>
      </c>
      <c r="E134" s="64">
        <f>'Risk Master'!N133</f>
        <v>20000</v>
      </c>
      <c r="H134" s="66">
        <v>1</v>
      </c>
      <c r="I134" s="29">
        <v>0</v>
      </c>
      <c r="J134" s="66">
        <v>0</v>
      </c>
      <c r="K134" s="29">
        <v>0</v>
      </c>
      <c r="L134" s="66">
        <v>0</v>
      </c>
      <c r="M134" s="29">
        <v>0</v>
      </c>
      <c r="N134" s="66">
        <v>0</v>
      </c>
      <c r="O134" s="29">
        <v>0</v>
      </c>
      <c r="P134" s="29">
        <v>0</v>
      </c>
      <c r="Q134" s="66">
        <v>0</v>
      </c>
    </row>
    <row r="135" spans="1:17" ht="12.95" customHeight="1" x14ac:dyDescent="0.2">
      <c r="A135" s="36" t="s">
        <v>468</v>
      </c>
      <c r="B135" s="37" t="str">
        <f>'Risk Master'!C134&amp;"-"&amp;'Risk Master'!D134</f>
        <v>Thunderstorms, Tornados &amp; Tropical storms-Gulf of Mexico</v>
      </c>
      <c r="C135" s="29" t="str">
        <f>'Risk Master'!F134</f>
        <v>A78</v>
      </c>
      <c r="D135" s="37" t="str">
        <f>VLOOKUP(C135,'Asset Master'!A:B,2,FALSE)</f>
        <v>Pipelines-Gulf of Mexico</v>
      </c>
      <c r="E135" s="64">
        <f>'Risk Master'!N134</f>
        <v>40000</v>
      </c>
      <c r="H135" s="66">
        <v>0</v>
      </c>
      <c r="I135" s="29">
        <v>1</v>
      </c>
      <c r="J135" s="66">
        <v>0</v>
      </c>
      <c r="K135" s="29">
        <v>1</v>
      </c>
      <c r="L135" s="66">
        <v>1</v>
      </c>
      <c r="M135" s="29">
        <v>0</v>
      </c>
      <c r="N135" s="66">
        <v>0</v>
      </c>
      <c r="O135" s="29">
        <v>0</v>
      </c>
      <c r="P135" s="29">
        <v>0</v>
      </c>
      <c r="Q135" s="66">
        <v>0</v>
      </c>
    </row>
    <row r="136" spans="1:17" ht="12.95" customHeight="1" x14ac:dyDescent="0.2">
      <c r="A136" s="36" t="s">
        <v>470</v>
      </c>
      <c r="B136" s="37" t="str">
        <f>'Risk Master'!C135&amp;"-"&amp;'Risk Master'!D135</f>
        <v>Hurricane-Typhoon -Gulf of Mexico</v>
      </c>
      <c r="C136" s="29" t="str">
        <f>'Risk Master'!F135</f>
        <v>A79</v>
      </c>
      <c r="D136" s="37" t="str">
        <f>VLOOKUP(C136,'Asset Master'!A:B,2,FALSE)</f>
        <v>Property (Office Locations)-Gulf of Mexico</v>
      </c>
      <c r="E136" s="64">
        <f>'Risk Master'!N135</f>
        <v>50000</v>
      </c>
      <c r="H136" s="66">
        <v>0</v>
      </c>
      <c r="I136" s="29">
        <v>1</v>
      </c>
      <c r="J136" s="66">
        <v>0</v>
      </c>
      <c r="K136" s="29">
        <v>1</v>
      </c>
      <c r="L136" s="66">
        <v>0</v>
      </c>
      <c r="M136" s="29">
        <v>0</v>
      </c>
      <c r="N136" s="66">
        <v>0</v>
      </c>
      <c r="O136" s="29">
        <v>1</v>
      </c>
      <c r="P136" s="29">
        <v>0</v>
      </c>
      <c r="Q136" s="66">
        <v>1</v>
      </c>
    </row>
    <row r="137" spans="1:17" ht="12.95" customHeight="1" x14ac:dyDescent="0.2">
      <c r="A137" s="36" t="s">
        <v>472</v>
      </c>
      <c r="B137" s="37" t="str">
        <f>'Risk Master'!C136&amp;"-"&amp;'Risk Master'!D136</f>
        <v>Thunderstorms, Tornados &amp; Tropical storms-Gulf of Mexico</v>
      </c>
      <c r="C137" s="29" t="str">
        <f>'Risk Master'!F136</f>
        <v>A81</v>
      </c>
      <c r="D137" s="37" t="str">
        <f>VLOOKUP(C137,'Asset Master'!A:B,2,FALSE)</f>
        <v>Warehouse &amp; Cold Storage-Gulf of Mexico</v>
      </c>
      <c r="E137" s="64">
        <f>'Risk Master'!N136</f>
        <v>20000</v>
      </c>
      <c r="H137" s="66">
        <v>0</v>
      </c>
      <c r="I137" s="29">
        <v>0</v>
      </c>
      <c r="J137" s="66">
        <v>1</v>
      </c>
      <c r="K137" s="29">
        <v>0</v>
      </c>
      <c r="L137" s="66">
        <v>1</v>
      </c>
      <c r="M137" s="29">
        <v>0</v>
      </c>
      <c r="N137" s="66">
        <v>0</v>
      </c>
      <c r="O137" s="29">
        <v>0</v>
      </c>
      <c r="P137" s="29">
        <v>0</v>
      </c>
      <c r="Q137" s="66">
        <v>0</v>
      </c>
    </row>
    <row r="138" spans="1:17" ht="12.95" customHeight="1" x14ac:dyDescent="0.2">
      <c r="A138" s="36" t="s">
        <v>474</v>
      </c>
      <c r="B138" s="37" t="str">
        <f>'Risk Master'!C137&amp;"-"&amp;'Risk Master'!D137</f>
        <v>Thunderstorms, Tornados &amp; Tropical storms-Gulf of Mexico</v>
      </c>
      <c r="C138" s="29" t="str">
        <f>'Risk Master'!F137</f>
        <v>A83</v>
      </c>
      <c r="D138" s="37" t="str">
        <f>VLOOKUP(C138,'Asset Master'!A:B,2,FALSE)</f>
        <v>Supermarkets &amp; Malls-Gulf of Mexico</v>
      </c>
      <c r="E138" s="64">
        <f>'Risk Master'!N137</f>
        <v>30000</v>
      </c>
      <c r="H138" s="66">
        <v>0</v>
      </c>
      <c r="I138" s="29">
        <v>0</v>
      </c>
      <c r="J138" s="66">
        <v>0</v>
      </c>
      <c r="K138" s="29">
        <v>0</v>
      </c>
      <c r="L138" s="66">
        <v>0</v>
      </c>
      <c r="M138" s="29">
        <v>0</v>
      </c>
      <c r="N138" s="66">
        <v>0</v>
      </c>
      <c r="O138" s="29">
        <v>0</v>
      </c>
      <c r="P138" s="29">
        <v>0</v>
      </c>
      <c r="Q138" s="66">
        <v>1</v>
      </c>
    </row>
    <row r="139" spans="1:17" ht="12.95" customHeight="1" x14ac:dyDescent="0.2">
      <c r="A139" s="36" t="s">
        <v>476</v>
      </c>
      <c r="B139" s="37" t="str">
        <f>'Risk Master'!C138&amp;"-"&amp;'Risk Master'!D138</f>
        <v>Thunderstorms, Tornados &amp; Tropical storms-Gulf of Mexico</v>
      </c>
      <c r="C139" s="29" t="str">
        <f>'Risk Master'!F138</f>
        <v>A88</v>
      </c>
      <c r="D139" s="37" t="str">
        <f>VLOOKUP(C139,'Asset Master'!A:B,2,FALSE)</f>
        <v>Aircrafts-Gulf of Mexico</v>
      </c>
      <c r="E139" s="64">
        <f>'Risk Master'!N138</f>
        <v>50000</v>
      </c>
      <c r="H139" s="66">
        <v>0</v>
      </c>
      <c r="I139" s="29">
        <v>1</v>
      </c>
      <c r="J139" s="66">
        <v>0</v>
      </c>
      <c r="K139" s="29">
        <v>1</v>
      </c>
      <c r="L139" s="66">
        <v>1</v>
      </c>
      <c r="M139" s="29">
        <v>1</v>
      </c>
      <c r="N139" s="66">
        <v>0</v>
      </c>
      <c r="O139" s="29">
        <v>0</v>
      </c>
      <c r="P139" s="29">
        <v>0</v>
      </c>
      <c r="Q139" s="66">
        <v>0</v>
      </c>
    </row>
    <row r="140" spans="1:17" ht="12.95" customHeight="1" x14ac:dyDescent="0.2">
      <c r="A140" s="36" t="s">
        <v>671</v>
      </c>
      <c r="B140" s="37" t="str">
        <f>'Risk Master'!C139&amp;"-"&amp;'Risk Master'!D139</f>
        <v>Earthquake-Gulf of Mexico</v>
      </c>
      <c r="C140" s="29" t="str">
        <f>'Risk Master'!F139</f>
        <v>A90</v>
      </c>
      <c r="D140" s="37" t="str">
        <f>VLOOKUP(C140,'Asset Master'!A:B,2,FALSE)</f>
        <v>Fleets &amp; Cars-Gulf of Mexico</v>
      </c>
      <c r="E140" s="64">
        <f>'Risk Master'!N139</f>
        <v>60000</v>
      </c>
      <c r="H140" s="66">
        <v>0</v>
      </c>
      <c r="I140" s="29">
        <v>0</v>
      </c>
      <c r="J140" s="66">
        <v>0</v>
      </c>
      <c r="K140" s="29">
        <v>0</v>
      </c>
      <c r="L140" s="66">
        <v>0</v>
      </c>
      <c r="M140" s="29">
        <v>0</v>
      </c>
      <c r="N140" s="66">
        <v>0</v>
      </c>
      <c r="O140" s="29">
        <v>0</v>
      </c>
      <c r="P140" s="29">
        <v>0</v>
      </c>
      <c r="Q140" s="66">
        <v>1</v>
      </c>
    </row>
    <row r="141" spans="1:17" ht="12.95" customHeight="1" x14ac:dyDescent="0.2">
      <c r="A141" s="36" t="s">
        <v>672</v>
      </c>
      <c r="B141" s="37" t="str">
        <f>'Risk Master'!C140&amp;"-"&amp;'Risk Master'!D140</f>
        <v>Thunderstorms, Tornados &amp; Hail-Tokyo</v>
      </c>
      <c r="C141" s="29" t="str">
        <f>'Risk Master'!F140</f>
        <v>A93</v>
      </c>
      <c r="D141" s="37" t="str">
        <f>VLOOKUP(C141,'Asset Master'!A:B,2,FALSE)</f>
        <v>Pipelines-Tokyo</v>
      </c>
      <c r="E141" s="64">
        <f>'Risk Master'!N140</f>
        <v>40000</v>
      </c>
      <c r="H141" s="66">
        <v>0</v>
      </c>
      <c r="I141" s="29">
        <v>1</v>
      </c>
      <c r="J141" s="66">
        <v>0</v>
      </c>
      <c r="K141" s="29">
        <v>1</v>
      </c>
      <c r="L141" s="66">
        <v>1</v>
      </c>
      <c r="M141" s="29">
        <v>0</v>
      </c>
      <c r="N141" s="66">
        <v>1</v>
      </c>
      <c r="O141" s="29">
        <v>0</v>
      </c>
      <c r="P141" s="29">
        <v>0</v>
      </c>
      <c r="Q141" s="66">
        <v>0</v>
      </c>
    </row>
    <row r="142" spans="1:17" ht="12.95" customHeight="1" x14ac:dyDescent="0.2">
      <c r="A142" s="36" t="s">
        <v>673</v>
      </c>
      <c r="B142" s="37" t="str">
        <f>'Risk Master'!C141&amp;"-"&amp;'Risk Master'!D141</f>
        <v>Hurricane-Typhoon -Tokyo</v>
      </c>
      <c r="C142" s="29" t="str">
        <f>'Risk Master'!F141</f>
        <v>A93</v>
      </c>
      <c r="D142" s="37" t="str">
        <f>VLOOKUP(C142,'Asset Master'!A:B,2,FALSE)</f>
        <v>Pipelines-Tokyo</v>
      </c>
      <c r="E142" s="64">
        <f>'Risk Master'!N141</f>
        <v>40000</v>
      </c>
      <c r="H142" s="66">
        <v>0</v>
      </c>
      <c r="I142" s="29">
        <v>0</v>
      </c>
      <c r="J142" s="66">
        <v>0</v>
      </c>
      <c r="K142" s="29">
        <v>0</v>
      </c>
      <c r="L142" s="29">
        <v>0</v>
      </c>
      <c r="M142" s="29">
        <v>0</v>
      </c>
      <c r="N142" s="66">
        <v>0</v>
      </c>
      <c r="O142" s="29">
        <v>0</v>
      </c>
      <c r="P142" s="29">
        <v>0</v>
      </c>
      <c r="Q142" s="66">
        <v>1</v>
      </c>
    </row>
    <row r="143" spans="1:17" ht="12.95" customHeight="1" x14ac:dyDescent="0.2">
      <c r="A143" s="36" t="s">
        <v>674</v>
      </c>
      <c r="B143" s="37" t="str">
        <f>'Risk Master'!C142&amp;"-"&amp;'Risk Master'!D142</f>
        <v>Earthquake-Tokyo</v>
      </c>
      <c r="C143" s="29" t="str">
        <f>'Risk Master'!F142</f>
        <v>A93</v>
      </c>
      <c r="D143" s="37" t="str">
        <f>VLOOKUP(C143,'Asset Master'!A:B,2,FALSE)</f>
        <v>Pipelines-Tokyo</v>
      </c>
      <c r="E143" s="64">
        <f>'Risk Master'!N142</f>
        <v>40000</v>
      </c>
      <c r="H143" s="66">
        <v>0</v>
      </c>
      <c r="I143" s="29">
        <v>0</v>
      </c>
      <c r="J143" s="66">
        <v>0</v>
      </c>
      <c r="K143" s="29">
        <v>1</v>
      </c>
      <c r="L143" s="29">
        <v>0</v>
      </c>
      <c r="M143" s="29">
        <v>0</v>
      </c>
      <c r="N143" s="66">
        <v>0</v>
      </c>
      <c r="O143" s="29">
        <v>0</v>
      </c>
      <c r="P143" s="29">
        <v>0</v>
      </c>
      <c r="Q143" s="66">
        <v>0</v>
      </c>
    </row>
    <row r="144" spans="1:17" ht="12.95" customHeight="1" x14ac:dyDescent="0.2">
      <c r="A144" s="36" t="s">
        <v>675</v>
      </c>
      <c r="B144" s="37" t="str">
        <f>'Risk Master'!C143&amp;"-"&amp;'Risk Master'!D143</f>
        <v>Thunderstorms, Tornados &amp; Hail-Tokyo</v>
      </c>
      <c r="C144" s="29" t="str">
        <f>'Risk Master'!F143</f>
        <v>A94</v>
      </c>
      <c r="D144" s="37" t="str">
        <f>VLOOKUP(C144,'Asset Master'!A:B,2,FALSE)</f>
        <v>Property (Office Locations)-Tokyo</v>
      </c>
      <c r="E144" s="64">
        <f>'Risk Master'!N143</f>
        <v>30000</v>
      </c>
      <c r="H144" s="66">
        <v>0</v>
      </c>
      <c r="I144" s="29">
        <v>0</v>
      </c>
      <c r="J144" s="66">
        <v>0</v>
      </c>
      <c r="K144" s="29">
        <v>0</v>
      </c>
      <c r="L144" s="29">
        <v>0</v>
      </c>
      <c r="M144" s="29">
        <v>0</v>
      </c>
      <c r="N144" s="66">
        <v>1</v>
      </c>
      <c r="O144" s="29">
        <v>0</v>
      </c>
      <c r="P144" s="29">
        <v>0</v>
      </c>
      <c r="Q144" s="66">
        <v>1</v>
      </c>
    </row>
    <row r="145" spans="1:17" ht="12.95" customHeight="1" x14ac:dyDescent="0.2">
      <c r="A145" s="36" t="s">
        <v>676</v>
      </c>
      <c r="B145" s="37" t="str">
        <f>'Risk Master'!C144&amp;"-"&amp;'Risk Master'!D144</f>
        <v>Hurricane-Typhoon -Tokyo</v>
      </c>
      <c r="C145" s="29" t="str">
        <f>'Risk Master'!F144</f>
        <v>A94</v>
      </c>
      <c r="D145" s="37" t="str">
        <f>VLOOKUP(C145,'Asset Master'!A:B,2,FALSE)</f>
        <v>Property (Office Locations)-Tokyo</v>
      </c>
      <c r="E145" s="64">
        <f>'Risk Master'!N144</f>
        <v>30000</v>
      </c>
      <c r="H145" s="66">
        <v>0</v>
      </c>
      <c r="I145" s="29">
        <v>0</v>
      </c>
      <c r="J145" s="66">
        <v>0</v>
      </c>
      <c r="K145" s="29">
        <v>0</v>
      </c>
      <c r="L145" s="29">
        <v>0</v>
      </c>
      <c r="M145" s="29">
        <v>0</v>
      </c>
      <c r="N145" s="66">
        <v>0</v>
      </c>
      <c r="O145" s="29">
        <v>0</v>
      </c>
      <c r="P145" s="29">
        <v>0</v>
      </c>
      <c r="Q145" s="29">
        <v>0</v>
      </c>
    </row>
    <row r="146" spans="1:17" ht="12.95" customHeight="1" x14ac:dyDescent="0.2">
      <c r="A146" s="36" t="s">
        <v>677</v>
      </c>
      <c r="B146" s="37" t="str">
        <f>'Risk Master'!C145&amp;"-"&amp;'Risk Master'!D145</f>
        <v>Earthquake-Tokyo</v>
      </c>
      <c r="C146" s="29" t="str">
        <f>'Risk Master'!F145</f>
        <v>A98</v>
      </c>
      <c r="D146" s="37" t="str">
        <f>VLOOKUP(C146,'Asset Master'!A:B,2,FALSE)</f>
        <v>Supermarkets &amp; Malls-Tokyo</v>
      </c>
      <c r="E146" s="64">
        <f>'Risk Master'!N145</f>
        <v>30000</v>
      </c>
      <c r="H146" s="66">
        <v>0</v>
      </c>
      <c r="I146" s="29">
        <v>0</v>
      </c>
      <c r="J146" s="66">
        <v>0</v>
      </c>
      <c r="K146" s="29">
        <v>0</v>
      </c>
      <c r="L146" s="29">
        <v>0</v>
      </c>
      <c r="M146" s="29">
        <v>0</v>
      </c>
      <c r="N146" s="66">
        <v>1</v>
      </c>
      <c r="O146" s="29">
        <v>0</v>
      </c>
      <c r="P146" s="29">
        <v>0</v>
      </c>
      <c r="Q146" s="29">
        <v>0</v>
      </c>
    </row>
    <row r="147" spans="1:17" ht="12.95" customHeight="1" x14ac:dyDescent="0.2">
      <c r="A147" s="36" t="s">
        <v>678</v>
      </c>
      <c r="B147" s="37" t="str">
        <f>'Risk Master'!C146&amp;"-"&amp;'Risk Master'!D146</f>
        <v>Thunderstorms, Tornados &amp; Hail-Tokyo</v>
      </c>
      <c r="C147" s="29" t="str">
        <f>'Risk Master'!F146</f>
        <v>A99</v>
      </c>
      <c r="D147" s="37" t="str">
        <f>VLOOKUP(C147,'Asset Master'!A:B,2,FALSE)</f>
        <v>Mines-Tokyo</v>
      </c>
      <c r="E147" s="64">
        <f>'Risk Master'!N146</f>
        <v>30000</v>
      </c>
      <c r="H147" s="66">
        <v>0</v>
      </c>
      <c r="I147" s="29">
        <v>0</v>
      </c>
      <c r="J147" s="66">
        <v>0</v>
      </c>
      <c r="K147" s="29">
        <v>0</v>
      </c>
      <c r="L147" s="29">
        <v>0</v>
      </c>
      <c r="M147" s="29">
        <v>0</v>
      </c>
      <c r="N147" s="66">
        <v>0</v>
      </c>
      <c r="O147" s="29">
        <v>0</v>
      </c>
      <c r="P147" s="29">
        <v>0</v>
      </c>
      <c r="Q147" s="29">
        <v>0</v>
      </c>
    </row>
    <row r="148" spans="1:17" ht="12.95" customHeight="1" x14ac:dyDescent="0.2">
      <c r="A148" s="36" t="s">
        <v>679</v>
      </c>
      <c r="B148" s="37" t="str">
        <f>'Risk Master'!C147&amp;"-"&amp;'Risk Master'!D147</f>
        <v>Fire-Tokyo</v>
      </c>
      <c r="C148" s="29" t="str">
        <f>'Risk Master'!F147</f>
        <v>A103</v>
      </c>
      <c r="D148" s="37" t="str">
        <f>VLOOKUP(C148,'Asset Master'!A:B,2,FALSE)</f>
        <v>Aircrafts-Tokyo</v>
      </c>
      <c r="E148" s="64">
        <f>'Risk Master'!N147</f>
        <v>20000</v>
      </c>
      <c r="H148" s="66">
        <v>0</v>
      </c>
      <c r="I148" s="29">
        <v>0</v>
      </c>
      <c r="J148" s="66">
        <v>0</v>
      </c>
      <c r="K148" s="29">
        <v>0</v>
      </c>
      <c r="L148" s="29">
        <v>0</v>
      </c>
      <c r="M148" s="29">
        <v>0</v>
      </c>
      <c r="N148" s="66">
        <v>1</v>
      </c>
      <c r="O148" s="29">
        <v>1</v>
      </c>
      <c r="P148" s="29">
        <v>0</v>
      </c>
      <c r="Q148" s="29">
        <v>1</v>
      </c>
    </row>
    <row r="149" spans="1:17" ht="12.95" customHeight="1" x14ac:dyDescent="0.2">
      <c r="A149" s="36" t="s">
        <v>680</v>
      </c>
      <c r="B149" s="37" t="str">
        <f>'Risk Master'!C148&amp;"-"&amp;'Risk Master'!D148</f>
        <v>Earthquake-Tokyo</v>
      </c>
      <c r="C149" s="29" t="str">
        <f>'Risk Master'!F148</f>
        <v>A103</v>
      </c>
      <c r="D149" s="37" t="str">
        <f>VLOOKUP(C149,'Asset Master'!A:B,2,FALSE)</f>
        <v>Aircrafts-Tokyo</v>
      </c>
      <c r="E149" s="64">
        <f>'Risk Master'!N148</f>
        <v>20000</v>
      </c>
      <c r="H149" s="66">
        <v>0</v>
      </c>
      <c r="I149" s="29">
        <v>0</v>
      </c>
      <c r="J149" s="66">
        <v>0</v>
      </c>
      <c r="K149" s="29">
        <v>0</v>
      </c>
      <c r="L149" s="29">
        <v>0</v>
      </c>
      <c r="M149" s="29">
        <v>0</v>
      </c>
      <c r="N149" s="66">
        <v>0</v>
      </c>
      <c r="O149" s="29">
        <v>0</v>
      </c>
      <c r="P149" s="29">
        <v>0</v>
      </c>
      <c r="Q149" s="29">
        <v>1</v>
      </c>
    </row>
    <row r="150" spans="1:17" ht="12.95" customHeight="1" x14ac:dyDescent="0.2">
      <c r="A150" s="36" t="s">
        <v>681</v>
      </c>
      <c r="B150" s="37" t="str">
        <f>'Risk Master'!C149&amp;"-"&amp;'Risk Master'!D149</f>
        <v>Thunderstorms, Tornados &amp; Hail-Tokyo</v>
      </c>
      <c r="C150" s="29" t="str">
        <f>'Risk Master'!F149</f>
        <v>A105</v>
      </c>
      <c r="D150" s="37" t="str">
        <f>VLOOKUP(C150,'Asset Master'!A:B,2,FALSE)</f>
        <v>Fleets &amp; Cars-Tokyo</v>
      </c>
      <c r="E150" s="64">
        <f>'Risk Master'!N149</f>
        <v>40000</v>
      </c>
      <c r="H150" s="66">
        <v>0</v>
      </c>
      <c r="I150" s="29">
        <v>0</v>
      </c>
      <c r="J150" s="66">
        <v>0</v>
      </c>
      <c r="K150" s="29">
        <v>0</v>
      </c>
      <c r="L150" s="29">
        <v>0</v>
      </c>
      <c r="M150" s="29">
        <v>0</v>
      </c>
      <c r="N150" s="66">
        <v>1</v>
      </c>
      <c r="O150" s="29">
        <v>0</v>
      </c>
      <c r="P150" s="29">
        <v>0</v>
      </c>
      <c r="Q150" s="29">
        <v>1</v>
      </c>
    </row>
    <row r="151" spans="1:17" ht="12.95" customHeight="1" x14ac:dyDescent="0.2">
      <c r="A151" s="36" t="s">
        <v>682</v>
      </c>
      <c r="B151" s="37" t="str">
        <f>'Risk Master'!C150&amp;"-"&amp;'Risk Master'!D150</f>
        <v>Hurricane-Typhoon -Tokyo</v>
      </c>
      <c r="C151" s="29" t="str">
        <f>'Risk Master'!F150</f>
        <v>A105</v>
      </c>
      <c r="D151" s="37" t="str">
        <f>VLOOKUP(C151,'Asset Master'!A:B,2,FALSE)</f>
        <v>Fleets &amp; Cars-Tokyo</v>
      </c>
      <c r="E151" s="64">
        <f>'Risk Master'!N150</f>
        <v>40000</v>
      </c>
      <c r="H151" s="66">
        <v>0</v>
      </c>
      <c r="I151" s="29">
        <v>0</v>
      </c>
      <c r="J151" s="66">
        <v>1</v>
      </c>
      <c r="K151" s="29">
        <v>0</v>
      </c>
      <c r="L151" s="29">
        <v>0</v>
      </c>
      <c r="M151" s="29">
        <v>0</v>
      </c>
      <c r="N151" s="66">
        <v>0</v>
      </c>
      <c r="O151" s="29">
        <v>1</v>
      </c>
      <c r="P151" s="29">
        <v>0</v>
      </c>
      <c r="Q151" s="29">
        <v>0</v>
      </c>
    </row>
    <row r="152" spans="1:17" ht="12.95" customHeight="1" x14ac:dyDescent="0.2">
      <c r="A152" s="36" t="s">
        <v>683</v>
      </c>
      <c r="B152" s="37" t="str">
        <f>'Risk Master'!C151&amp;"-"&amp;'Risk Master'!D151</f>
        <v>Earthquake-Tokyo</v>
      </c>
      <c r="C152" s="29" t="str">
        <f>'Risk Master'!F151</f>
        <v>A105</v>
      </c>
      <c r="D152" s="37" t="str">
        <f>VLOOKUP(C152,'Asset Master'!A:B,2,FALSE)</f>
        <v>Fleets &amp; Cars-Tokyo</v>
      </c>
      <c r="E152" s="64">
        <f>'Risk Master'!N151</f>
        <v>40000</v>
      </c>
      <c r="H152" s="66">
        <v>0</v>
      </c>
      <c r="I152" s="29">
        <v>0</v>
      </c>
      <c r="J152" s="66">
        <v>0</v>
      </c>
      <c r="K152" s="29">
        <v>0</v>
      </c>
      <c r="L152" s="29">
        <v>0</v>
      </c>
      <c r="M152" s="29">
        <v>0</v>
      </c>
      <c r="N152" s="66">
        <v>1</v>
      </c>
      <c r="O152" s="29">
        <v>0</v>
      </c>
      <c r="P152" s="29">
        <v>0</v>
      </c>
      <c r="Q152" s="29">
        <v>0</v>
      </c>
    </row>
    <row r="153" spans="1:17" ht="12.95" customHeight="1" x14ac:dyDescent="0.2">
      <c r="A153" s="36" t="s">
        <v>684</v>
      </c>
      <c r="B153" s="37" t="str">
        <f>'Risk Master'!C152&amp;"-"&amp;'Risk Master'!D152</f>
        <v>Fire-Tokyo</v>
      </c>
      <c r="C153" s="29" t="str">
        <f>'Risk Master'!F152</f>
        <v>A94</v>
      </c>
      <c r="D153" s="37" t="str">
        <f>VLOOKUP(C153,'Asset Master'!A:B,2,FALSE)</f>
        <v>Property (Office Locations)-Tokyo</v>
      </c>
      <c r="E153" s="64">
        <f>'Risk Master'!N152</f>
        <v>30000</v>
      </c>
      <c r="H153" s="66">
        <v>0</v>
      </c>
      <c r="I153" s="29">
        <v>0</v>
      </c>
      <c r="J153" s="66">
        <v>0</v>
      </c>
      <c r="K153" s="29">
        <v>0</v>
      </c>
      <c r="L153" s="29">
        <v>0</v>
      </c>
      <c r="M153" s="29">
        <v>0</v>
      </c>
      <c r="N153" s="29">
        <v>0</v>
      </c>
      <c r="O153" s="29">
        <v>1</v>
      </c>
      <c r="P153" s="29">
        <v>0</v>
      </c>
      <c r="Q153" s="29">
        <v>0</v>
      </c>
    </row>
    <row r="154" spans="1:17" ht="12.95" customHeight="1" x14ac:dyDescent="0.2">
      <c r="A154" s="36" t="s">
        <v>685</v>
      </c>
      <c r="B154" s="37" t="str">
        <f>'Risk Master'!C153&amp;"-"&amp;'Risk Master'!D153</f>
        <v>Thunderstorms, Tornados &amp; Hail-Tokyo</v>
      </c>
      <c r="C154" s="29" t="str">
        <f>'Risk Master'!F153</f>
        <v>A98</v>
      </c>
      <c r="D154" s="37" t="str">
        <f>VLOOKUP(C154,'Asset Master'!A:B,2,FALSE)</f>
        <v>Supermarkets &amp; Malls-Tokyo</v>
      </c>
      <c r="E154" s="64">
        <f>'Risk Master'!N153</f>
        <v>30000</v>
      </c>
      <c r="H154" s="66">
        <v>0</v>
      </c>
      <c r="I154" s="29">
        <v>0</v>
      </c>
      <c r="J154" s="66">
        <v>1</v>
      </c>
      <c r="K154" s="29">
        <v>0</v>
      </c>
      <c r="L154" s="29">
        <v>0</v>
      </c>
      <c r="M154" s="29">
        <v>0</v>
      </c>
      <c r="N154" s="29">
        <v>0</v>
      </c>
      <c r="O154" s="29">
        <v>0</v>
      </c>
      <c r="P154" s="29">
        <v>0</v>
      </c>
      <c r="Q154" s="29">
        <v>0</v>
      </c>
    </row>
    <row r="155" spans="1:17" ht="12.95" customHeight="1" x14ac:dyDescent="0.2">
      <c r="A155" s="36" t="s">
        <v>686</v>
      </c>
      <c r="B155" s="37" t="str">
        <f>'Risk Master'!C154&amp;"-"&amp;'Risk Master'!D154</f>
        <v>Tropical Storm-Tokyo</v>
      </c>
      <c r="C155" s="29" t="str">
        <f>'Risk Master'!F154</f>
        <v>A99</v>
      </c>
      <c r="D155" s="37" t="str">
        <f>VLOOKUP(C155,'Asset Master'!A:B,2,FALSE)</f>
        <v>Mines-Tokyo</v>
      </c>
      <c r="E155" s="64">
        <f>'Risk Master'!N154</f>
        <v>30000</v>
      </c>
      <c r="H155" s="66">
        <v>0</v>
      </c>
      <c r="I155" s="29">
        <v>0</v>
      </c>
      <c r="J155" s="66">
        <v>0</v>
      </c>
      <c r="K155" s="29">
        <v>0</v>
      </c>
      <c r="L155" s="29">
        <v>0</v>
      </c>
      <c r="M155" s="29">
        <v>0</v>
      </c>
      <c r="N155" s="29">
        <v>0</v>
      </c>
      <c r="O155" s="29">
        <v>1</v>
      </c>
      <c r="P155" s="29">
        <v>0</v>
      </c>
      <c r="Q155" s="29">
        <v>0</v>
      </c>
    </row>
    <row r="156" spans="1:17" ht="12.95" customHeight="1" x14ac:dyDescent="0.2">
      <c r="A156" s="36" t="s">
        <v>687</v>
      </c>
      <c r="B156" s="37" t="str">
        <f>'Risk Master'!C155&amp;"-"&amp;'Risk Master'!D155</f>
        <v>Earthquake-Tokyo</v>
      </c>
      <c r="C156" s="29" t="str">
        <f>'Risk Master'!F155</f>
        <v>A98</v>
      </c>
      <c r="D156" s="37" t="str">
        <f>VLOOKUP(C156,'Asset Master'!A:B,2,FALSE)</f>
        <v>Supermarkets &amp; Malls-Tokyo</v>
      </c>
      <c r="E156" s="64">
        <f>'Risk Master'!N155</f>
        <v>30000</v>
      </c>
      <c r="H156" s="66">
        <v>0</v>
      </c>
      <c r="I156" s="29">
        <v>0</v>
      </c>
      <c r="J156" s="66">
        <v>1</v>
      </c>
      <c r="K156" s="29">
        <v>1</v>
      </c>
      <c r="L156" s="29">
        <v>1</v>
      </c>
      <c r="M156" s="29">
        <v>0</v>
      </c>
      <c r="N156" s="29">
        <v>0</v>
      </c>
      <c r="O156" s="29">
        <v>1</v>
      </c>
      <c r="P156" s="29">
        <v>0</v>
      </c>
      <c r="Q156" s="29">
        <v>1</v>
      </c>
    </row>
    <row r="157" spans="1:17" ht="12.95" customHeight="1" x14ac:dyDescent="0.2">
      <c r="A157" s="36" t="s">
        <v>688</v>
      </c>
      <c r="B157" s="37" t="str">
        <f>'Risk Master'!C156&amp;"-"&amp;'Risk Master'!D156</f>
        <v>Fire-Tokyo</v>
      </c>
      <c r="C157" s="29" t="str">
        <f>'Risk Master'!F156</f>
        <v>A99</v>
      </c>
      <c r="D157" s="37" t="str">
        <f>VLOOKUP(C157,'Asset Master'!A:B,2,FALSE)</f>
        <v>Mines-Tokyo</v>
      </c>
      <c r="E157" s="64">
        <f>'Risk Master'!N156</f>
        <v>30000</v>
      </c>
      <c r="H157" s="66">
        <v>0</v>
      </c>
      <c r="I157" s="29">
        <v>0</v>
      </c>
      <c r="J157" s="66">
        <v>0</v>
      </c>
      <c r="K157" s="29">
        <v>0</v>
      </c>
      <c r="L157" s="29">
        <v>0</v>
      </c>
      <c r="M157" s="29">
        <v>0</v>
      </c>
      <c r="N157" s="29">
        <v>0</v>
      </c>
      <c r="O157" s="29">
        <v>1</v>
      </c>
      <c r="P157" s="29">
        <v>0</v>
      </c>
      <c r="Q157" s="29">
        <v>0</v>
      </c>
    </row>
    <row r="158" spans="1:17" ht="12.95" customHeight="1" x14ac:dyDescent="0.2">
      <c r="A158" s="36" t="s">
        <v>689</v>
      </c>
      <c r="B158" s="37" t="str">
        <f>'Risk Master'!C157&amp;"-"&amp;'Risk Master'!D157</f>
        <v>Fire-Tokyo</v>
      </c>
      <c r="C158" s="29" t="str">
        <f>'Risk Master'!F157</f>
        <v>A98</v>
      </c>
      <c r="D158" s="37" t="str">
        <f>VLOOKUP(C158,'Asset Master'!A:B,2,FALSE)</f>
        <v>Supermarkets &amp; Malls-Tokyo</v>
      </c>
      <c r="E158" s="64">
        <f>'Risk Master'!N157</f>
        <v>30000</v>
      </c>
      <c r="H158" s="66">
        <v>0</v>
      </c>
      <c r="I158" s="29">
        <v>0</v>
      </c>
      <c r="J158" s="66">
        <v>1</v>
      </c>
      <c r="K158" s="29">
        <v>0</v>
      </c>
      <c r="L158" s="29">
        <v>0</v>
      </c>
      <c r="M158" s="29">
        <v>0</v>
      </c>
      <c r="N158" s="29">
        <v>1</v>
      </c>
      <c r="O158" s="29">
        <v>0</v>
      </c>
      <c r="P158" s="29">
        <v>0</v>
      </c>
      <c r="Q158" s="29">
        <v>0</v>
      </c>
    </row>
    <row r="159" spans="1:17" ht="12.95" customHeight="1" x14ac:dyDescent="0.2">
      <c r="A159" s="36" t="s">
        <v>690</v>
      </c>
      <c r="B159" s="37" t="str">
        <f>'Risk Master'!C158&amp;"-"&amp;'Risk Master'!D158</f>
        <v>Thunderstorms, Tornados &amp; Tropical storms-Caribbean Islands</v>
      </c>
      <c r="C159" s="29" t="str">
        <f>'Risk Master'!F158</f>
        <v>A109</v>
      </c>
      <c r="D159" s="37" t="str">
        <f>VLOOKUP(C159,'Asset Master'!A:B,2,FALSE)</f>
        <v>Property (Office Locations)-Caribbean Islands</v>
      </c>
      <c r="E159" s="64">
        <f>'Risk Master'!N158</f>
        <v>40000</v>
      </c>
      <c r="H159" s="66">
        <v>0</v>
      </c>
      <c r="I159" s="29">
        <v>0</v>
      </c>
      <c r="J159" s="66">
        <v>0</v>
      </c>
      <c r="K159" s="29">
        <v>0</v>
      </c>
      <c r="L159" s="29">
        <v>0</v>
      </c>
      <c r="M159" s="29">
        <v>0</v>
      </c>
      <c r="N159" s="29">
        <v>0</v>
      </c>
      <c r="O159" s="29">
        <v>1</v>
      </c>
      <c r="P159" s="29">
        <v>0</v>
      </c>
      <c r="Q159" s="29">
        <v>0</v>
      </c>
    </row>
    <row r="160" spans="1:17" ht="12.95" customHeight="1" x14ac:dyDescent="0.2">
      <c r="A160" s="36" t="s">
        <v>691</v>
      </c>
      <c r="B160" s="37" t="str">
        <f>'Risk Master'!C159&amp;"-"&amp;'Risk Master'!D159</f>
        <v>Thunderstorms, Tornados &amp; Tropical storms-Caribbean Islands</v>
      </c>
      <c r="C160" s="29" t="str">
        <f>'Risk Master'!F159</f>
        <v>A109</v>
      </c>
      <c r="D160" s="37" t="str">
        <f>VLOOKUP(C160,'Asset Master'!A:B,2,FALSE)</f>
        <v>Property (Office Locations)-Caribbean Islands</v>
      </c>
      <c r="E160" s="64">
        <f>'Risk Master'!N159</f>
        <v>40000</v>
      </c>
      <c r="H160" s="66">
        <v>0</v>
      </c>
      <c r="I160" s="29">
        <v>0</v>
      </c>
      <c r="J160" s="66">
        <v>1</v>
      </c>
      <c r="K160" s="29">
        <v>0</v>
      </c>
      <c r="L160" s="29">
        <v>0</v>
      </c>
      <c r="M160" s="29">
        <v>0</v>
      </c>
      <c r="N160" s="29">
        <v>0</v>
      </c>
      <c r="O160" s="29">
        <v>0</v>
      </c>
      <c r="P160" s="29">
        <v>0</v>
      </c>
      <c r="Q160" s="29">
        <v>0</v>
      </c>
    </row>
    <row r="161" spans="1:17" ht="12.95" customHeight="1" x14ac:dyDescent="0.2">
      <c r="A161" s="36" t="s">
        <v>692</v>
      </c>
      <c r="B161" s="37" t="str">
        <f>'Risk Master'!C160&amp;"-"&amp;'Risk Master'!D160</f>
        <v>Thunderstorms, Tornados &amp; Tropical storms-Caribbean Islands</v>
      </c>
      <c r="C161" s="29" t="str">
        <f>'Risk Master'!F160</f>
        <v>A113</v>
      </c>
      <c r="D161" s="37" t="str">
        <f>VLOOKUP(C161,'Asset Master'!A:B,2,FALSE)</f>
        <v>Supermarkets &amp; Malls-Caribbean Islands</v>
      </c>
      <c r="E161" s="64">
        <f>'Risk Master'!N160</f>
        <v>60000</v>
      </c>
      <c r="H161" s="66">
        <v>0</v>
      </c>
      <c r="I161" s="29">
        <v>0</v>
      </c>
      <c r="J161" s="66">
        <v>0</v>
      </c>
      <c r="K161" s="29">
        <v>0</v>
      </c>
      <c r="L161" s="29">
        <v>0</v>
      </c>
      <c r="M161" s="29">
        <v>0</v>
      </c>
      <c r="N161" s="29">
        <v>0</v>
      </c>
      <c r="O161" s="29">
        <v>1</v>
      </c>
      <c r="P161" s="29">
        <v>0</v>
      </c>
      <c r="Q161" s="29">
        <v>1</v>
      </c>
    </row>
    <row r="162" spans="1:17" ht="12.95" customHeight="1" x14ac:dyDescent="0.2">
      <c r="A162" s="36" t="s">
        <v>693</v>
      </c>
      <c r="B162" s="37" t="str">
        <f>'Risk Master'!C161&amp;"-"&amp;'Risk Master'!D161</f>
        <v>Earthquake-Caribbean Islands</v>
      </c>
      <c r="C162" s="29" t="str">
        <f>'Risk Master'!F161</f>
        <v>A113</v>
      </c>
      <c r="D162" s="37" t="str">
        <f>VLOOKUP(C162,'Asset Master'!A:B,2,FALSE)</f>
        <v>Supermarkets &amp; Malls-Caribbean Islands</v>
      </c>
      <c r="E162" s="64">
        <f>'Risk Master'!N161</f>
        <v>60000</v>
      </c>
      <c r="H162" s="66">
        <v>0</v>
      </c>
      <c r="I162" s="29">
        <v>0</v>
      </c>
      <c r="J162" s="66">
        <v>1</v>
      </c>
      <c r="K162" s="29">
        <v>0</v>
      </c>
      <c r="L162" s="29">
        <v>0</v>
      </c>
      <c r="M162" s="29">
        <v>0</v>
      </c>
      <c r="N162" s="29">
        <v>1</v>
      </c>
      <c r="O162" s="29"/>
      <c r="P162" s="29">
        <v>0</v>
      </c>
      <c r="Q162" s="29">
        <v>0</v>
      </c>
    </row>
    <row r="163" spans="1:17" ht="12.95" customHeight="1" x14ac:dyDescent="0.2">
      <c r="A163" s="36" t="s">
        <v>694</v>
      </c>
      <c r="B163" s="37" t="str">
        <f>'Risk Master'!C162&amp;"-"&amp;'Risk Master'!D162</f>
        <v>Thunderstorms, Tornados &amp; Hail-Caribbean Islands</v>
      </c>
      <c r="C163" s="29" t="str">
        <f>'Risk Master'!F162</f>
        <v>A113</v>
      </c>
      <c r="D163" s="37" t="str">
        <f>VLOOKUP(C163,'Asset Master'!A:B,2,FALSE)</f>
        <v>Supermarkets &amp; Malls-Caribbean Islands</v>
      </c>
      <c r="E163" s="64">
        <f>'Risk Master'!N162</f>
        <v>60000</v>
      </c>
      <c r="H163" s="66">
        <v>0</v>
      </c>
      <c r="I163" s="29">
        <v>1</v>
      </c>
      <c r="J163" s="29">
        <v>0</v>
      </c>
      <c r="K163" s="29">
        <v>0</v>
      </c>
      <c r="L163" s="29">
        <v>0</v>
      </c>
      <c r="M163" s="29">
        <v>0</v>
      </c>
      <c r="N163" s="29">
        <v>0</v>
      </c>
      <c r="O163" s="29">
        <v>0</v>
      </c>
      <c r="P163" s="29">
        <v>0</v>
      </c>
      <c r="Q163" s="29">
        <v>0</v>
      </c>
    </row>
    <row r="164" spans="1:17" ht="12.95" customHeight="1" x14ac:dyDescent="0.2">
      <c r="A164" s="36" t="s">
        <v>695</v>
      </c>
      <c r="B164" s="37" t="str">
        <f>'Risk Master'!C163&amp;"-"&amp;'Risk Master'!D163</f>
        <v>Thunderstorms, Tornados &amp; Tropical storms-Caribbean Islands</v>
      </c>
      <c r="C164" s="29" t="str">
        <f>'Risk Master'!F163</f>
        <v>A109</v>
      </c>
      <c r="D164" s="37" t="str">
        <f>VLOOKUP(C164,'Asset Master'!A:B,2,FALSE)</f>
        <v>Property (Office Locations)-Caribbean Islands</v>
      </c>
      <c r="E164" s="64">
        <f>'Risk Master'!N163</f>
        <v>40000</v>
      </c>
      <c r="H164" s="66">
        <v>0</v>
      </c>
      <c r="I164" s="29">
        <v>0</v>
      </c>
      <c r="J164" s="29">
        <v>0</v>
      </c>
      <c r="K164" s="29">
        <v>0</v>
      </c>
      <c r="L164" s="29">
        <v>0</v>
      </c>
      <c r="M164" s="29">
        <v>0</v>
      </c>
      <c r="N164" s="29">
        <v>0</v>
      </c>
      <c r="O164" s="29">
        <v>0</v>
      </c>
      <c r="P164" s="29">
        <v>0</v>
      </c>
      <c r="Q164" s="29">
        <v>0</v>
      </c>
    </row>
    <row r="165" spans="1:17" ht="12.95" customHeight="1" x14ac:dyDescent="0.2">
      <c r="A165" s="36" t="s">
        <v>696</v>
      </c>
      <c r="B165" s="37" t="str">
        <f>'Risk Master'!C164&amp;"-"&amp;'Risk Master'!D164</f>
        <v>Earthquake-Caribbean Islands</v>
      </c>
      <c r="C165" s="29" t="str">
        <f>'Risk Master'!F164</f>
        <v>A118</v>
      </c>
      <c r="D165" s="37" t="str">
        <f>VLOOKUP(C165,'Asset Master'!A:B,2,FALSE)</f>
        <v>Aircrafts-Caribbean Islands</v>
      </c>
      <c r="E165" s="64">
        <f>'Risk Master'!N164</f>
        <v>60000</v>
      </c>
      <c r="H165" s="66">
        <v>0</v>
      </c>
      <c r="I165" s="29">
        <v>0</v>
      </c>
      <c r="J165" s="29">
        <v>0</v>
      </c>
      <c r="K165" s="29">
        <v>0</v>
      </c>
      <c r="L165" s="29">
        <v>1</v>
      </c>
      <c r="M165" s="29">
        <v>0</v>
      </c>
      <c r="N165" s="29">
        <v>0</v>
      </c>
      <c r="O165" s="29">
        <v>1</v>
      </c>
      <c r="P165" s="29">
        <v>0</v>
      </c>
      <c r="Q165" s="29">
        <v>0</v>
      </c>
    </row>
    <row r="166" spans="1:17" ht="12.95" customHeight="1" x14ac:dyDescent="0.2">
      <c r="A166" s="36" t="s">
        <v>726</v>
      </c>
      <c r="B166" s="37" t="str">
        <f>'Risk Master'!C165&amp;"-"&amp;'Risk Master'!D165</f>
        <v>Hurricane-Typhoon -Caribbean Islands</v>
      </c>
      <c r="C166" s="29" t="str">
        <f>'Risk Master'!F165</f>
        <v>A118</v>
      </c>
      <c r="D166" s="37" t="str">
        <f>VLOOKUP(C166,'Asset Master'!A:B,2,FALSE)</f>
        <v>Aircrafts-Caribbean Islands</v>
      </c>
      <c r="E166" s="64">
        <f>'Risk Master'!N165</f>
        <v>60000</v>
      </c>
      <c r="H166" s="66">
        <v>0</v>
      </c>
      <c r="I166" s="29">
        <v>0</v>
      </c>
      <c r="J166" s="29">
        <v>0</v>
      </c>
      <c r="K166" s="29">
        <v>0</v>
      </c>
      <c r="L166" s="29">
        <v>0</v>
      </c>
      <c r="M166" s="29">
        <v>0</v>
      </c>
      <c r="N166" s="29">
        <v>0</v>
      </c>
      <c r="O166" s="29">
        <v>0</v>
      </c>
      <c r="P166" s="29">
        <v>0</v>
      </c>
      <c r="Q166" s="29">
        <v>0</v>
      </c>
    </row>
    <row r="167" spans="1:17" ht="12.95" customHeight="1" x14ac:dyDescent="0.2">
      <c r="A167" s="36" t="s">
        <v>728</v>
      </c>
      <c r="B167" s="37" t="str">
        <f>'Risk Master'!C166&amp;"-"&amp;'Risk Master'!D166</f>
        <v>Thunderstorms, Tornados &amp; Hail-Caribbean Islands</v>
      </c>
      <c r="C167" s="29" t="str">
        <f>'Risk Master'!F166</f>
        <v>A118</v>
      </c>
      <c r="D167" s="37" t="str">
        <f>VLOOKUP(C167,'Asset Master'!A:B,2,FALSE)</f>
        <v>Aircrafts-Caribbean Islands</v>
      </c>
      <c r="E167" s="64">
        <f>'Risk Master'!N166</f>
        <v>60000</v>
      </c>
      <c r="H167" s="66">
        <v>0</v>
      </c>
      <c r="I167" s="29">
        <v>0</v>
      </c>
      <c r="J167" s="29">
        <v>0</v>
      </c>
      <c r="K167" s="29">
        <v>0</v>
      </c>
      <c r="L167" s="29">
        <v>1</v>
      </c>
      <c r="M167" s="29">
        <v>0</v>
      </c>
      <c r="N167" s="29">
        <v>0</v>
      </c>
      <c r="O167" s="29">
        <v>0</v>
      </c>
      <c r="P167" s="29">
        <v>0</v>
      </c>
      <c r="Q167" s="29">
        <v>0</v>
      </c>
    </row>
    <row r="168" spans="1:17" ht="12.95" customHeight="1" x14ac:dyDescent="0.2">
      <c r="A168" s="36" t="s">
        <v>730</v>
      </c>
      <c r="B168" s="37" t="str">
        <f>'Risk Master'!C167&amp;"-"&amp;'Risk Master'!D167</f>
        <v>Hurricane-Typhoon -Caribbean Islands</v>
      </c>
      <c r="C168" s="29" t="str">
        <f>'Risk Master'!F167</f>
        <v>A120</v>
      </c>
      <c r="D168" s="37" t="str">
        <f>VLOOKUP(C168,'Asset Master'!A:B,2,FALSE)</f>
        <v>Fleets &amp; Cars-Caribbean Islands</v>
      </c>
      <c r="E168" s="64">
        <f>'Risk Master'!N167</f>
        <v>20000</v>
      </c>
      <c r="H168" s="66">
        <v>0</v>
      </c>
      <c r="I168" s="29">
        <v>0</v>
      </c>
      <c r="J168" s="29">
        <v>0</v>
      </c>
      <c r="K168" s="29">
        <v>0</v>
      </c>
      <c r="L168" s="29">
        <v>0</v>
      </c>
      <c r="M168" s="29">
        <v>1</v>
      </c>
      <c r="N168" s="29">
        <v>0</v>
      </c>
      <c r="O168" s="29">
        <v>0</v>
      </c>
      <c r="P168" s="29">
        <v>0</v>
      </c>
      <c r="Q168" s="29">
        <v>0</v>
      </c>
    </row>
    <row r="169" spans="1:17" ht="12.95" customHeight="1" x14ac:dyDescent="0.2">
      <c r="A169" s="36" t="s">
        <v>732</v>
      </c>
      <c r="B169" s="37" t="str">
        <f>'Risk Master'!C168&amp;"-"&amp;'Risk Master'!D168</f>
        <v>Earthquake-Caribbean Islands</v>
      </c>
      <c r="C169" s="29" t="str">
        <f>'Risk Master'!F168</f>
        <v>A120</v>
      </c>
      <c r="D169" s="37" t="str">
        <f>VLOOKUP(C169,'Asset Master'!A:B,2,FALSE)</f>
        <v>Fleets &amp; Cars-Caribbean Islands</v>
      </c>
      <c r="E169" s="64">
        <f>'Risk Master'!N168</f>
        <v>20000</v>
      </c>
      <c r="H169" s="66">
        <v>0</v>
      </c>
      <c r="I169" s="29">
        <v>0</v>
      </c>
      <c r="J169" s="29">
        <v>0</v>
      </c>
      <c r="K169" s="29">
        <v>0</v>
      </c>
      <c r="L169" s="29">
        <v>0</v>
      </c>
      <c r="M169" s="29">
        <v>0</v>
      </c>
      <c r="N169" s="29">
        <v>0</v>
      </c>
      <c r="O169" s="29">
        <v>0</v>
      </c>
      <c r="P169" s="29">
        <v>0</v>
      </c>
      <c r="Q169" s="29">
        <v>0</v>
      </c>
    </row>
    <row r="170" spans="1:17" ht="12.95" customHeight="1" x14ac:dyDescent="0.2">
      <c r="A170" s="36" t="s">
        <v>734</v>
      </c>
      <c r="B170" s="37" t="str">
        <f>'Risk Master'!C169&amp;"-"&amp;'Risk Master'!D169</f>
        <v>Fire-Caribbean Islands</v>
      </c>
      <c r="C170" s="29" t="str">
        <f>'Risk Master'!F169</f>
        <v>A120</v>
      </c>
      <c r="D170" s="37" t="str">
        <f>VLOOKUP(C170,'Asset Master'!A:B,2,FALSE)</f>
        <v>Fleets &amp; Cars-Caribbean Islands</v>
      </c>
      <c r="E170" s="64">
        <f>'Risk Master'!N169</f>
        <v>20000</v>
      </c>
      <c r="H170" s="66">
        <v>0</v>
      </c>
      <c r="I170" s="29">
        <v>1</v>
      </c>
      <c r="J170" s="29">
        <v>1</v>
      </c>
      <c r="K170" s="29">
        <v>1</v>
      </c>
      <c r="L170" s="29">
        <v>1</v>
      </c>
      <c r="M170" s="29">
        <v>1</v>
      </c>
      <c r="N170" s="29">
        <v>1</v>
      </c>
      <c r="O170" s="29">
        <v>0</v>
      </c>
      <c r="P170" s="29">
        <v>0</v>
      </c>
      <c r="Q170" s="29">
        <v>0</v>
      </c>
    </row>
    <row r="171" spans="1:17" ht="12.95" customHeight="1" x14ac:dyDescent="0.2">
      <c r="A171" s="36" t="s">
        <v>736</v>
      </c>
      <c r="B171" s="37" t="str">
        <f>'Risk Master'!C170&amp;"-"&amp;'Risk Master'!D170</f>
        <v>Tropical Storm-Caribbean Islands</v>
      </c>
      <c r="C171" s="29" t="str">
        <f>'Risk Master'!F170</f>
        <v>A120</v>
      </c>
      <c r="D171" s="37" t="str">
        <f>VLOOKUP(C171,'Asset Master'!A:B,2,FALSE)</f>
        <v>Fleets &amp; Cars-Caribbean Islands</v>
      </c>
      <c r="E171" s="64">
        <f>'Risk Master'!N170</f>
        <v>20000</v>
      </c>
      <c r="H171" s="66">
        <v>0</v>
      </c>
      <c r="I171" s="29">
        <v>0</v>
      </c>
      <c r="J171" s="29">
        <v>0</v>
      </c>
      <c r="K171" s="29">
        <v>0</v>
      </c>
      <c r="L171" s="29">
        <v>0</v>
      </c>
      <c r="M171" s="29">
        <v>0</v>
      </c>
      <c r="N171" s="29">
        <v>0</v>
      </c>
      <c r="O171" s="29">
        <v>0</v>
      </c>
      <c r="P171" s="29">
        <v>0</v>
      </c>
      <c r="Q171" s="29">
        <v>0</v>
      </c>
    </row>
    <row r="172" spans="1:17" ht="12.95" customHeight="1" x14ac:dyDescent="0.2">
      <c r="A172" s="36" t="s">
        <v>738</v>
      </c>
      <c r="B172" s="37" t="str">
        <f>'Risk Master'!C171&amp;"-"&amp;'Risk Master'!D171</f>
        <v>Earthquake-Texas</v>
      </c>
      <c r="C172" s="29" t="str">
        <f>'Risk Master'!F171</f>
        <v>A124</v>
      </c>
      <c r="D172" s="37" t="str">
        <f>VLOOKUP(C172,'Asset Master'!A:B,2,FALSE)</f>
        <v>Property (Office Locations)-Texas</v>
      </c>
      <c r="E172" s="64">
        <f>'Risk Master'!N171</f>
        <v>120000</v>
      </c>
      <c r="H172" s="66">
        <v>0</v>
      </c>
      <c r="I172" s="29">
        <v>0</v>
      </c>
      <c r="J172" s="29">
        <v>0</v>
      </c>
      <c r="K172" s="29">
        <v>0</v>
      </c>
      <c r="L172" s="29">
        <v>1</v>
      </c>
      <c r="M172" s="29">
        <v>0</v>
      </c>
      <c r="N172" s="29">
        <v>0</v>
      </c>
      <c r="O172" s="29">
        <v>0</v>
      </c>
      <c r="P172" s="29">
        <v>0</v>
      </c>
      <c r="Q172" s="29">
        <v>0</v>
      </c>
    </row>
    <row r="173" spans="1:17" ht="12.95" customHeight="1" x14ac:dyDescent="0.2">
      <c r="A173" s="36" t="s">
        <v>740</v>
      </c>
      <c r="B173" s="37" t="str">
        <f>'Risk Master'!C172&amp;"-"&amp;'Risk Master'!D172</f>
        <v>Thunderstorms, Tornados &amp; Hail-Texas</v>
      </c>
      <c r="C173" s="29" t="str">
        <f>'Risk Master'!F172</f>
        <v>A124</v>
      </c>
      <c r="D173" s="37" t="str">
        <f>VLOOKUP(C173,'Asset Master'!A:B,2,FALSE)</f>
        <v>Property (Office Locations)-Texas</v>
      </c>
      <c r="E173" s="64">
        <f>'Risk Master'!N172</f>
        <v>120000</v>
      </c>
      <c r="H173" s="66">
        <v>1</v>
      </c>
      <c r="I173" s="29">
        <v>0</v>
      </c>
      <c r="J173" s="29">
        <v>1</v>
      </c>
      <c r="K173" s="29">
        <v>1</v>
      </c>
      <c r="L173" s="29">
        <v>0</v>
      </c>
      <c r="M173" s="29">
        <v>0</v>
      </c>
      <c r="N173" s="29">
        <v>0</v>
      </c>
      <c r="O173" s="29">
        <v>0</v>
      </c>
      <c r="P173" s="29">
        <v>0</v>
      </c>
      <c r="Q173" s="29">
        <v>0</v>
      </c>
    </row>
    <row r="174" spans="1:17" ht="12.95" customHeight="1" x14ac:dyDescent="0.2">
      <c r="A174" s="36" t="s">
        <v>742</v>
      </c>
      <c r="B174" s="37" t="str">
        <f>'Risk Master'!C173&amp;"-"&amp;'Risk Master'!D173</f>
        <v>Hurricane-Typhoon -Texas</v>
      </c>
      <c r="C174" s="29" t="str">
        <f>'Risk Master'!F173</f>
        <v>A124</v>
      </c>
      <c r="D174" s="37" t="str">
        <f>VLOOKUP(C174,'Asset Master'!A:B,2,FALSE)</f>
        <v>Property (Office Locations)-Texas</v>
      </c>
      <c r="E174" s="64">
        <f>'Risk Master'!N173</f>
        <v>120000</v>
      </c>
      <c r="H174" s="66">
        <v>0</v>
      </c>
      <c r="I174" s="29">
        <v>0</v>
      </c>
      <c r="J174" s="29">
        <v>0</v>
      </c>
      <c r="K174" s="29">
        <v>0</v>
      </c>
      <c r="L174" s="29">
        <v>0</v>
      </c>
      <c r="M174" s="29">
        <v>1</v>
      </c>
      <c r="N174" s="29">
        <v>1</v>
      </c>
      <c r="O174" s="29">
        <v>0</v>
      </c>
      <c r="P174" s="29">
        <v>0</v>
      </c>
      <c r="Q174" s="29">
        <v>0</v>
      </c>
    </row>
    <row r="175" spans="1:17" ht="12.95" customHeight="1" x14ac:dyDescent="0.2">
      <c r="A175" s="36" t="s">
        <v>744</v>
      </c>
      <c r="B175" s="37" t="str">
        <f>'Risk Master'!C174&amp;"-"&amp;'Risk Master'!D174</f>
        <v>Earthquake-Texas</v>
      </c>
      <c r="C175" s="29" t="str">
        <f>'Risk Master'!F174</f>
        <v>A127</v>
      </c>
      <c r="D175" s="37" t="str">
        <f>VLOOKUP(C175,'Asset Master'!A:B,2,FALSE)</f>
        <v>Hotels &amp; Resorts-Texas</v>
      </c>
      <c r="E175" s="64">
        <f>'Risk Master'!N174</f>
        <v>100000</v>
      </c>
      <c r="H175" s="66">
        <v>1</v>
      </c>
      <c r="I175" s="29">
        <v>0</v>
      </c>
      <c r="J175" s="29">
        <v>1</v>
      </c>
      <c r="K175" s="29">
        <v>1</v>
      </c>
      <c r="L175" s="29">
        <v>0</v>
      </c>
      <c r="M175" s="29">
        <v>1</v>
      </c>
      <c r="N175" s="29">
        <v>0</v>
      </c>
      <c r="O175" s="29">
        <v>1</v>
      </c>
      <c r="P175" s="29">
        <v>0</v>
      </c>
      <c r="Q175" s="29">
        <v>0</v>
      </c>
    </row>
    <row r="176" spans="1:17" ht="12.95" customHeight="1" x14ac:dyDescent="0.2">
      <c r="A176" s="36" t="s">
        <v>746</v>
      </c>
      <c r="B176" s="37" t="str">
        <f>'Risk Master'!C175&amp;"-"&amp;'Risk Master'!D175</f>
        <v>Hurricane-Typhoon -Texas</v>
      </c>
      <c r="C176" s="29" t="str">
        <f>'Risk Master'!F175</f>
        <v>A128</v>
      </c>
      <c r="D176" s="37" t="str">
        <f>VLOOKUP(C176,'Asset Master'!A:B,2,FALSE)</f>
        <v>Supermarkets &amp; Malls-Texas</v>
      </c>
      <c r="E176" s="64">
        <f>'Risk Master'!N175</f>
        <v>30000</v>
      </c>
      <c r="H176" s="66">
        <v>0</v>
      </c>
      <c r="I176" s="29">
        <v>0</v>
      </c>
      <c r="J176" s="29">
        <v>0</v>
      </c>
      <c r="K176" s="29">
        <v>0</v>
      </c>
      <c r="L176" s="29">
        <v>0</v>
      </c>
      <c r="M176" s="29">
        <v>0</v>
      </c>
      <c r="N176" s="29">
        <v>0</v>
      </c>
      <c r="O176" s="29">
        <v>0</v>
      </c>
      <c r="P176" s="29">
        <v>0</v>
      </c>
      <c r="Q176" s="29">
        <v>0</v>
      </c>
    </row>
    <row r="177" spans="1:17" ht="12.95" customHeight="1" x14ac:dyDescent="0.2">
      <c r="A177" s="36" t="s">
        <v>748</v>
      </c>
      <c r="B177" s="37" t="str">
        <f>'Risk Master'!C176&amp;"-"&amp;'Risk Master'!D176</f>
        <v>Thunderstorms, Tornados &amp; Hail-Texas</v>
      </c>
      <c r="C177" s="29" t="str">
        <f>'Risk Master'!F176</f>
        <v>A131</v>
      </c>
      <c r="D177" s="37" t="str">
        <f>VLOOKUP(C177,'Asset Master'!A:B,2,FALSE)</f>
        <v>Oil Refineries-Texas</v>
      </c>
      <c r="E177" s="64">
        <f>'Risk Master'!N176</f>
        <v>100000</v>
      </c>
      <c r="H177" s="66">
        <v>1</v>
      </c>
      <c r="I177" s="29">
        <v>0</v>
      </c>
      <c r="J177" s="29">
        <v>1</v>
      </c>
      <c r="K177" s="29">
        <v>1</v>
      </c>
      <c r="L177" s="29">
        <v>0</v>
      </c>
      <c r="M177" s="29">
        <v>0</v>
      </c>
      <c r="N177" s="29">
        <v>1</v>
      </c>
      <c r="O177" s="29">
        <v>0</v>
      </c>
      <c r="P177" s="29">
        <v>0</v>
      </c>
      <c r="Q177" s="29">
        <v>0</v>
      </c>
    </row>
    <row r="178" spans="1:17" ht="12.95" customHeight="1" x14ac:dyDescent="0.2">
      <c r="A178" s="36" t="s">
        <v>750</v>
      </c>
      <c r="B178" s="37" t="str">
        <f>'Risk Master'!C177&amp;"-"&amp;'Risk Master'!D177</f>
        <v>Hurricane-Typhoon -Texas</v>
      </c>
      <c r="C178" s="29" t="str">
        <f>'Risk Master'!F177</f>
        <v>A131</v>
      </c>
      <c r="D178" s="37" t="str">
        <f>VLOOKUP(C178,'Asset Master'!A:B,2,FALSE)</f>
        <v>Oil Refineries-Texas</v>
      </c>
      <c r="E178" s="64">
        <f>'Risk Master'!N177</f>
        <v>100000</v>
      </c>
      <c r="H178" s="66">
        <v>0</v>
      </c>
      <c r="I178" s="29">
        <v>1</v>
      </c>
      <c r="J178" s="29">
        <v>0</v>
      </c>
      <c r="K178" s="29">
        <v>0</v>
      </c>
      <c r="L178" s="29">
        <v>0</v>
      </c>
      <c r="M178" s="29">
        <v>0</v>
      </c>
      <c r="N178" s="29">
        <v>0</v>
      </c>
      <c r="O178" s="29">
        <v>0</v>
      </c>
      <c r="P178" s="29">
        <v>0</v>
      </c>
      <c r="Q178" s="29">
        <v>0</v>
      </c>
    </row>
    <row r="179" spans="1:17" ht="12.95" customHeight="1" x14ac:dyDescent="0.2">
      <c r="A179" s="36" t="s">
        <v>752</v>
      </c>
      <c r="B179" s="37" t="str">
        <f>'Risk Master'!C178&amp;"-"&amp;'Risk Master'!D178</f>
        <v>Earthquake-Texas</v>
      </c>
      <c r="C179" s="29" t="str">
        <f>'Risk Master'!F178</f>
        <v>A131</v>
      </c>
      <c r="D179" s="37" t="str">
        <f>VLOOKUP(C179,'Asset Master'!A:B,2,FALSE)</f>
        <v>Oil Refineries-Texas</v>
      </c>
      <c r="E179" s="64">
        <f>'Risk Master'!N178</f>
        <v>100000</v>
      </c>
      <c r="H179" s="66">
        <v>1</v>
      </c>
      <c r="I179" s="29">
        <v>0</v>
      </c>
      <c r="J179" s="29">
        <v>0</v>
      </c>
      <c r="K179" s="29">
        <v>1</v>
      </c>
      <c r="L179" s="29">
        <v>0</v>
      </c>
      <c r="M179" s="29">
        <v>0</v>
      </c>
      <c r="N179" s="29">
        <v>1</v>
      </c>
      <c r="O179" s="29">
        <v>1</v>
      </c>
      <c r="P179" s="29">
        <v>0</v>
      </c>
      <c r="Q179" s="29">
        <v>0</v>
      </c>
    </row>
    <row r="180" spans="1:17" ht="12.95" customHeight="1" x14ac:dyDescent="0.2">
      <c r="A180" s="36" t="s">
        <v>754</v>
      </c>
      <c r="B180" s="37" t="str">
        <f>'Risk Master'!C179&amp;"-"&amp;'Risk Master'!D179</f>
        <v>Hurricane-Typhoon -Texas</v>
      </c>
      <c r="C180" s="29" t="str">
        <f>'Risk Master'!F179</f>
        <v>A132</v>
      </c>
      <c r="D180" s="37" t="str">
        <f>VLOOKUP(C180,'Asset Master'!A:B,2,FALSE)</f>
        <v>Telecom Towers-Texas</v>
      </c>
      <c r="E180" s="64">
        <f>'Risk Master'!N179</f>
        <v>50000</v>
      </c>
      <c r="H180" s="66">
        <v>0</v>
      </c>
      <c r="I180" s="29">
        <v>0</v>
      </c>
      <c r="J180" s="29">
        <v>0</v>
      </c>
      <c r="K180" s="29">
        <v>0</v>
      </c>
      <c r="L180" s="29">
        <v>0</v>
      </c>
      <c r="M180" s="29">
        <v>0</v>
      </c>
      <c r="N180" s="29">
        <v>0</v>
      </c>
      <c r="O180" s="29">
        <v>0</v>
      </c>
      <c r="P180" s="29">
        <v>0</v>
      </c>
      <c r="Q180" s="29">
        <v>0</v>
      </c>
    </row>
    <row r="181" spans="1:17" ht="12.95" customHeight="1" x14ac:dyDescent="0.2">
      <c r="A181" s="36" t="s">
        <v>756</v>
      </c>
      <c r="B181" s="37" t="str">
        <f>'Risk Master'!C180&amp;"-"&amp;'Risk Master'!D180</f>
        <v>Thunderstorms, Tornados &amp; Hail-Texas</v>
      </c>
      <c r="C181" s="29" t="str">
        <f>'Risk Master'!F180</f>
        <v>A132</v>
      </c>
      <c r="D181" s="37" t="str">
        <f>VLOOKUP(C181,'Asset Master'!A:B,2,FALSE)</f>
        <v>Telecom Towers-Texas</v>
      </c>
      <c r="E181" s="64">
        <f>'Risk Master'!N180</f>
        <v>50000</v>
      </c>
      <c r="H181" s="66">
        <v>0</v>
      </c>
      <c r="I181" s="29">
        <v>1</v>
      </c>
      <c r="J181" s="29">
        <v>0</v>
      </c>
      <c r="K181" s="29">
        <v>1</v>
      </c>
      <c r="L181" s="29">
        <v>0</v>
      </c>
      <c r="M181" s="29">
        <v>1</v>
      </c>
      <c r="N181" s="29">
        <v>1</v>
      </c>
      <c r="O181" s="29">
        <v>1</v>
      </c>
      <c r="P181" s="29">
        <v>0</v>
      </c>
      <c r="Q181" s="29">
        <v>0</v>
      </c>
    </row>
    <row r="182" spans="1:17" ht="12.95" customHeight="1" x14ac:dyDescent="0.2">
      <c r="A182" s="36" t="s">
        <v>758</v>
      </c>
      <c r="B182" s="37" t="str">
        <f>'Risk Master'!C181&amp;"-"&amp;'Risk Master'!D181</f>
        <v>Hurricane-Typhoon -Texas</v>
      </c>
      <c r="C182" s="29" t="str">
        <f>'Risk Master'!F181</f>
        <v>A133</v>
      </c>
      <c r="D182" s="37" t="str">
        <f>VLOOKUP(C182,'Asset Master'!A:B,2,FALSE)</f>
        <v>Aircrafts-Texas</v>
      </c>
      <c r="E182" s="64">
        <f>'Risk Master'!N181</f>
        <v>20000</v>
      </c>
      <c r="H182" s="66">
        <v>0</v>
      </c>
      <c r="I182" s="29">
        <v>0</v>
      </c>
      <c r="J182" s="29">
        <v>0</v>
      </c>
      <c r="K182" s="29">
        <v>0</v>
      </c>
      <c r="L182" s="29">
        <v>0</v>
      </c>
      <c r="M182" s="29">
        <v>0</v>
      </c>
      <c r="N182" s="29">
        <v>0</v>
      </c>
      <c r="O182" s="29">
        <v>0</v>
      </c>
      <c r="P182" s="29">
        <v>0</v>
      </c>
      <c r="Q182" s="29">
        <v>0</v>
      </c>
    </row>
    <row r="183" spans="1:17" ht="12.95" customHeight="1" x14ac:dyDescent="0.2">
      <c r="A183" s="36" t="s">
        <v>760</v>
      </c>
      <c r="B183" s="37" t="str">
        <f>'Risk Master'!C182&amp;"-"&amp;'Risk Master'!D182</f>
        <v>Earthquake-Texas</v>
      </c>
      <c r="C183" s="29" t="str">
        <f>'Risk Master'!F182</f>
        <v>A135</v>
      </c>
      <c r="D183" s="37" t="str">
        <f>VLOOKUP(C183,'Asset Master'!A:B,2,FALSE)</f>
        <v>Fleets &amp; Cars-Texas</v>
      </c>
      <c r="E183" s="64">
        <f>'Risk Master'!N182</f>
        <v>20000</v>
      </c>
      <c r="H183" s="66">
        <v>0</v>
      </c>
      <c r="I183" s="29">
        <v>0</v>
      </c>
      <c r="J183" s="29">
        <v>0</v>
      </c>
      <c r="K183" s="29">
        <v>0</v>
      </c>
      <c r="L183" s="29">
        <v>0</v>
      </c>
      <c r="M183" s="29">
        <v>0</v>
      </c>
      <c r="N183" s="29">
        <v>1</v>
      </c>
      <c r="O183" s="29">
        <v>1</v>
      </c>
      <c r="P183" s="29">
        <v>0</v>
      </c>
      <c r="Q183" s="29">
        <v>0</v>
      </c>
    </row>
    <row r="184" spans="1:17" ht="12.95" customHeight="1" x14ac:dyDescent="0.2">
      <c r="A184" s="36" t="s">
        <v>762</v>
      </c>
      <c r="B184" s="37" t="str">
        <f>'Risk Master'!C183&amp;"-"&amp;'Risk Master'!D183</f>
        <v>Hurricane-Typhoon -Texas</v>
      </c>
      <c r="C184" s="29" t="str">
        <f>'Risk Master'!F183</f>
        <v>A135</v>
      </c>
      <c r="D184" s="37" t="str">
        <f>VLOOKUP(C184,'Asset Master'!A:B,2,FALSE)</f>
        <v>Fleets &amp; Cars-Texas</v>
      </c>
      <c r="E184" s="64">
        <f>'Risk Master'!N183</f>
        <v>20000</v>
      </c>
      <c r="H184" s="66">
        <v>0</v>
      </c>
      <c r="I184" s="29">
        <v>0</v>
      </c>
      <c r="J184" s="29">
        <v>0</v>
      </c>
      <c r="K184" s="29">
        <v>0</v>
      </c>
      <c r="L184" s="29">
        <v>0</v>
      </c>
      <c r="M184" s="29">
        <v>0</v>
      </c>
      <c r="N184" s="29">
        <v>1</v>
      </c>
      <c r="O184" s="29">
        <v>0</v>
      </c>
      <c r="P184" s="29">
        <v>0</v>
      </c>
      <c r="Q184" s="29">
        <v>0</v>
      </c>
    </row>
    <row r="185" spans="1:17" ht="39.75" customHeight="1" x14ac:dyDescent="0.2">
      <c r="E185" s="40">
        <f>SUM(E3:E184)</f>
        <v>8190000</v>
      </c>
      <c r="H185" s="89">
        <f>0.05*'Year 1 Results'!AA137</f>
        <v>1185000</v>
      </c>
      <c r="I185" s="89">
        <f>0.05*'Year 1 Results'!AB137</f>
        <v>1150000</v>
      </c>
      <c r="J185" s="89">
        <f>0.05*'Year 1 Results'!AC137</f>
        <v>1170000</v>
      </c>
      <c r="K185" s="89">
        <f>0.05*'Year 1 Results'!AD137</f>
        <v>1125000</v>
      </c>
      <c r="L185" s="89">
        <f>0.05*'Year 1 Results'!AE137</f>
        <v>1145000</v>
      </c>
      <c r="M185" s="89">
        <f>0.05*'Year 1 Results'!AF137</f>
        <v>1155000</v>
      </c>
      <c r="N185" s="89">
        <f>0.05*'Year 1 Results'!AG137</f>
        <v>1170000</v>
      </c>
      <c r="O185" s="89">
        <f>0.05*'Year 1 Results'!AH137</f>
        <v>1180000</v>
      </c>
      <c r="P185" s="89">
        <f>0.05*'Year 1 Results'!AI137</f>
        <v>1150000</v>
      </c>
      <c r="Q185" s="89">
        <f>0.05*'Year 1 Results'!AJ137</f>
        <v>1215000</v>
      </c>
    </row>
    <row r="186" spans="1:17" ht="12.95" customHeight="1" x14ac:dyDescent="0.2">
      <c r="Q186" s="29"/>
    </row>
    <row r="187" spans="1:17" ht="12.95" customHeight="1" x14ac:dyDescent="0.2">
      <c r="Q187" s="29"/>
    </row>
    <row r="188" spans="1:17" ht="12.95" customHeight="1" x14ac:dyDescent="0.2">
      <c r="Q188" s="29"/>
    </row>
    <row r="189" spans="1:17" ht="12.95" customHeight="1" x14ac:dyDescent="0.2">
      <c r="Q189" s="29"/>
    </row>
    <row r="190" spans="1:17" ht="12.95" customHeight="1" x14ac:dyDescent="0.2">
      <c r="Q190" s="29"/>
    </row>
    <row r="191" spans="1:17" ht="12.95" customHeight="1" x14ac:dyDescent="0.2">
      <c r="Q191" s="29"/>
    </row>
    <row r="192" spans="1:17" ht="12.95" customHeight="1" x14ac:dyDescent="0.2">
      <c r="Q192" s="29"/>
    </row>
    <row r="193" spans="17:17" ht="12.95" customHeight="1" x14ac:dyDescent="0.2">
      <c r="Q193" s="29"/>
    </row>
    <row r="194" spans="17:17" ht="12.95" customHeight="1" x14ac:dyDescent="0.2">
      <c r="Q194" s="29"/>
    </row>
    <row r="195" spans="17:17" ht="12.95" customHeight="1" x14ac:dyDescent="0.2">
      <c r="Q195" s="29"/>
    </row>
    <row r="196" spans="17:17" ht="12.95" customHeight="1" x14ac:dyDescent="0.2">
      <c r="Q196" s="29"/>
    </row>
    <row r="197" spans="17:17" ht="12.95" customHeight="1" x14ac:dyDescent="0.2">
      <c r="Q197" s="29"/>
    </row>
    <row r="198" spans="17:17" ht="12.95" customHeight="1" x14ac:dyDescent="0.2">
      <c r="Q198" s="29"/>
    </row>
    <row r="199" spans="17:17" ht="12.95" customHeight="1" x14ac:dyDescent="0.2">
      <c r="Q199" s="29"/>
    </row>
    <row r="200" spans="17:17" ht="12.95" customHeight="1" x14ac:dyDescent="0.2">
      <c r="Q200" s="29"/>
    </row>
    <row r="201" spans="17:17" ht="12.95" customHeight="1" x14ac:dyDescent="0.2">
      <c r="Q201" s="29"/>
    </row>
    <row r="202" spans="17:17" ht="12.95" customHeight="1" x14ac:dyDescent="0.2">
      <c r="Q202" s="29"/>
    </row>
    <row r="203" spans="17:17" ht="12.95" customHeight="1" x14ac:dyDescent="0.2">
      <c r="Q203" s="29"/>
    </row>
    <row r="204" spans="17:17" ht="12.95" customHeight="1" x14ac:dyDescent="0.2">
      <c r="Q204" s="29"/>
    </row>
    <row r="205" spans="17:17" ht="12.95" customHeight="1" x14ac:dyDescent="0.2">
      <c r="Q205" s="29"/>
    </row>
    <row r="206" spans="17:17" ht="12.95" customHeight="1" x14ac:dyDescent="0.2">
      <c r="Q206" s="29"/>
    </row>
    <row r="207" spans="17:17" ht="12.95" customHeight="1" x14ac:dyDescent="0.2">
      <c r="Q207" s="29"/>
    </row>
    <row r="208" spans="17:17" ht="12.95" customHeight="1" x14ac:dyDescent="0.2">
      <c r="Q208" s="29"/>
    </row>
    <row r="209" spans="17:17" ht="12.95" customHeight="1" x14ac:dyDescent="0.2">
      <c r="Q209" s="29"/>
    </row>
    <row r="210" spans="17:17" ht="12.95" customHeight="1" x14ac:dyDescent="0.2">
      <c r="Q210" s="29"/>
    </row>
    <row r="211" spans="17:17" ht="12.95" customHeight="1" x14ac:dyDescent="0.2">
      <c r="Q211" s="29"/>
    </row>
    <row r="212" spans="17:17" ht="12.95" customHeight="1" x14ac:dyDescent="0.2">
      <c r="Q212" s="29"/>
    </row>
    <row r="213" spans="17:17" ht="12.95" customHeight="1" x14ac:dyDescent="0.2">
      <c r="Q213" s="29"/>
    </row>
    <row r="214" spans="17:17" ht="12.95" customHeight="1" x14ac:dyDescent="0.2">
      <c r="Q214" s="29"/>
    </row>
    <row r="215" spans="17:17" ht="12.95" customHeight="1" x14ac:dyDescent="0.2">
      <c r="Q215" s="29"/>
    </row>
    <row r="216" spans="17:17" ht="12.95" customHeight="1" x14ac:dyDescent="0.2">
      <c r="Q216" s="29"/>
    </row>
    <row r="217" spans="17:17" ht="12.95" customHeight="1" x14ac:dyDescent="0.2">
      <c r="Q217" s="29"/>
    </row>
    <row r="218" spans="17:17" ht="12.95" customHeight="1" x14ac:dyDescent="0.2">
      <c r="Q218" s="29"/>
    </row>
    <row r="219" spans="17:17" ht="12.95" customHeight="1" x14ac:dyDescent="0.2">
      <c r="Q219" s="29"/>
    </row>
    <row r="220" spans="17:17" ht="12.95" customHeight="1" x14ac:dyDescent="0.2">
      <c r="Q220" s="29"/>
    </row>
    <row r="221" spans="17:17" ht="12.95" customHeight="1" x14ac:dyDescent="0.2">
      <c r="Q221" s="29"/>
    </row>
    <row r="222" spans="17:17" ht="12.95" customHeight="1" x14ac:dyDescent="0.2">
      <c r="Q222" s="29"/>
    </row>
    <row r="223" spans="17:17" ht="12.95" customHeight="1" x14ac:dyDescent="0.2">
      <c r="Q223" s="29"/>
    </row>
    <row r="224" spans="17:17" ht="12.95" customHeight="1" x14ac:dyDescent="0.2">
      <c r="Q224" s="29"/>
    </row>
    <row r="225" spans="17:17" ht="12.95" customHeight="1" x14ac:dyDescent="0.2">
      <c r="Q225" s="29"/>
    </row>
    <row r="226" spans="17:17" ht="12.95" customHeight="1" x14ac:dyDescent="0.2">
      <c r="Q226" s="29"/>
    </row>
    <row r="227" spans="17:17" ht="12.95" customHeight="1" x14ac:dyDescent="0.2">
      <c r="Q227" s="29"/>
    </row>
    <row r="228" spans="17:17" ht="12.95" customHeight="1" x14ac:dyDescent="0.2">
      <c r="Q228" s="29"/>
    </row>
    <row r="229" spans="17:17" ht="12.95" customHeight="1" x14ac:dyDescent="0.2">
      <c r="Q229" s="29"/>
    </row>
    <row r="230" spans="17:17" ht="12.95" customHeight="1" x14ac:dyDescent="0.2">
      <c r="Q230" s="29"/>
    </row>
    <row r="231" spans="17:17" ht="12.95" customHeight="1" x14ac:dyDescent="0.2">
      <c r="Q231" s="29"/>
    </row>
    <row r="232" spans="17:17" ht="12.95" customHeight="1" x14ac:dyDescent="0.2">
      <c r="Q232" s="29"/>
    </row>
    <row r="233" spans="17:17" ht="12.95" customHeight="1" x14ac:dyDescent="0.2">
      <c r="Q233" s="29"/>
    </row>
    <row r="234" spans="17:17" ht="12.95" customHeight="1" x14ac:dyDescent="0.2">
      <c r="Q234" s="29"/>
    </row>
    <row r="235" spans="17:17" ht="12.95" customHeight="1" x14ac:dyDescent="0.2">
      <c r="Q235" s="29"/>
    </row>
    <row r="236" spans="17:17" ht="12.95" customHeight="1" x14ac:dyDescent="0.2">
      <c r="Q236" s="29"/>
    </row>
    <row r="237" spans="17:17" ht="12.95" customHeight="1" x14ac:dyDescent="0.2">
      <c r="Q237" s="29"/>
    </row>
    <row r="238" spans="17:17" ht="12.95" customHeight="1" x14ac:dyDescent="0.2">
      <c r="Q238" s="29"/>
    </row>
    <row r="239" spans="17:17" ht="12.95" customHeight="1" x14ac:dyDescent="0.2">
      <c r="Q239" s="29"/>
    </row>
    <row r="240" spans="17:17" ht="12.95" customHeight="1" x14ac:dyDescent="0.2">
      <c r="Q240" s="29"/>
    </row>
    <row r="241" spans="17:17" ht="12.95" customHeight="1" x14ac:dyDescent="0.2">
      <c r="Q241" s="29"/>
    </row>
    <row r="242" spans="17:17" ht="12.95" customHeight="1" x14ac:dyDescent="0.2">
      <c r="Q242" s="29"/>
    </row>
    <row r="243" spans="17:17" ht="12.95" customHeight="1" x14ac:dyDescent="0.2">
      <c r="Q243" s="29"/>
    </row>
    <row r="244" spans="17:17" ht="12.95" customHeight="1" x14ac:dyDescent="0.2">
      <c r="Q244" s="29"/>
    </row>
    <row r="245" spans="17:17" ht="12.95" customHeight="1" x14ac:dyDescent="0.2">
      <c r="Q245" s="29"/>
    </row>
    <row r="246" spans="17:17" ht="12.95" customHeight="1" x14ac:dyDescent="0.2">
      <c r="Q246" s="29"/>
    </row>
    <row r="247" spans="17:17" ht="12.95" customHeight="1" x14ac:dyDescent="0.2">
      <c r="Q247" s="29"/>
    </row>
    <row r="248" spans="17:17" ht="12.95" customHeight="1" x14ac:dyDescent="0.2">
      <c r="Q248" s="29"/>
    </row>
    <row r="249" spans="17:17" ht="12.95" customHeight="1" x14ac:dyDescent="0.2">
      <c r="Q249" s="29"/>
    </row>
    <row r="250" spans="17:17" ht="12.95" customHeight="1" x14ac:dyDescent="0.2">
      <c r="Q250" s="29"/>
    </row>
    <row r="251" spans="17:17" ht="12.95" customHeight="1" x14ac:dyDescent="0.2">
      <c r="Q251" s="29"/>
    </row>
    <row r="252" spans="17:17" ht="12.95" customHeight="1" x14ac:dyDescent="0.2">
      <c r="Q252" s="29"/>
    </row>
    <row r="253" spans="17:17" ht="12.95" customHeight="1" x14ac:dyDescent="0.2">
      <c r="Q253" s="29"/>
    </row>
    <row r="254" spans="17:17" ht="12.95" customHeight="1" x14ac:dyDescent="0.2">
      <c r="Q254" s="29"/>
    </row>
    <row r="255" spans="17:17" ht="12.95" customHeight="1" x14ac:dyDescent="0.2">
      <c r="Q255" s="29"/>
    </row>
    <row r="256" spans="17:17" ht="12.95" customHeight="1" x14ac:dyDescent="0.2">
      <c r="Q256" s="29"/>
    </row>
    <row r="257" spans="17:17" ht="12.95" customHeight="1" x14ac:dyDescent="0.2">
      <c r="Q257" s="29"/>
    </row>
    <row r="258" spans="17:17" ht="12.95" customHeight="1" x14ac:dyDescent="0.2">
      <c r="Q258" s="29"/>
    </row>
    <row r="259" spans="17:17" ht="12.95" customHeight="1" x14ac:dyDescent="0.2">
      <c r="Q259" s="29"/>
    </row>
    <row r="260" spans="17:17" ht="12.95" customHeight="1" x14ac:dyDescent="0.2">
      <c r="Q260" s="29"/>
    </row>
    <row r="261" spans="17:17" ht="12.95" customHeight="1" x14ac:dyDescent="0.2">
      <c r="Q261" s="29"/>
    </row>
    <row r="262" spans="17:17" ht="12.95" customHeight="1" x14ac:dyDescent="0.2">
      <c r="Q262" s="29"/>
    </row>
    <row r="263" spans="17:17" ht="12.95" customHeight="1" x14ac:dyDescent="0.2">
      <c r="Q263" s="29"/>
    </row>
    <row r="264" spans="17:17" ht="12.95" customHeight="1" x14ac:dyDescent="0.2">
      <c r="Q264" s="29"/>
    </row>
    <row r="265" spans="17:17" ht="12.95" customHeight="1" x14ac:dyDescent="0.2">
      <c r="Q265" s="29"/>
    </row>
    <row r="266" spans="17:17" ht="12.95" customHeight="1" x14ac:dyDescent="0.2">
      <c r="Q266" s="29"/>
    </row>
    <row r="267" spans="17:17" ht="12.95" customHeight="1" x14ac:dyDescent="0.2">
      <c r="Q267" s="29"/>
    </row>
    <row r="268" spans="17:17" ht="12.95" customHeight="1" x14ac:dyDescent="0.2">
      <c r="Q268" s="29"/>
    </row>
    <row r="269" spans="17:17" ht="12.95" customHeight="1" x14ac:dyDescent="0.2">
      <c r="Q269" s="29"/>
    </row>
    <row r="270" spans="17:17" ht="12.95" customHeight="1" x14ac:dyDescent="0.2">
      <c r="Q270" s="29"/>
    </row>
    <row r="271" spans="17:17" ht="12.95" customHeight="1" x14ac:dyDescent="0.2">
      <c r="Q271" s="29"/>
    </row>
    <row r="272" spans="17:17" ht="12.95" customHeight="1" x14ac:dyDescent="0.2">
      <c r="Q272" s="29"/>
    </row>
    <row r="273" spans="17:17" ht="12.95" customHeight="1" x14ac:dyDescent="0.2">
      <c r="Q273" s="29"/>
    </row>
    <row r="274" spans="17:17" ht="12.95" customHeight="1" x14ac:dyDescent="0.2">
      <c r="Q274" s="29"/>
    </row>
    <row r="275" spans="17:17" ht="12.95" customHeight="1" x14ac:dyDescent="0.2">
      <c r="Q275" s="29"/>
    </row>
    <row r="276" spans="17:17" ht="12.95" customHeight="1" x14ac:dyDescent="0.2">
      <c r="Q276" s="29"/>
    </row>
    <row r="277" spans="17:17" ht="12.95" customHeight="1" x14ac:dyDescent="0.2">
      <c r="Q277" s="29"/>
    </row>
    <row r="278" spans="17:17" ht="12.95" customHeight="1" x14ac:dyDescent="0.2">
      <c r="Q278" s="29"/>
    </row>
    <row r="279" spans="17:17" ht="12.95" customHeight="1" x14ac:dyDescent="0.2">
      <c r="Q279" s="29"/>
    </row>
    <row r="280" spans="17:17" ht="12.95" customHeight="1" x14ac:dyDescent="0.2">
      <c r="Q280" s="29"/>
    </row>
    <row r="281" spans="17:17" ht="12.95" customHeight="1" x14ac:dyDescent="0.2">
      <c r="Q281" s="29"/>
    </row>
    <row r="282" spans="17:17" ht="12.95" customHeight="1" x14ac:dyDescent="0.2">
      <c r="Q282" s="29"/>
    </row>
    <row r="283" spans="17:17" ht="12.95" customHeight="1" x14ac:dyDescent="0.2">
      <c r="Q283" s="29"/>
    </row>
    <row r="284" spans="17:17" ht="12.95" customHeight="1" x14ac:dyDescent="0.2">
      <c r="Q284" s="29"/>
    </row>
    <row r="285" spans="17:17" ht="12.95" customHeight="1" x14ac:dyDescent="0.2">
      <c r="Q285" s="29"/>
    </row>
    <row r="286" spans="17:17" ht="12.95" customHeight="1" x14ac:dyDescent="0.2">
      <c r="Q286" s="29"/>
    </row>
    <row r="287" spans="17:17" ht="12.95" customHeight="1" x14ac:dyDescent="0.2">
      <c r="Q287" s="29"/>
    </row>
    <row r="288" spans="17:17" ht="12.95" customHeight="1" x14ac:dyDescent="0.2">
      <c r="Q288" s="29"/>
    </row>
    <row r="289" spans="17:17" ht="12.95" customHeight="1" x14ac:dyDescent="0.2">
      <c r="Q289" s="29"/>
    </row>
    <row r="290" spans="17:17" ht="12.95" customHeight="1" x14ac:dyDescent="0.2">
      <c r="Q290" s="29"/>
    </row>
    <row r="291" spans="17:17" ht="12.95" customHeight="1" x14ac:dyDescent="0.2">
      <c r="Q291" s="29"/>
    </row>
    <row r="292" spans="17:17" ht="12.95" customHeight="1" x14ac:dyDescent="0.2">
      <c r="Q292" s="29"/>
    </row>
    <row r="293" spans="17:17" ht="12.95" customHeight="1" x14ac:dyDescent="0.2">
      <c r="Q293" s="29"/>
    </row>
    <row r="294" spans="17:17" ht="12.95" customHeight="1" x14ac:dyDescent="0.2">
      <c r="Q294" s="29"/>
    </row>
    <row r="295" spans="17:17" ht="12.95" customHeight="1" x14ac:dyDescent="0.2">
      <c r="Q295" s="29"/>
    </row>
    <row r="296" spans="17:17" ht="12.95" customHeight="1" x14ac:dyDescent="0.2">
      <c r="Q296" s="29"/>
    </row>
    <row r="297" spans="17:17" ht="12.95" customHeight="1" x14ac:dyDescent="0.2">
      <c r="Q297" s="29"/>
    </row>
    <row r="298" spans="17:17" ht="12.95" customHeight="1" x14ac:dyDescent="0.2">
      <c r="Q298" s="29"/>
    </row>
    <row r="299" spans="17:17" ht="12.95" customHeight="1" x14ac:dyDescent="0.2">
      <c r="Q299" s="29"/>
    </row>
    <row r="300" spans="17:17" ht="12.95" customHeight="1" x14ac:dyDescent="0.2">
      <c r="Q300" s="29"/>
    </row>
    <row r="301" spans="17:17" ht="12.95" customHeight="1" x14ac:dyDescent="0.2">
      <c r="Q301" s="29"/>
    </row>
    <row r="302" spans="17:17" ht="12.95" customHeight="1" x14ac:dyDescent="0.2">
      <c r="Q302" s="29"/>
    </row>
    <row r="303" spans="17:17" ht="12.95" customHeight="1" x14ac:dyDescent="0.2">
      <c r="Q303" s="29"/>
    </row>
    <row r="304" spans="17:17" ht="12.95" customHeight="1" x14ac:dyDescent="0.2">
      <c r="Q304" s="29"/>
    </row>
    <row r="305" spans="17:17" ht="12.95" customHeight="1" x14ac:dyDescent="0.2">
      <c r="Q305" s="29"/>
    </row>
    <row r="306" spans="17:17" ht="12.95" customHeight="1" x14ac:dyDescent="0.2">
      <c r="Q306" s="29"/>
    </row>
    <row r="307" spans="17:17" ht="12.95" customHeight="1" x14ac:dyDescent="0.2">
      <c r="Q307" s="29"/>
    </row>
    <row r="308" spans="17:17" ht="12.95" customHeight="1" x14ac:dyDescent="0.2">
      <c r="Q308" s="29"/>
    </row>
    <row r="309" spans="17:17" ht="12.95" customHeight="1" x14ac:dyDescent="0.2">
      <c r="Q309" s="29"/>
    </row>
    <row r="310" spans="17:17" ht="12.95" customHeight="1" x14ac:dyDescent="0.2">
      <c r="Q310" s="29"/>
    </row>
    <row r="311" spans="17:17" ht="12.95" customHeight="1" x14ac:dyDescent="0.2">
      <c r="Q311" s="29"/>
    </row>
    <row r="312" spans="17:17" ht="12.95" customHeight="1" x14ac:dyDescent="0.2">
      <c r="Q312" s="29"/>
    </row>
    <row r="313" spans="17:17" ht="12.95" customHeight="1" x14ac:dyDescent="0.2">
      <c r="Q313" s="29"/>
    </row>
    <row r="314" spans="17:17" ht="12.95" customHeight="1" x14ac:dyDescent="0.2">
      <c r="Q314" s="29"/>
    </row>
    <row r="315" spans="17:17" ht="12.95" customHeight="1" x14ac:dyDescent="0.2">
      <c r="Q315" s="29"/>
    </row>
    <row r="316" spans="17:17" ht="12.95" customHeight="1" x14ac:dyDescent="0.2">
      <c r="Q316" s="29"/>
    </row>
    <row r="317" spans="17:17" ht="12.95" customHeight="1" x14ac:dyDescent="0.2">
      <c r="Q317" s="29"/>
    </row>
    <row r="318" spans="17:17" ht="12.95" customHeight="1" x14ac:dyDescent="0.2">
      <c r="Q318" s="29"/>
    </row>
    <row r="319" spans="17:17" ht="12.95" customHeight="1" x14ac:dyDescent="0.2">
      <c r="Q319" s="29"/>
    </row>
    <row r="320" spans="17:17" ht="12.95" customHeight="1" x14ac:dyDescent="0.2">
      <c r="Q320" s="29"/>
    </row>
    <row r="321" spans="17:17" ht="12.95" customHeight="1" x14ac:dyDescent="0.2">
      <c r="Q321" s="29"/>
    </row>
    <row r="322" spans="17:17" ht="12.95" customHeight="1" x14ac:dyDescent="0.2">
      <c r="Q322" s="29"/>
    </row>
    <row r="323" spans="17:17" ht="12.95" customHeight="1" x14ac:dyDescent="0.2">
      <c r="Q323" s="29"/>
    </row>
  </sheetData>
  <mergeCells count="5">
    <mergeCell ref="A1:A2"/>
    <mergeCell ref="B1:B2"/>
    <mergeCell ref="C1:C2"/>
    <mergeCell ref="D1:D2"/>
    <mergeCell ref="E1:E2"/>
  </mergeCells>
  <conditionalFormatting sqref="H2:Q2">
    <cfRule type="cellIs" dxfId="3" priority="3" operator="greaterThan">
      <formula>H$185</formula>
    </cfRule>
  </conditionalFormatting>
  <dataValidations count="1">
    <dataValidation type="list" allowBlank="1" showInputMessage="1" showErrorMessage="1" sqref="H3:Q184 Q186:Q323" xr:uid="{00000000-0002-0000-0500-000000000000}">
      <formula1>"1,0"</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AJ183"/>
  <sheetViews>
    <sheetView workbookViewId="0">
      <selection activeCell="G29" sqref="G29"/>
    </sheetView>
  </sheetViews>
  <sheetFormatPr defaultColWidth="13.140625" defaultRowHeight="12.75" x14ac:dyDescent="0.25"/>
  <cols>
    <col min="1" max="1" width="29.7109375" style="38" customWidth="1"/>
    <col min="2" max="2" width="25.28515625" style="38" bestFit="1" customWidth="1"/>
    <col min="3" max="3" width="5.140625" style="75" bestFit="1" customWidth="1"/>
    <col min="4" max="5" width="11.85546875" style="75" bestFit="1" customWidth="1"/>
    <col min="6" max="13" width="13.140625" style="75"/>
    <col min="14" max="24" width="0" style="75" hidden="1" customWidth="1"/>
    <col min="25" max="25" width="8.140625" style="75" customWidth="1"/>
    <col min="26" max="26" width="13.140625" style="77"/>
    <col min="27" max="28" width="13.140625" style="78"/>
    <col min="29" max="33" width="13.140625" style="79"/>
    <col min="34" max="16384" width="13.140625" style="75"/>
  </cols>
  <sheetData>
    <row r="1" spans="1:36" ht="25.5" x14ac:dyDescent="0.25">
      <c r="A1" s="74" t="s">
        <v>478</v>
      </c>
      <c r="B1" s="74" t="s">
        <v>928</v>
      </c>
      <c r="C1" s="46" t="s">
        <v>0</v>
      </c>
      <c r="D1" s="72" t="s">
        <v>929</v>
      </c>
      <c r="E1" s="48" t="s">
        <v>930</v>
      </c>
      <c r="F1" s="48" t="s">
        <v>931</v>
      </c>
      <c r="G1" s="48" t="s">
        <v>932</v>
      </c>
      <c r="H1" s="48" t="s">
        <v>933</v>
      </c>
      <c r="I1" s="48" t="s">
        <v>934</v>
      </c>
      <c r="J1" s="48" t="s">
        <v>935</v>
      </c>
      <c r="K1" s="48" t="s">
        <v>936</v>
      </c>
      <c r="L1" s="48" t="s">
        <v>937</v>
      </c>
      <c r="M1" s="48" t="s">
        <v>938</v>
      </c>
      <c r="N1" s="87"/>
      <c r="O1" s="87" t="s">
        <v>952</v>
      </c>
      <c r="P1" s="87" t="s">
        <v>953</v>
      </c>
      <c r="Q1" s="87" t="s">
        <v>954</v>
      </c>
      <c r="R1" s="87" t="s">
        <v>955</v>
      </c>
      <c r="S1" s="87" t="s">
        <v>956</v>
      </c>
      <c r="T1" s="87" t="s">
        <v>957</v>
      </c>
      <c r="U1" s="87" t="s">
        <v>958</v>
      </c>
      <c r="V1" s="87" t="s">
        <v>959</v>
      </c>
      <c r="W1" s="87" t="s">
        <v>960</v>
      </c>
      <c r="X1" s="87" t="s">
        <v>961</v>
      </c>
      <c r="Z1" s="76"/>
      <c r="AA1" s="49" t="s">
        <v>939</v>
      </c>
      <c r="AB1" s="49" t="s">
        <v>940</v>
      </c>
      <c r="AC1" s="49" t="s">
        <v>941</v>
      </c>
      <c r="AD1" s="49" t="s">
        <v>942</v>
      </c>
      <c r="AE1" s="49" t="s">
        <v>943</v>
      </c>
      <c r="AF1" s="49" t="s">
        <v>944</v>
      </c>
      <c r="AG1" s="49" t="s">
        <v>945</v>
      </c>
      <c r="AH1" s="49" t="s">
        <v>946</v>
      </c>
      <c r="AI1" s="49" t="s">
        <v>947</v>
      </c>
      <c r="AJ1" s="49" t="s">
        <v>948</v>
      </c>
    </row>
    <row r="2" spans="1:36" ht="25.5" x14ac:dyDescent="0.25">
      <c r="A2" s="37" t="str">
        <f>'Risk Master'!B2:B138&amp;"-"&amp;'Risk Master'!D2</f>
        <v>High tide and high rainfalls leading to large floods-Mumbai</v>
      </c>
      <c r="B2" s="37" t="str">
        <f>'Input Sheet year 2'!B3</f>
        <v>Flood-Mumbai</v>
      </c>
      <c r="C2" s="29" t="str">
        <f>'Risk Master'!F2</f>
        <v>A1</v>
      </c>
      <c r="D2" s="73">
        <f>'Year 1 Results'!O2*-1+('Year 1 Results'!O2*'Event Trigger'!$E3*(1-'Input Sheet year 2'!H3))</f>
        <v>0</v>
      </c>
      <c r="E2" s="73">
        <f>'Year 1 Results'!P2*-1+('Year 1 Results'!P2*'Event Trigger'!$E3*(1-'Input Sheet year 2'!I3))</f>
        <v>0</v>
      </c>
      <c r="F2" s="73">
        <f>'Year 1 Results'!Q2*-1+('Year 1 Results'!Q2*'Event Trigger'!$E3*(1-'Input Sheet year 2'!J3))</f>
        <v>0</v>
      </c>
      <c r="G2" s="73">
        <f>'Year 1 Results'!R2*-1+('Year 1 Results'!R2*'Event Trigger'!$E3*(1-'Input Sheet year 2'!K3))</f>
        <v>0</v>
      </c>
      <c r="H2" s="73">
        <f>'Year 1 Results'!S2*-1+('Year 1 Results'!S2*'Event Trigger'!$E3*(1-'Input Sheet year 2'!L3))</f>
        <v>0</v>
      </c>
      <c r="I2" s="73">
        <f>'Year 1 Results'!T2*-1+('Year 1 Results'!T2*'Event Trigger'!$E3*(1-'Input Sheet year 2'!M3))</f>
        <v>200000</v>
      </c>
      <c r="J2" s="73">
        <f>'Year 1 Results'!U2*-1+('Year 1 Results'!U2*'Event Trigger'!$E3*(1-'Input Sheet year 2'!N3))</f>
        <v>0</v>
      </c>
      <c r="K2" s="73">
        <f>'Year 1 Results'!V2*-1+('Year 1 Results'!V2*'Event Trigger'!$E3*(1-'Input Sheet year 2'!O3))</f>
        <v>0</v>
      </c>
      <c r="L2" s="73">
        <f>'Year 1 Results'!W2*-1+('Year 1 Results'!W2*'Event Trigger'!$E3*(1-'Input Sheet year 2'!P3))</f>
        <v>0</v>
      </c>
      <c r="M2" s="73">
        <f>'Year 1 Results'!X2*-1+('Year 1 Results'!X2*'Event Trigger'!$E3*(1-'Input Sheet year 2'!Q3))</f>
        <v>200000</v>
      </c>
      <c r="N2" s="88"/>
      <c r="O2" s="88">
        <f>VLOOKUP($C2,$Z:$AJ,2,FALSE)*-1</f>
        <v>0</v>
      </c>
      <c r="P2" s="88">
        <f>VLOOKUP($C2,$Z:$AJ,3,FALSE)*-1</f>
        <v>0</v>
      </c>
      <c r="Q2" s="88">
        <f>VLOOKUP($C2,$Z:$AJ,4,FALSE)*-1</f>
        <v>0</v>
      </c>
      <c r="R2" s="88">
        <f>VLOOKUP($C2,$Z:$AJ,5,FALSE)*-1</f>
        <v>0</v>
      </c>
      <c r="S2" s="88">
        <f>VLOOKUP($C2,$Z:$AJ,6,FALSE)*-1</f>
        <v>0</v>
      </c>
      <c r="T2" s="88">
        <f>VLOOKUP($C2,$Z:$AJ,7,FALSE)*-1</f>
        <v>0</v>
      </c>
      <c r="U2" s="88">
        <f>VLOOKUP($C2,$Z:$AJ,8,FALSE)*-1</f>
        <v>0</v>
      </c>
      <c r="V2" s="88">
        <f>VLOOKUP($C2,$Z:$AJ,9,FALSE)*-1</f>
        <v>0</v>
      </c>
      <c r="W2" s="88">
        <f>VLOOKUP($C2,$Z:$AJ,10,FALSE)*-1</f>
        <v>0</v>
      </c>
      <c r="X2" s="88">
        <f>VLOOKUP($C2,$Z:$AJ,11,FALSE)*-1</f>
        <v>0</v>
      </c>
      <c r="Z2" s="51" t="s">
        <v>26</v>
      </c>
      <c r="AA2" s="52">
        <f>IF('Year 1 Results'!AA2*COUNTIF('Event Trigger'!$C:$C,'Year 2 Results'!$Z2)&gt;SUMIF('Event Trigger'!$C:$C,$Z2,D:D),0,'Year 1 Results'!AA2)</f>
        <v>0</v>
      </c>
      <c r="AB2" s="52">
        <f>IF('Year 1 Results'!AB2*COUNTIF('Event Trigger'!$C:$C,'Year 2 Results'!$Z2)&gt;SUMIF('Event Trigger'!$C:$C,$Z2,E:E),0,'Year 1 Results'!AB2)</f>
        <v>0</v>
      </c>
      <c r="AC2" s="52">
        <f>IF('Year 1 Results'!AC2*COUNTIF('Event Trigger'!$C:$C,'Year 2 Results'!$Z2)&gt;SUMIF('Event Trigger'!$C:$C,$Z2,F:F),0,'Year 1 Results'!AC2)</f>
        <v>0</v>
      </c>
      <c r="AD2" s="52">
        <f>IF('Year 1 Results'!AD2*COUNTIF('Event Trigger'!$C:$C,'Year 2 Results'!$Z2)&gt;SUMIF('Event Trigger'!$C:$C,$Z2,G:G),0,'Year 1 Results'!AD2)</f>
        <v>0</v>
      </c>
      <c r="AE2" s="52">
        <f>IF('Year 1 Results'!AE2*COUNTIF('Event Trigger'!$C:$C,'Year 2 Results'!$Z2)&gt;SUMIF('Event Trigger'!$C:$C,$Z2,H:H),0,'Year 1 Results'!AE2)</f>
        <v>0</v>
      </c>
      <c r="AF2" s="52">
        <f>IF('Year 1 Results'!AF2*COUNTIF('Event Trigger'!$C:$C,'Year 2 Results'!$Z2)&gt;SUMIF('Event Trigger'!$C:$C,$Z2,I:I),0,'Year 1 Results'!AF2)</f>
        <v>0</v>
      </c>
      <c r="AG2" s="52">
        <f>IF('Year 1 Results'!AG2*COUNTIF('Event Trigger'!$C:$C,'Year 2 Results'!$Z2)&gt;SUMIF('Event Trigger'!$C:$C,$Z2,J:J),0,'Year 1 Results'!AG2)</f>
        <v>0</v>
      </c>
      <c r="AH2" s="52">
        <f>IF('Year 1 Results'!AH2*COUNTIF('Event Trigger'!$C:$C,'Year 2 Results'!$Z2)&gt;SUMIF('Event Trigger'!$C:$C,$Z2,K:K),0,'Year 1 Results'!AH2)</f>
        <v>0</v>
      </c>
      <c r="AI2" s="52">
        <f>IF('Year 1 Results'!AI2*COUNTIF('Event Trigger'!$C:$C,'Year 2 Results'!$Z2)&gt;SUMIF('Event Trigger'!$C:$C,$Z2,L:L),0,'Year 1 Results'!AI2)</f>
        <v>0</v>
      </c>
      <c r="AJ2" s="52">
        <f>IF('Year 1 Results'!AJ2*COUNTIF('Event Trigger'!$C:$C,'Year 2 Results'!$Z2)&gt;SUMIF('Event Trigger'!$C:$C,$Z2,M:M),0,'Year 1 Results'!AJ2)</f>
        <v>0</v>
      </c>
    </row>
    <row r="3" spans="1:36" x14ac:dyDescent="0.25">
      <c r="A3" s="37" t="str">
        <f>'Risk Master'!B3:B139&amp;"-"&amp;'Risk Master'!D3</f>
        <v>Earthquake-Mumbai</v>
      </c>
      <c r="B3" s="37" t="str">
        <f>'Input Sheet year 2'!B4</f>
        <v>Earthquake-Mumbai</v>
      </c>
      <c r="C3" s="29" t="str">
        <f>'Risk Master'!F3</f>
        <v>A1</v>
      </c>
      <c r="D3" s="73">
        <f>'Year 1 Results'!O3*-1+('Year 1 Results'!O3*'Event Trigger'!$E4*(1-'Input Sheet year 2'!H4))</f>
        <v>0</v>
      </c>
      <c r="E3" s="73">
        <f>'Year 1 Results'!P3*-1+('Year 1 Results'!P3*'Event Trigger'!$E4*(1-'Input Sheet year 2'!I4))</f>
        <v>0</v>
      </c>
      <c r="F3" s="73">
        <f>'Year 1 Results'!Q3*-1+('Year 1 Results'!Q3*'Event Trigger'!$E4*(1-'Input Sheet year 2'!J4))</f>
        <v>0</v>
      </c>
      <c r="G3" s="73">
        <f>'Year 1 Results'!R3*-1+('Year 1 Results'!R3*'Event Trigger'!$E4*(1-'Input Sheet year 2'!K4))</f>
        <v>0</v>
      </c>
      <c r="H3" s="73">
        <f>'Year 1 Results'!S3*-1+('Year 1 Results'!S3*'Event Trigger'!$E4*(1-'Input Sheet year 2'!L4))</f>
        <v>0</v>
      </c>
      <c r="I3" s="73">
        <f>'Year 1 Results'!T3*-1+('Year 1 Results'!T3*'Event Trigger'!$E4*(1-'Input Sheet year 2'!M4))</f>
        <v>200000</v>
      </c>
      <c r="J3" s="73">
        <f>'Year 1 Results'!U3*-1+('Year 1 Results'!U3*'Event Trigger'!$E4*(1-'Input Sheet year 2'!N4))</f>
        <v>0</v>
      </c>
      <c r="K3" s="73">
        <f>'Year 1 Results'!V3*-1+('Year 1 Results'!V3*'Event Trigger'!$E4*(1-'Input Sheet year 2'!O4))</f>
        <v>0</v>
      </c>
      <c r="L3" s="73">
        <f>'Year 1 Results'!W3*-1+('Year 1 Results'!W3*'Event Trigger'!$E4*(1-'Input Sheet year 2'!P4))</f>
        <v>0</v>
      </c>
      <c r="M3" s="73">
        <f>'Year 1 Results'!X3*-1+('Year 1 Results'!X3*'Event Trigger'!$E4*(1-'Input Sheet year 2'!Q4))</f>
        <v>200000</v>
      </c>
      <c r="N3" s="88"/>
      <c r="O3" s="88">
        <f t="shared" ref="O3:O66" si="0">VLOOKUP($C3,$Z:$AJ,2,FALSE)*-1</f>
        <v>0</v>
      </c>
      <c r="P3" s="88">
        <f t="shared" ref="P3:P66" si="1">VLOOKUP($C3,$Z:$AJ,3,FALSE)*-1</f>
        <v>0</v>
      </c>
      <c r="Q3" s="88">
        <f t="shared" ref="Q3:Q66" si="2">VLOOKUP($C3,$Z:$AJ,4,FALSE)*-1</f>
        <v>0</v>
      </c>
      <c r="R3" s="88">
        <f t="shared" ref="R3:R66" si="3">VLOOKUP($C3,$Z:$AJ,5,FALSE)*-1</f>
        <v>0</v>
      </c>
      <c r="S3" s="88">
        <f t="shared" ref="S3:S66" si="4">VLOOKUP($C3,$Z:$AJ,6,FALSE)*-1</f>
        <v>0</v>
      </c>
      <c r="T3" s="88">
        <f t="shared" ref="T3:T66" si="5">VLOOKUP($C3,$Z:$AJ,7,FALSE)*-1</f>
        <v>0</v>
      </c>
      <c r="U3" s="88">
        <f t="shared" ref="U3:U66" si="6">VLOOKUP($C3,$Z:$AJ,8,FALSE)*-1</f>
        <v>0</v>
      </c>
      <c r="V3" s="88">
        <f t="shared" ref="V3:V66" si="7">VLOOKUP($C3,$Z:$AJ,9,FALSE)*-1</f>
        <v>0</v>
      </c>
      <c r="W3" s="88">
        <f t="shared" ref="W3:W66" si="8">VLOOKUP($C3,$Z:$AJ,10,FALSE)*-1</f>
        <v>0</v>
      </c>
      <c r="X3" s="88">
        <f t="shared" ref="X3:X66" si="9">VLOOKUP($C3,$Z:$AJ,11,FALSE)*-1</f>
        <v>0</v>
      </c>
      <c r="Z3" s="51" t="s">
        <v>27</v>
      </c>
      <c r="AA3" s="52">
        <f>IF('Year 1 Results'!AA3*COUNTIF('Event Trigger'!$C:$C,'Year 2 Results'!$Z3)&gt;SUMIF('Event Trigger'!$C:$C,$Z3,D:D),0,'Year 1 Results'!AA3)</f>
        <v>0</v>
      </c>
      <c r="AB3" s="52">
        <f>IF('Year 1 Results'!AB3*COUNTIF('Event Trigger'!$C:$C,'Year 2 Results'!$Z3)&gt;SUMIF('Event Trigger'!$C:$C,$Z3,E:E),0,'Year 1 Results'!AB3)</f>
        <v>0</v>
      </c>
      <c r="AC3" s="52">
        <f>IF('Year 1 Results'!AC3*COUNTIF('Event Trigger'!$C:$C,'Year 2 Results'!$Z3)&gt;SUMIF('Event Trigger'!$C:$C,$Z3,F:F),0,'Year 1 Results'!AC3)</f>
        <v>0</v>
      </c>
      <c r="AD3" s="52">
        <f>IF('Year 1 Results'!AD3*COUNTIF('Event Trigger'!$C:$C,'Year 2 Results'!$Z3)&gt;SUMIF('Event Trigger'!$C:$C,$Z3,G:G),0,'Year 1 Results'!AD3)</f>
        <v>0</v>
      </c>
      <c r="AE3" s="52">
        <f>IF('Year 1 Results'!AE3*COUNTIF('Event Trigger'!$C:$C,'Year 2 Results'!$Z3)&gt;SUMIF('Event Trigger'!$C:$C,$Z3,H:H),0,'Year 1 Results'!AE3)</f>
        <v>0</v>
      </c>
      <c r="AF3" s="52">
        <f>IF('Year 1 Results'!AF3*COUNTIF('Event Trigger'!$C:$C,'Year 2 Results'!$Z3)&gt;SUMIF('Event Trigger'!$C:$C,$Z3,I:I),0,'Year 1 Results'!AF3)</f>
        <v>200000</v>
      </c>
      <c r="AG3" s="52">
        <f>IF('Year 1 Results'!AG3*COUNTIF('Event Trigger'!$C:$C,'Year 2 Results'!$Z3)&gt;SUMIF('Event Trigger'!$C:$C,$Z3,J:J),0,'Year 1 Results'!AG3)</f>
        <v>0</v>
      </c>
      <c r="AH3" s="52">
        <f>IF('Year 1 Results'!AH3*COUNTIF('Event Trigger'!$C:$C,'Year 2 Results'!$Z3)&gt;SUMIF('Event Trigger'!$C:$C,$Z3,K:K),0,'Year 1 Results'!AH3)</f>
        <v>0</v>
      </c>
      <c r="AI3" s="52">
        <f>IF('Year 1 Results'!AI3*COUNTIF('Event Trigger'!$C:$C,'Year 2 Results'!$Z3)&gt;SUMIF('Event Trigger'!$C:$C,$Z3,L:L),0,'Year 1 Results'!AI3)</f>
        <v>0</v>
      </c>
      <c r="AJ3" s="52">
        <f>IF('Year 1 Results'!AJ3*COUNTIF('Event Trigger'!$C:$C,'Year 2 Results'!$Z3)&gt;SUMIF('Event Trigger'!$C:$C,$Z3,M:M),0,'Year 1 Results'!AJ3)</f>
        <v>0</v>
      </c>
    </row>
    <row r="4" spans="1:36" x14ac:dyDescent="0.25">
      <c r="A4" s="37" t="str">
        <f>'Risk Master'!B4:B140&amp;"-"&amp;'Risk Master'!D4</f>
        <v>Fire-Mumbai</v>
      </c>
      <c r="B4" s="37" t="str">
        <f>'Input Sheet year 2'!B5</f>
        <v>Fire-Mumbai</v>
      </c>
      <c r="C4" s="29" t="str">
        <f>'Risk Master'!F4</f>
        <v>A1</v>
      </c>
      <c r="D4" s="73">
        <f>'Year 1 Results'!O4*-1+('Year 1 Results'!O4*'Event Trigger'!$E5*(1-'Input Sheet year 2'!H5))</f>
        <v>0</v>
      </c>
      <c r="E4" s="73">
        <f>'Year 1 Results'!P4*-1+('Year 1 Results'!P4*'Event Trigger'!$E5*(1-'Input Sheet year 2'!I5))</f>
        <v>0</v>
      </c>
      <c r="F4" s="73">
        <f>'Year 1 Results'!Q4*-1+('Year 1 Results'!Q4*'Event Trigger'!$E5*(1-'Input Sheet year 2'!J5))</f>
        <v>0</v>
      </c>
      <c r="G4" s="73">
        <f>'Year 1 Results'!R4*-1+('Year 1 Results'!R4*'Event Trigger'!$E5*(1-'Input Sheet year 2'!K5))</f>
        <v>0</v>
      </c>
      <c r="H4" s="73">
        <f>'Year 1 Results'!S4*-1+('Year 1 Results'!S4*'Event Trigger'!$E5*(1-'Input Sheet year 2'!L5))</f>
        <v>0</v>
      </c>
      <c r="I4" s="73">
        <f>'Year 1 Results'!T4*-1+('Year 1 Results'!T4*'Event Trigger'!$E5*(1-'Input Sheet year 2'!M5))</f>
        <v>200000</v>
      </c>
      <c r="J4" s="73">
        <f>'Year 1 Results'!U4*-1+('Year 1 Results'!U4*'Event Trigger'!$E5*(1-'Input Sheet year 2'!N5))</f>
        <v>0</v>
      </c>
      <c r="K4" s="73">
        <f>'Year 1 Results'!V4*-1+('Year 1 Results'!V4*'Event Trigger'!$E5*(1-'Input Sheet year 2'!O5))</f>
        <v>0</v>
      </c>
      <c r="L4" s="73">
        <f>'Year 1 Results'!W4*-1+('Year 1 Results'!W4*'Event Trigger'!$E5*(1-'Input Sheet year 2'!P5))</f>
        <v>0</v>
      </c>
      <c r="M4" s="73">
        <f>'Year 1 Results'!X4*-1+('Year 1 Results'!X4*'Event Trigger'!$E5*(1-'Input Sheet year 2'!Q5))</f>
        <v>200000</v>
      </c>
      <c r="N4" s="88"/>
      <c r="O4" s="88">
        <f t="shared" si="0"/>
        <v>0</v>
      </c>
      <c r="P4" s="88">
        <f t="shared" si="1"/>
        <v>0</v>
      </c>
      <c r="Q4" s="88">
        <f t="shared" si="2"/>
        <v>0</v>
      </c>
      <c r="R4" s="88">
        <f t="shared" si="3"/>
        <v>0</v>
      </c>
      <c r="S4" s="88">
        <f t="shared" si="4"/>
        <v>0</v>
      </c>
      <c r="T4" s="88">
        <f t="shared" si="5"/>
        <v>0</v>
      </c>
      <c r="U4" s="88">
        <f t="shared" si="6"/>
        <v>0</v>
      </c>
      <c r="V4" s="88">
        <f t="shared" si="7"/>
        <v>0</v>
      </c>
      <c r="W4" s="88">
        <f t="shared" si="8"/>
        <v>0</v>
      </c>
      <c r="X4" s="88">
        <f t="shared" si="9"/>
        <v>0</v>
      </c>
      <c r="Z4" s="51" t="s">
        <v>28</v>
      </c>
      <c r="AA4" s="52">
        <f>IF('Year 1 Results'!AA4*COUNTIF('Event Trigger'!$C:$C,'Year 2 Results'!$Z4)&gt;SUMIF('Event Trigger'!$C:$C,$Z4,D:D),0,'Year 1 Results'!AA4)</f>
        <v>0</v>
      </c>
      <c r="AB4" s="52">
        <f>IF('Year 1 Results'!AB4*COUNTIF('Event Trigger'!$C:$C,'Year 2 Results'!$Z4)&gt;SUMIF('Event Trigger'!$C:$C,$Z4,E:E),0,'Year 1 Results'!AB4)</f>
        <v>0</v>
      </c>
      <c r="AC4" s="52">
        <f>IF('Year 1 Results'!AC4*COUNTIF('Event Trigger'!$C:$C,'Year 2 Results'!$Z4)&gt;SUMIF('Event Trigger'!$C:$C,$Z4,F:F),0,'Year 1 Results'!AC4)</f>
        <v>0</v>
      </c>
      <c r="AD4" s="52">
        <f>IF('Year 1 Results'!AD4*COUNTIF('Event Trigger'!$C:$C,'Year 2 Results'!$Z4)&gt;SUMIF('Event Trigger'!$C:$C,$Z4,G:G),0,'Year 1 Results'!AD4)</f>
        <v>0</v>
      </c>
      <c r="AE4" s="52">
        <f>IF('Year 1 Results'!AE4*COUNTIF('Event Trigger'!$C:$C,'Year 2 Results'!$Z4)&gt;SUMIF('Event Trigger'!$C:$C,$Z4,H:H),0,'Year 1 Results'!AE4)</f>
        <v>0</v>
      </c>
      <c r="AF4" s="52">
        <f>IF('Year 1 Results'!AF4*COUNTIF('Event Trigger'!$C:$C,'Year 2 Results'!$Z4)&gt;SUMIF('Event Trigger'!$C:$C,$Z4,I:I),0,'Year 1 Results'!AF4)</f>
        <v>0</v>
      </c>
      <c r="AG4" s="52">
        <f>IF('Year 1 Results'!AG4*COUNTIF('Event Trigger'!$C:$C,'Year 2 Results'!$Z4)&gt;SUMIF('Event Trigger'!$C:$C,$Z4,J:J),0,'Year 1 Results'!AG4)</f>
        <v>0</v>
      </c>
      <c r="AH4" s="52">
        <f>IF('Year 1 Results'!AH4*COUNTIF('Event Trigger'!$C:$C,'Year 2 Results'!$Z4)&gt;SUMIF('Event Trigger'!$C:$C,$Z4,K:K),0,'Year 1 Results'!AH4)</f>
        <v>0</v>
      </c>
      <c r="AI4" s="52">
        <f>IF('Year 1 Results'!AI4*COUNTIF('Event Trigger'!$C:$C,'Year 2 Results'!$Z4)&gt;SUMIF('Event Trigger'!$C:$C,$Z4,L:L),0,'Year 1 Results'!AI4)</f>
        <v>0</v>
      </c>
      <c r="AJ4" s="52">
        <f>IF('Year 1 Results'!AJ4*COUNTIF('Event Trigger'!$C:$C,'Year 2 Results'!$Z4)&gt;SUMIF('Event Trigger'!$C:$C,$Z4,M:M),0,'Year 1 Results'!AJ4)</f>
        <v>0</v>
      </c>
    </row>
    <row r="5" spans="1:36" x14ac:dyDescent="0.25">
      <c r="A5" s="37" t="str">
        <f>'Risk Master'!B5:B141&amp;"-"&amp;'Risk Master'!D5</f>
        <v>Typhoon-Mumbai</v>
      </c>
      <c r="B5" s="37" t="str">
        <f>'Input Sheet year 2'!B6</f>
        <v>Typhoon-Mumbai</v>
      </c>
      <c r="C5" s="29" t="str">
        <f>'Risk Master'!F5</f>
        <v>A1</v>
      </c>
      <c r="D5" s="73">
        <f>'Year 1 Results'!O5*-1+('Year 1 Results'!O5*'Event Trigger'!$E6*(1-'Input Sheet year 2'!H6))</f>
        <v>0</v>
      </c>
      <c r="E5" s="73">
        <f>'Year 1 Results'!P5*-1+('Year 1 Results'!P5*'Event Trigger'!$E6*(1-'Input Sheet year 2'!I6))</f>
        <v>0</v>
      </c>
      <c r="F5" s="73">
        <f>'Year 1 Results'!Q5*-1+('Year 1 Results'!Q5*'Event Trigger'!$E6*(1-'Input Sheet year 2'!J6))</f>
        <v>0</v>
      </c>
      <c r="G5" s="73">
        <f>'Year 1 Results'!R5*-1+('Year 1 Results'!R5*'Event Trigger'!$E6*(1-'Input Sheet year 2'!K6))</f>
        <v>0</v>
      </c>
      <c r="H5" s="73">
        <f>'Year 1 Results'!S5*-1+('Year 1 Results'!S5*'Event Trigger'!$E6*(1-'Input Sheet year 2'!L6))</f>
        <v>0</v>
      </c>
      <c r="I5" s="73">
        <f>'Year 1 Results'!T5*-1+('Year 1 Results'!T5*'Event Trigger'!$E6*(1-'Input Sheet year 2'!M6))</f>
        <v>200000</v>
      </c>
      <c r="J5" s="73">
        <f>'Year 1 Results'!U5*-1+('Year 1 Results'!U5*'Event Trigger'!$E6*(1-'Input Sheet year 2'!N6))</f>
        <v>0</v>
      </c>
      <c r="K5" s="73">
        <f>'Year 1 Results'!V5*-1+('Year 1 Results'!V5*'Event Trigger'!$E6*(1-'Input Sheet year 2'!O6))</f>
        <v>0</v>
      </c>
      <c r="L5" s="73">
        <f>'Year 1 Results'!W5*-1+('Year 1 Results'!W5*'Event Trigger'!$E6*(1-'Input Sheet year 2'!P6))</f>
        <v>0</v>
      </c>
      <c r="M5" s="73">
        <f>'Year 1 Results'!X5*-1+('Year 1 Results'!X5*'Event Trigger'!$E6*(1-'Input Sheet year 2'!Q6))</f>
        <v>200000</v>
      </c>
      <c r="N5" s="88"/>
      <c r="O5" s="88">
        <f t="shared" si="0"/>
        <v>0</v>
      </c>
      <c r="P5" s="88">
        <f t="shared" si="1"/>
        <v>0</v>
      </c>
      <c r="Q5" s="88">
        <f t="shared" si="2"/>
        <v>0</v>
      </c>
      <c r="R5" s="88">
        <f t="shared" si="3"/>
        <v>0</v>
      </c>
      <c r="S5" s="88">
        <f t="shared" si="4"/>
        <v>0</v>
      </c>
      <c r="T5" s="88">
        <f t="shared" si="5"/>
        <v>0</v>
      </c>
      <c r="U5" s="88">
        <f t="shared" si="6"/>
        <v>0</v>
      </c>
      <c r="V5" s="88">
        <f t="shared" si="7"/>
        <v>0</v>
      </c>
      <c r="W5" s="88">
        <f t="shared" si="8"/>
        <v>0</v>
      </c>
      <c r="X5" s="88">
        <f t="shared" si="9"/>
        <v>0</v>
      </c>
      <c r="Z5" s="51" t="s">
        <v>29</v>
      </c>
      <c r="AA5" s="52">
        <f>IF('Year 1 Results'!AA5*COUNTIF('Event Trigger'!$C:$C,'Year 2 Results'!$Z5)&gt;SUMIF('Event Trigger'!$C:$C,$Z5,D:D),0,'Year 1 Results'!AA5)</f>
        <v>700000</v>
      </c>
      <c r="AB5" s="52">
        <f>IF('Year 1 Results'!AB5*COUNTIF('Event Trigger'!$C:$C,'Year 2 Results'!$Z5)&gt;SUMIF('Event Trigger'!$C:$C,$Z5,E:E),0,'Year 1 Results'!AB5)</f>
        <v>0</v>
      </c>
      <c r="AC5" s="52">
        <f>IF('Year 1 Results'!AC5*COUNTIF('Event Trigger'!$C:$C,'Year 2 Results'!$Z5)&gt;SUMIF('Event Trigger'!$C:$C,$Z5,F:F),0,'Year 1 Results'!AC5)</f>
        <v>0</v>
      </c>
      <c r="AD5" s="52">
        <f>IF('Year 1 Results'!AD5*COUNTIF('Event Trigger'!$C:$C,'Year 2 Results'!$Z5)&gt;SUMIF('Event Trigger'!$C:$C,$Z5,G:G),0,'Year 1 Results'!AD5)</f>
        <v>0</v>
      </c>
      <c r="AE5" s="52">
        <f>IF('Year 1 Results'!AE5*COUNTIF('Event Trigger'!$C:$C,'Year 2 Results'!$Z5)&gt;SUMIF('Event Trigger'!$C:$C,$Z5,H:H),0,'Year 1 Results'!AE5)</f>
        <v>0</v>
      </c>
      <c r="AF5" s="52">
        <f>IF('Year 1 Results'!AF5*COUNTIF('Event Trigger'!$C:$C,'Year 2 Results'!$Z5)&gt;SUMIF('Event Trigger'!$C:$C,$Z5,I:I),0,'Year 1 Results'!AF5)</f>
        <v>0</v>
      </c>
      <c r="AG5" s="52">
        <f>IF('Year 1 Results'!AG5*COUNTIF('Event Trigger'!$C:$C,'Year 2 Results'!$Z5)&gt;SUMIF('Event Trigger'!$C:$C,$Z5,J:J),0,'Year 1 Results'!AG5)</f>
        <v>0</v>
      </c>
      <c r="AH5" s="52">
        <f>IF('Year 1 Results'!AH5*COUNTIF('Event Trigger'!$C:$C,'Year 2 Results'!$Z5)&gt;SUMIF('Event Trigger'!$C:$C,$Z5,K:K),0,'Year 1 Results'!AH5)</f>
        <v>0</v>
      </c>
      <c r="AI5" s="52">
        <f>IF('Year 1 Results'!AI5*COUNTIF('Event Trigger'!$C:$C,'Year 2 Results'!$Z5)&gt;SUMIF('Event Trigger'!$C:$C,$Z5,L:L),0,'Year 1 Results'!AI5)</f>
        <v>0</v>
      </c>
      <c r="AJ5" s="52">
        <f>IF('Year 1 Results'!AJ5*COUNTIF('Event Trigger'!$C:$C,'Year 2 Results'!$Z5)&gt;SUMIF('Event Trigger'!$C:$C,$Z5,M:M),0,'Year 1 Results'!AJ5)</f>
        <v>0</v>
      </c>
    </row>
    <row r="6" spans="1:36" ht="25.5" x14ac:dyDescent="0.25">
      <c r="A6" s="37" t="str">
        <f>'Risk Master'!B6:B142&amp;"-"&amp;'Risk Master'!D6</f>
        <v>Thunderstorms, Tornados &amp; Hail-Mumbai</v>
      </c>
      <c r="B6" s="37" t="str">
        <f>'Input Sheet year 2'!B7</f>
        <v>Thunderstorms, Tornados &amp; Hail-Mumbai</v>
      </c>
      <c r="C6" s="29" t="str">
        <f>'Risk Master'!F6</f>
        <v>A1</v>
      </c>
      <c r="D6" s="73">
        <f>'Year 1 Results'!O6*-1+('Year 1 Results'!O6*'Event Trigger'!$E7*(1-'Input Sheet year 2'!H7))</f>
        <v>0</v>
      </c>
      <c r="E6" s="73">
        <f>'Year 1 Results'!P6*-1+('Year 1 Results'!P6*'Event Trigger'!$E7*(1-'Input Sheet year 2'!I7))</f>
        <v>0</v>
      </c>
      <c r="F6" s="73">
        <f>'Year 1 Results'!Q6*-1+('Year 1 Results'!Q6*'Event Trigger'!$E7*(1-'Input Sheet year 2'!J7))</f>
        <v>0</v>
      </c>
      <c r="G6" s="73">
        <f>'Year 1 Results'!R6*-1+('Year 1 Results'!R6*'Event Trigger'!$E7*(1-'Input Sheet year 2'!K7))</f>
        <v>0</v>
      </c>
      <c r="H6" s="73">
        <f>'Year 1 Results'!S6*-1+('Year 1 Results'!S6*'Event Trigger'!$E7*(1-'Input Sheet year 2'!L7))</f>
        <v>0</v>
      </c>
      <c r="I6" s="73">
        <f>'Year 1 Results'!T6*-1+('Year 1 Results'!T6*'Event Trigger'!$E7*(1-'Input Sheet year 2'!M7))</f>
        <v>0</v>
      </c>
      <c r="J6" s="73">
        <f>'Year 1 Results'!U6*-1+('Year 1 Results'!U6*'Event Trigger'!$E7*(1-'Input Sheet year 2'!N7))</f>
        <v>0</v>
      </c>
      <c r="K6" s="73">
        <f>'Year 1 Results'!V6*-1+('Year 1 Results'!V6*'Event Trigger'!$E7*(1-'Input Sheet year 2'!O7))</f>
        <v>0</v>
      </c>
      <c r="L6" s="73">
        <f>'Year 1 Results'!W6*-1+('Year 1 Results'!W6*'Event Trigger'!$E7*(1-'Input Sheet year 2'!P7))</f>
        <v>0</v>
      </c>
      <c r="M6" s="73">
        <f>'Year 1 Results'!X6*-1+('Year 1 Results'!X6*'Event Trigger'!$E7*(1-'Input Sheet year 2'!Q7))</f>
        <v>0</v>
      </c>
      <c r="N6" s="88"/>
      <c r="O6" s="88">
        <f t="shared" si="0"/>
        <v>0</v>
      </c>
      <c r="P6" s="88">
        <f t="shared" si="1"/>
        <v>0</v>
      </c>
      <c r="Q6" s="88">
        <f t="shared" si="2"/>
        <v>0</v>
      </c>
      <c r="R6" s="88">
        <f t="shared" si="3"/>
        <v>0</v>
      </c>
      <c r="S6" s="88">
        <f t="shared" si="4"/>
        <v>0</v>
      </c>
      <c r="T6" s="88">
        <f t="shared" si="5"/>
        <v>0</v>
      </c>
      <c r="U6" s="88">
        <f t="shared" si="6"/>
        <v>0</v>
      </c>
      <c r="V6" s="88">
        <f t="shared" si="7"/>
        <v>0</v>
      </c>
      <c r="W6" s="88">
        <f t="shared" si="8"/>
        <v>0</v>
      </c>
      <c r="X6" s="88">
        <f t="shared" si="9"/>
        <v>0</v>
      </c>
      <c r="Z6" s="51" t="s">
        <v>30</v>
      </c>
      <c r="AA6" s="52">
        <f>IF('Year 1 Results'!AA6*COUNTIF('Event Trigger'!$C:$C,'Year 2 Results'!$Z6)&gt;SUMIF('Event Trigger'!$C:$C,$Z6,D:D),0,'Year 1 Results'!AA6)</f>
        <v>0</v>
      </c>
      <c r="AB6" s="52">
        <f>IF('Year 1 Results'!AB6*COUNTIF('Event Trigger'!$C:$C,'Year 2 Results'!$Z6)&gt;SUMIF('Event Trigger'!$C:$C,$Z6,E:E),0,'Year 1 Results'!AB6)</f>
        <v>0</v>
      </c>
      <c r="AC6" s="52">
        <f>IF('Year 1 Results'!AC6*COUNTIF('Event Trigger'!$C:$C,'Year 2 Results'!$Z6)&gt;SUMIF('Event Trigger'!$C:$C,$Z6,F:F),0,'Year 1 Results'!AC6)</f>
        <v>0</v>
      </c>
      <c r="AD6" s="52">
        <f>IF('Year 1 Results'!AD6*COUNTIF('Event Trigger'!$C:$C,'Year 2 Results'!$Z6)&gt;SUMIF('Event Trigger'!$C:$C,$Z6,G:G),0,'Year 1 Results'!AD6)</f>
        <v>0</v>
      </c>
      <c r="AE6" s="52">
        <f>IF('Year 1 Results'!AE6*COUNTIF('Event Trigger'!$C:$C,'Year 2 Results'!$Z6)&gt;SUMIF('Event Trigger'!$C:$C,$Z6,H:H),0,'Year 1 Results'!AE6)</f>
        <v>0</v>
      </c>
      <c r="AF6" s="52">
        <f>IF('Year 1 Results'!AF6*COUNTIF('Event Trigger'!$C:$C,'Year 2 Results'!$Z6)&gt;SUMIF('Event Trigger'!$C:$C,$Z6,I:I),0,'Year 1 Results'!AF6)</f>
        <v>0</v>
      </c>
      <c r="AG6" s="52">
        <f>IF('Year 1 Results'!AG6*COUNTIF('Event Trigger'!$C:$C,'Year 2 Results'!$Z6)&gt;SUMIF('Event Trigger'!$C:$C,$Z6,J:J),0,'Year 1 Results'!AG6)</f>
        <v>0</v>
      </c>
      <c r="AH6" s="52">
        <f>IF('Year 1 Results'!AH6*COUNTIF('Event Trigger'!$C:$C,'Year 2 Results'!$Z6)&gt;SUMIF('Event Trigger'!$C:$C,$Z6,K:K),0,'Year 1 Results'!AH6)</f>
        <v>0</v>
      </c>
      <c r="AI6" s="52">
        <f>IF('Year 1 Results'!AI6*COUNTIF('Event Trigger'!$C:$C,'Year 2 Results'!$Z6)&gt;SUMIF('Event Trigger'!$C:$C,$Z6,L:L),0,'Year 1 Results'!AI6)</f>
        <v>0</v>
      </c>
      <c r="AJ6" s="52">
        <f>IF('Year 1 Results'!AJ6*COUNTIF('Event Trigger'!$C:$C,'Year 2 Results'!$Z6)&gt;SUMIF('Event Trigger'!$C:$C,$Z6,M:M),0,'Year 1 Results'!AJ6)</f>
        <v>0</v>
      </c>
    </row>
    <row r="7" spans="1:36" x14ac:dyDescent="0.25">
      <c r="A7" s="37" t="str">
        <f>'Risk Master'!B7:B143&amp;"-"&amp;'Risk Master'!D7</f>
        <v>Tsunami-Mumbai</v>
      </c>
      <c r="B7" s="37" t="str">
        <f>'Input Sheet year 2'!B8</f>
        <v>Tsunami-Mumbai</v>
      </c>
      <c r="C7" s="29" t="str">
        <f>'Risk Master'!F7</f>
        <v>A1</v>
      </c>
      <c r="D7" s="73">
        <f>'Year 1 Results'!O7*-1+('Year 1 Results'!O7*'Event Trigger'!$E8*(1-'Input Sheet year 2'!H8))</f>
        <v>0</v>
      </c>
      <c r="E7" s="73">
        <f>'Year 1 Results'!P7*-1+('Year 1 Results'!P7*'Event Trigger'!$E8*(1-'Input Sheet year 2'!I8))</f>
        <v>0</v>
      </c>
      <c r="F7" s="73">
        <f>'Year 1 Results'!Q7*-1+('Year 1 Results'!Q7*'Event Trigger'!$E8*(1-'Input Sheet year 2'!J8))</f>
        <v>0</v>
      </c>
      <c r="G7" s="73">
        <f>'Year 1 Results'!R7*-1+('Year 1 Results'!R7*'Event Trigger'!$E8*(1-'Input Sheet year 2'!K8))</f>
        <v>0</v>
      </c>
      <c r="H7" s="73">
        <f>'Year 1 Results'!S7*-1+('Year 1 Results'!S7*'Event Trigger'!$E8*(1-'Input Sheet year 2'!L8))</f>
        <v>0</v>
      </c>
      <c r="I7" s="73">
        <f>'Year 1 Results'!T7*-1+('Year 1 Results'!T7*'Event Trigger'!$E8*(1-'Input Sheet year 2'!M8))</f>
        <v>200000</v>
      </c>
      <c r="J7" s="73">
        <f>'Year 1 Results'!U7*-1+('Year 1 Results'!U7*'Event Trigger'!$E8*(1-'Input Sheet year 2'!N8))</f>
        <v>0</v>
      </c>
      <c r="K7" s="73">
        <f>'Year 1 Results'!V7*-1+('Year 1 Results'!V7*'Event Trigger'!$E8*(1-'Input Sheet year 2'!O8))</f>
        <v>0</v>
      </c>
      <c r="L7" s="73">
        <f>'Year 1 Results'!W7*-1+('Year 1 Results'!W7*'Event Trigger'!$E8*(1-'Input Sheet year 2'!P8))</f>
        <v>0</v>
      </c>
      <c r="M7" s="73">
        <f>'Year 1 Results'!X7*-1+('Year 1 Results'!X7*'Event Trigger'!$E8*(1-'Input Sheet year 2'!Q8))</f>
        <v>200000</v>
      </c>
      <c r="N7" s="88"/>
      <c r="O7" s="88">
        <f t="shared" si="0"/>
        <v>0</v>
      </c>
      <c r="P7" s="88">
        <f t="shared" si="1"/>
        <v>0</v>
      </c>
      <c r="Q7" s="88">
        <f t="shared" si="2"/>
        <v>0</v>
      </c>
      <c r="R7" s="88">
        <f t="shared" si="3"/>
        <v>0</v>
      </c>
      <c r="S7" s="88">
        <f t="shared" si="4"/>
        <v>0</v>
      </c>
      <c r="T7" s="88">
        <f t="shared" si="5"/>
        <v>0</v>
      </c>
      <c r="U7" s="88">
        <f t="shared" si="6"/>
        <v>0</v>
      </c>
      <c r="V7" s="88">
        <f t="shared" si="7"/>
        <v>0</v>
      </c>
      <c r="W7" s="88">
        <f t="shared" si="8"/>
        <v>0</v>
      </c>
      <c r="X7" s="88">
        <f t="shared" si="9"/>
        <v>0</v>
      </c>
      <c r="Z7" s="51" t="s">
        <v>31</v>
      </c>
      <c r="AA7" s="52">
        <f>IF('Year 1 Results'!AA7*COUNTIF('Event Trigger'!$C:$C,'Year 2 Results'!$Z7)&gt;SUMIF('Event Trigger'!$C:$C,$Z7,D:D),0,'Year 1 Results'!AA7)</f>
        <v>400000</v>
      </c>
      <c r="AB7" s="52">
        <f>IF('Year 1 Results'!AB7*COUNTIF('Event Trigger'!$C:$C,'Year 2 Results'!$Z7)&gt;SUMIF('Event Trigger'!$C:$C,$Z7,E:E),0,'Year 1 Results'!AB7)</f>
        <v>0</v>
      </c>
      <c r="AC7" s="52">
        <f>IF('Year 1 Results'!AC7*COUNTIF('Event Trigger'!$C:$C,'Year 2 Results'!$Z7)&gt;SUMIF('Event Trigger'!$C:$C,$Z7,F:F),0,'Year 1 Results'!AC7)</f>
        <v>0</v>
      </c>
      <c r="AD7" s="52">
        <f>IF('Year 1 Results'!AD7*COUNTIF('Event Trigger'!$C:$C,'Year 2 Results'!$Z7)&gt;SUMIF('Event Trigger'!$C:$C,$Z7,G:G),0,'Year 1 Results'!AD7)</f>
        <v>0</v>
      </c>
      <c r="AE7" s="52">
        <f>IF('Year 1 Results'!AE7*COUNTIF('Event Trigger'!$C:$C,'Year 2 Results'!$Z7)&gt;SUMIF('Event Trigger'!$C:$C,$Z7,H:H),0,'Year 1 Results'!AE7)</f>
        <v>0</v>
      </c>
      <c r="AF7" s="52">
        <f>IF('Year 1 Results'!AF7*COUNTIF('Event Trigger'!$C:$C,'Year 2 Results'!$Z7)&gt;SUMIF('Event Trigger'!$C:$C,$Z7,I:I),0,'Year 1 Results'!AF7)</f>
        <v>0</v>
      </c>
      <c r="AG7" s="52">
        <f>IF('Year 1 Results'!AG7*COUNTIF('Event Trigger'!$C:$C,'Year 2 Results'!$Z7)&gt;SUMIF('Event Trigger'!$C:$C,$Z7,J:J),0,'Year 1 Results'!AG7)</f>
        <v>0</v>
      </c>
      <c r="AH7" s="52">
        <f>IF('Year 1 Results'!AH7*COUNTIF('Event Trigger'!$C:$C,'Year 2 Results'!$Z7)&gt;SUMIF('Event Trigger'!$C:$C,$Z7,K:K),0,'Year 1 Results'!AH7)</f>
        <v>0</v>
      </c>
      <c r="AI7" s="52">
        <f>IF('Year 1 Results'!AI7*COUNTIF('Event Trigger'!$C:$C,'Year 2 Results'!$Z7)&gt;SUMIF('Event Trigger'!$C:$C,$Z7,L:L),0,'Year 1 Results'!AI7)</f>
        <v>0</v>
      </c>
      <c r="AJ7" s="52">
        <f>IF('Year 1 Results'!AJ7*COUNTIF('Event Trigger'!$C:$C,'Year 2 Results'!$Z7)&gt;SUMIF('Event Trigger'!$C:$C,$Z7,M:M),0,'Year 1 Results'!AJ7)</f>
        <v>0</v>
      </c>
    </row>
    <row r="8" spans="1:36" ht="25.5" x14ac:dyDescent="0.25">
      <c r="A8" s="37" t="str">
        <f>'Risk Master'!B8:B144&amp;"-"&amp;'Risk Master'!D8</f>
        <v>High tide and high rainfalls leading to large floods-Mumbai</v>
      </c>
      <c r="B8" s="37" t="str">
        <f>'Input Sheet year 2'!B9</f>
        <v>Flood-Mumbai</v>
      </c>
      <c r="C8" s="29" t="str">
        <f>'Risk Master'!F8</f>
        <v>A2</v>
      </c>
      <c r="D8" s="73">
        <f>'Year 1 Results'!O8*-1+('Year 1 Results'!O8*'Event Trigger'!$E9*(1-'Input Sheet year 2'!H9))</f>
        <v>0</v>
      </c>
      <c r="E8" s="73">
        <f>'Year 1 Results'!P8*-1+('Year 1 Results'!P8*'Event Trigger'!$E9*(1-'Input Sheet year 2'!I9))</f>
        <v>0</v>
      </c>
      <c r="F8" s="73">
        <f>'Year 1 Results'!Q8*-1+('Year 1 Results'!Q8*'Event Trigger'!$E9*(1-'Input Sheet year 2'!J9))</f>
        <v>0</v>
      </c>
      <c r="G8" s="73">
        <f>'Year 1 Results'!R8*-1+('Year 1 Results'!R8*'Event Trigger'!$E9*(1-'Input Sheet year 2'!K9))</f>
        <v>0</v>
      </c>
      <c r="H8" s="73">
        <f>'Year 1 Results'!S8*-1+('Year 1 Results'!S8*'Event Trigger'!$E9*(1-'Input Sheet year 2'!L9))</f>
        <v>0</v>
      </c>
      <c r="I8" s="73">
        <f>'Year 1 Results'!T8*-1+('Year 1 Results'!T8*'Event Trigger'!$E9*(1-'Input Sheet year 2'!M9))</f>
        <v>200000</v>
      </c>
      <c r="J8" s="73">
        <f>'Year 1 Results'!U8*-1+('Year 1 Results'!U8*'Event Trigger'!$E9*(1-'Input Sheet year 2'!N9))</f>
        <v>0</v>
      </c>
      <c r="K8" s="73">
        <f>'Year 1 Results'!V8*-1+('Year 1 Results'!V8*'Event Trigger'!$E9*(1-'Input Sheet year 2'!O9))</f>
        <v>0</v>
      </c>
      <c r="L8" s="73">
        <f>'Year 1 Results'!W8*-1+('Year 1 Results'!W8*'Event Trigger'!$E9*(1-'Input Sheet year 2'!P9))</f>
        <v>0</v>
      </c>
      <c r="M8" s="73">
        <f>'Year 1 Results'!X8*-1+('Year 1 Results'!X8*'Event Trigger'!$E9*(1-'Input Sheet year 2'!Q9))</f>
        <v>0</v>
      </c>
      <c r="N8" s="88"/>
      <c r="O8" s="88">
        <f t="shared" si="0"/>
        <v>0</v>
      </c>
      <c r="P8" s="88">
        <f t="shared" si="1"/>
        <v>0</v>
      </c>
      <c r="Q8" s="88">
        <f t="shared" si="2"/>
        <v>0</v>
      </c>
      <c r="R8" s="88">
        <f t="shared" si="3"/>
        <v>0</v>
      </c>
      <c r="S8" s="88">
        <f t="shared" si="4"/>
        <v>0</v>
      </c>
      <c r="T8" s="88">
        <f t="shared" si="5"/>
        <v>-200000</v>
      </c>
      <c r="U8" s="88">
        <f t="shared" si="6"/>
        <v>0</v>
      </c>
      <c r="V8" s="88">
        <f t="shared" si="7"/>
        <v>0</v>
      </c>
      <c r="W8" s="88">
        <f t="shared" si="8"/>
        <v>0</v>
      </c>
      <c r="X8" s="88">
        <f t="shared" si="9"/>
        <v>0</v>
      </c>
      <c r="Z8" s="51" t="s">
        <v>32</v>
      </c>
      <c r="AA8" s="52">
        <f>IF('Year 1 Results'!AA8*COUNTIF('Event Trigger'!$C:$C,'Year 2 Results'!$Z8)&gt;SUMIF('Event Trigger'!$C:$C,$Z8,D:D),0,'Year 1 Results'!AA8)</f>
        <v>800000</v>
      </c>
      <c r="AB8" s="52">
        <f>IF('Year 1 Results'!AB8*COUNTIF('Event Trigger'!$C:$C,'Year 2 Results'!$Z8)&gt;SUMIF('Event Trigger'!$C:$C,$Z8,E:E),0,'Year 1 Results'!AB8)</f>
        <v>800000</v>
      </c>
      <c r="AC8" s="52">
        <f>IF('Year 1 Results'!AC8*COUNTIF('Event Trigger'!$C:$C,'Year 2 Results'!$Z8)&gt;SUMIF('Event Trigger'!$C:$C,$Z8,F:F),0,'Year 1 Results'!AC8)</f>
        <v>800000</v>
      </c>
      <c r="AD8" s="52">
        <f>IF('Year 1 Results'!AD8*COUNTIF('Event Trigger'!$C:$C,'Year 2 Results'!$Z8)&gt;SUMIF('Event Trigger'!$C:$C,$Z8,G:G),0,'Year 1 Results'!AD8)</f>
        <v>800000</v>
      </c>
      <c r="AE8" s="52">
        <f>IF('Year 1 Results'!AE8*COUNTIF('Event Trigger'!$C:$C,'Year 2 Results'!$Z8)&gt;SUMIF('Event Trigger'!$C:$C,$Z8,H:H),0,'Year 1 Results'!AE8)</f>
        <v>800000</v>
      </c>
      <c r="AF8" s="52">
        <f>IF('Year 1 Results'!AF8*COUNTIF('Event Trigger'!$C:$C,'Year 2 Results'!$Z8)&gt;SUMIF('Event Trigger'!$C:$C,$Z8,I:I),0,'Year 1 Results'!AF8)</f>
        <v>800000</v>
      </c>
      <c r="AG8" s="52">
        <f>IF('Year 1 Results'!AG8*COUNTIF('Event Trigger'!$C:$C,'Year 2 Results'!$Z8)&gt;SUMIF('Event Trigger'!$C:$C,$Z8,J:J),0,'Year 1 Results'!AG8)</f>
        <v>800000</v>
      </c>
      <c r="AH8" s="52">
        <f>IF('Year 1 Results'!AH8*COUNTIF('Event Trigger'!$C:$C,'Year 2 Results'!$Z8)&gt;SUMIF('Event Trigger'!$C:$C,$Z8,K:K),0,'Year 1 Results'!AH8)</f>
        <v>800000</v>
      </c>
      <c r="AI8" s="52">
        <f>IF('Year 1 Results'!AI8*COUNTIF('Event Trigger'!$C:$C,'Year 2 Results'!$Z8)&gt;SUMIF('Event Trigger'!$C:$C,$Z8,L:L),0,'Year 1 Results'!AI8)</f>
        <v>800000</v>
      </c>
      <c r="AJ8" s="52">
        <f>IF('Year 1 Results'!AJ8*COUNTIF('Event Trigger'!$C:$C,'Year 2 Results'!$Z8)&gt;SUMIF('Event Trigger'!$C:$C,$Z8,M:M),0,'Year 1 Results'!AJ8)</f>
        <v>800000</v>
      </c>
    </row>
    <row r="9" spans="1:36" x14ac:dyDescent="0.25">
      <c r="A9" s="37" t="str">
        <f>'Risk Master'!B9:B145&amp;"-"&amp;'Risk Master'!D9</f>
        <v>Earthquake-Mumbai</v>
      </c>
      <c r="B9" s="37" t="str">
        <f>'Input Sheet year 2'!B10</f>
        <v>Earthquake-Mumbai</v>
      </c>
      <c r="C9" s="29" t="str">
        <f>'Risk Master'!F9</f>
        <v>A2</v>
      </c>
      <c r="D9" s="73">
        <f>'Year 1 Results'!O9*-1+('Year 1 Results'!O9*'Event Trigger'!$E10*(1-'Input Sheet year 2'!H10))</f>
        <v>0</v>
      </c>
      <c r="E9" s="73">
        <f>'Year 1 Results'!P9*-1+('Year 1 Results'!P9*'Event Trigger'!$E10*(1-'Input Sheet year 2'!I10))</f>
        <v>0</v>
      </c>
      <c r="F9" s="73">
        <f>'Year 1 Results'!Q9*-1+('Year 1 Results'!Q9*'Event Trigger'!$E10*(1-'Input Sheet year 2'!J10))</f>
        <v>0</v>
      </c>
      <c r="G9" s="73">
        <f>'Year 1 Results'!R9*-1+('Year 1 Results'!R9*'Event Trigger'!$E10*(1-'Input Sheet year 2'!K10))</f>
        <v>0</v>
      </c>
      <c r="H9" s="73">
        <f>'Year 1 Results'!S9*-1+('Year 1 Results'!S9*'Event Trigger'!$E10*(1-'Input Sheet year 2'!L10))</f>
        <v>0</v>
      </c>
      <c r="I9" s="73">
        <f>'Year 1 Results'!T9*-1+('Year 1 Results'!T9*'Event Trigger'!$E10*(1-'Input Sheet year 2'!M10))</f>
        <v>200000</v>
      </c>
      <c r="J9" s="73">
        <f>'Year 1 Results'!U9*-1+('Year 1 Results'!U9*'Event Trigger'!$E10*(1-'Input Sheet year 2'!N10))</f>
        <v>0</v>
      </c>
      <c r="K9" s="73">
        <f>'Year 1 Results'!V9*-1+('Year 1 Results'!V9*'Event Trigger'!$E10*(1-'Input Sheet year 2'!O10))</f>
        <v>0</v>
      </c>
      <c r="L9" s="73">
        <f>'Year 1 Results'!W9*-1+('Year 1 Results'!W9*'Event Trigger'!$E10*(1-'Input Sheet year 2'!P10))</f>
        <v>0</v>
      </c>
      <c r="M9" s="73">
        <f>'Year 1 Results'!X9*-1+('Year 1 Results'!X9*'Event Trigger'!$E10*(1-'Input Sheet year 2'!Q10))</f>
        <v>0</v>
      </c>
      <c r="N9" s="88"/>
      <c r="O9" s="88">
        <f t="shared" si="0"/>
        <v>0</v>
      </c>
      <c r="P9" s="88">
        <f t="shared" si="1"/>
        <v>0</v>
      </c>
      <c r="Q9" s="88">
        <f t="shared" si="2"/>
        <v>0</v>
      </c>
      <c r="R9" s="88">
        <f t="shared" si="3"/>
        <v>0</v>
      </c>
      <c r="S9" s="88">
        <f t="shared" si="4"/>
        <v>0</v>
      </c>
      <c r="T9" s="88">
        <f t="shared" si="5"/>
        <v>-200000</v>
      </c>
      <c r="U9" s="88">
        <f t="shared" si="6"/>
        <v>0</v>
      </c>
      <c r="V9" s="88">
        <f t="shared" si="7"/>
        <v>0</v>
      </c>
      <c r="W9" s="88">
        <f t="shared" si="8"/>
        <v>0</v>
      </c>
      <c r="X9" s="88">
        <f t="shared" si="9"/>
        <v>0</v>
      </c>
      <c r="Z9" s="51" t="s">
        <v>33</v>
      </c>
      <c r="AA9" s="52">
        <f>IF('Year 1 Results'!AA9*COUNTIF('Event Trigger'!$C:$C,'Year 2 Results'!$Z9)&gt;SUMIF('Event Trigger'!$C:$C,$Z9,D:D),0,'Year 1 Results'!AA9)</f>
        <v>0</v>
      </c>
      <c r="AB9" s="52">
        <f>IF('Year 1 Results'!AB9*COUNTIF('Event Trigger'!$C:$C,'Year 2 Results'!$Z9)&gt;SUMIF('Event Trigger'!$C:$C,$Z9,E:E),0,'Year 1 Results'!AB9)</f>
        <v>0</v>
      </c>
      <c r="AC9" s="52">
        <f>IF('Year 1 Results'!AC9*COUNTIF('Event Trigger'!$C:$C,'Year 2 Results'!$Z9)&gt;SUMIF('Event Trigger'!$C:$C,$Z9,F:F),0,'Year 1 Results'!AC9)</f>
        <v>0</v>
      </c>
      <c r="AD9" s="52">
        <f>IF('Year 1 Results'!AD9*COUNTIF('Event Trigger'!$C:$C,'Year 2 Results'!$Z9)&gt;SUMIF('Event Trigger'!$C:$C,$Z9,G:G),0,'Year 1 Results'!AD9)</f>
        <v>0</v>
      </c>
      <c r="AE9" s="52">
        <f>IF('Year 1 Results'!AE9*COUNTIF('Event Trigger'!$C:$C,'Year 2 Results'!$Z9)&gt;SUMIF('Event Trigger'!$C:$C,$Z9,H:H),0,'Year 1 Results'!AE9)</f>
        <v>0</v>
      </c>
      <c r="AF9" s="52">
        <f>IF('Year 1 Results'!AF9*COUNTIF('Event Trigger'!$C:$C,'Year 2 Results'!$Z9)&gt;SUMIF('Event Trigger'!$C:$C,$Z9,I:I),0,'Year 1 Results'!AF9)</f>
        <v>0</v>
      </c>
      <c r="AG9" s="52">
        <f>IF('Year 1 Results'!AG9*COUNTIF('Event Trigger'!$C:$C,'Year 2 Results'!$Z9)&gt;SUMIF('Event Trigger'!$C:$C,$Z9,J:J),0,'Year 1 Results'!AG9)</f>
        <v>0</v>
      </c>
      <c r="AH9" s="52">
        <f>IF('Year 1 Results'!AH9*COUNTIF('Event Trigger'!$C:$C,'Year 2 Results'!$Z9)&gt;SUMIF('Event Trigger'!$C:$C,$Z9,K:K),0,'Year 1 Results'!AH9)</f>
        <v>0</v>
      </c>
      <c r="AI9" s="52">
        <f>IF('Year 1 Results'!AI9*COUNTIF('Event Trigger'!$C:$C,'Year 2 Results'!$Z9)&gt;SUMIF('Event Trigger'!$C:$C,$Z9,L:L),0,'Year 1 Results'!AI9)</f>
        <v>0</v>
      </c>
      <c r="AJ9" s="52">
        <f>IF('Year 1 Results'!AJ9*COUNTIF('Event Trigger'!$C:$C,'Year 2 Results'!$Z9)&gt;SUMIF('Event Trigger'!$C:$C,$Z9,M:M),0,'Year 1 Results'!AJ9)</f>
        <v>0</v>
      </c>
    </row>
    <row r="10" spans="1:36" x14ac:dyDescent="0.25">
      <c r="A10" s="37" t="str">
        <f>'Risk Master'!B10:B146&amp;"-"&amp;'Risk Master'!D10</f>
        <v>Fire-Mumbai</v>
      </c>
      <c r="B10" s="37" t="str">
        <f>'Input Sheet year 2'!B11</f>
        <v>Fire-Mumbai</v>
      </c>
      <c r="C10" s="29" t="str">
        <f>'Risk Master'!F10</f>
        <v>A2</v>
      </c>
      <c r="D10" s="73">
        <f>'Year 1 Results'!O10*-1+('Year 1 Results'!O10*'Event Trigger'!$E11*(1-'Input Sheet year 2'!H11))</f>
        <v>0</v>
      </c>
      <c r="E10" s="73">
        <f>'Year 1 Results'!P10*-1+('Year 1 Results'!P10*'Event Trigger'!$E11*(1-'Input Sheet year 2'!I11))</f>
        <v>0</v>
      </c>
      <c r="F10" s="73">
        <f>'Year 1 Results'!Q10*-1+('Year 1 Results'!Q10*'Event Trigger'!$E11*(1-'Input Sheet year 2'!J11))</f>
        <v>0</v>
      </c>
      <c r="G10" s="73">
        <f>'Year 1 Results'!R10*-1+('Year 1 Results'!R10*'Event Trigger'!$E11*(1-'Input Sheet year 2'!K11))</f>
        <v>0</v>
      </c>
      <c r="H10" s="73">
        <f>'Year 1 Results'!S10*-1+('Year 1 Results'!S10*'Event Trigger'!$E11*(1-'Input Sheet year 2'!L11))</f>
        <v>0</v>
      </c>
      <c r="I10" s="73">
        <f>'Year 1 Results'!T10*-1+('Year 1 Results'!T10*'Event Trigger'!$E11*(1-'Input Sheet year 2'!M11))</f>
        <v>200000</v>
      </c>
      <c r="J10" s="73">
        <f>'Year 1 Results'!U10*-1+('Year 1 Results'!U10*'Event Trigger'!$E11*(1-'Input Sheet year 2'!N11))</f>
        <v>0</v>
      </c>
      <c r="K10" s="73">
        <f>'Year 1 Results'!V10*-1+('Year 1 Results'!V10*'Event Trigger'!$E11*(1-'Input Sheet year 2'!O11))</f>
        <v>0</v>
      </c>
      <c r="L10" s="73">
        <f>'Year 1 Results'!W10*-1+('Year 1 Results'!W10*'Event Trigger'!$E11*(1-'Input Sheet year 2'!P11))</f>
        <v>0</v>
      </c>
      <c r="M10" s="73">
        <f>'Year 1 Results'!X10*-1+('Year 1 Results'!X10*'Event Trigger'!$E11*(1-'Input Sheet year 2'!Q11))</f>
        <v>0</v>
      </c>
      <c r="N10" s="88"/>
      <c r="O10" s="88">
        <f t="shared" si="0"/>
        <v>0</v>
      </c>
      <c r="P10" s="88">
        <f t="shared" si="1"/>
        <v>0</v>
      </c>
      <c r="Q10" s="88">
        <f t="shared" si="2"/>
        <v>0</v>
      </c>
      <c r="R10" s="88">
        <f t="shared" si="3"/>
        <v>0</v>
      </c>
      <c r="S10" s="88">
        <f t="shared" si="4"/>
        <v>0</v>
      </c>
      <c r="T10" s="88">
        <f t="shared" si="5"/>
        <v>-200000</v>
      </c>
      <c r="U10" s="88">
        <f t="shared" si="6"/>
        <v>0</v>
      </c>
      <c r="V10" s="88">
        <f t="shared" si="7"/>
        <v>0</v>
      </c>
      <c r="W10" s="88">
        <f t="shared" si="8"/>
        <v>0</v>
      </c>
      <c r="X10" s="88">
        <f t="shared" si="9"/>
        <v>0</v>
      </c>
      <c r="Z10" s="51" t="s">
        <v>34</v>
      </c>
      <c r="AA10" s="52">
        <f>IF('Year 1 Results'!AA10*COUNTIF('Event Trigger'!$C:$C,'Year 2 Results'!$Z10)&gt;SUMIF('Event Trigger'!$C:$C,$Z10,D:D),0,'Year 1 Results'!AA10)</f>
        <v>0</v>
      </c>
      <c r="AB10" s="52">
        <f>IF('Year 1 Results'!AB10*COUNTIF('Event Trigger'!$C:$C,'Year 2 Results'!$Z10)&gt;SUMIF('Event Trigger'!$C:$C,$Z10,E:E),0,'Year 1 Results'!AB10)</f>
        <v>0</v>
      </c>
      <c r="AC10" s="52">
        <f>IF('Year 1 Results'!AC10*COUNTIF('Event Trigger'!$C:$C,'Year 2 Results'!$Z10)&gt;SUMIF('Event Trigger'!$C:$C,$Z10,F:F),0,'Year 1 Results'!AC10)</f>
        <v>0</v>
      </c>
      <c r="AD10" s="52">
        <f>IF('Year 1 Results'!AD10*COUNTIF('Event Trigger'!$C:$C,'Year 2 Results'!$Z10)&gt;SUMIF('Event Trigger'!$C:$C,$Z10,G:G),0,'Year 1 Results'!AD10)</f>
        <v>0</v>
      </c>
      <c r="AE10" s="52">
        <f>IF('Year 1 Results'!AE10*COUNTIF('Event Trigger'!$C:$C,'Year 2 Results'!$Z10)&gt;SUMIF('Event Trigger'!$C:$C,$Z10,H:H),0,'Year 1 Results'!AE10)</f>
        <v>0</v>
      </c>
      <c r="AF10" s="52">
        <f>IF('Year 1 Results'!AF10*COUNTIF('Event Trigger'!$C:$C,'Year 2 Results'!$Z10)&gt;SUMIF('Event Trigger'!$C:$C,$Z10,I:I),0,'Year 1 Results'!AF10)</f>
        <v>0</v>
      </c>
      <c r="AG10" s="52">
        <f>IF('Year 1 Results'!AG10*COUNTIF('Event Trigger'!$C:$C,'Year 2 Results'!$Z10)&gt;SUMIF('Event Trigger'!$C:$C,$Z10,J:J),0,'Year 1 Results'!AG10)</f>
        <v>0</v>
      </c>
      <c r="AH10" s="52">
        <f>IF('Year 1 Results'!AH10*COUNTIF('Event Trigger'!$C:$C,'Year 2 Results'!$Z10)&gt;SUMIF('Event Trigger'!$C:$C,$Z10,K:K),0,'Year 1 Results'!AH10)</f>
        <v>0</v>
      </c>
      <c r="AI10" s="52">
        <f>IF('Year 1 Results'!AI10*COUNTIF('Event Trigger'!$C:$C,'Year 2 Results'!$Z10)&gt;SUMIF('Event Trigger'!$C:$C,$Z10,L:L),0,'Year 1 Results'!AI10)</f>
        <v>0</v>
      </c>
      <c r="AJ10" s="52">
        <f>IF('Year 1 Results'!AJ10*COUNTIF('Event Trigger'!$C:$C,'Year 2 Results'!$Z10)&gt;SUMIF('Event Trigger'!$C:$C,$Z10,M:M),0,'Year 1 Results'!AJ10)</f>
        <v>0</v>
      </c>
    </row>
    <row r="11" spans="1:36" ht="14.25" customHeight="1" x14ac:dyDescent="0.25">
      <c r="A11" s="37" t="str">
        <f>'Risk Master'!B11:B147&amp;"-"&amp;'Risk Master'!D11</f>
        <v>Typhoon-Mumbai</v>
      </c>
      <c r="B11" s="37" t="str">
        <f>'Input Sheet year 2'!B12</f>
        <v>Typhoon-Mumbai</v>
      </c>
      <c r="C11" s="29" t="str">
        <f>'Risk Master'!F11</f>
        <v>A2</v>
      </c>
      <c r="D11" s="73">
        <f>'Year 1 Results'!O11*-1+('Year 1 Results'!O11*'Event Trigger'!$E12*(1-'Input Sheet year 2'!H12))</f>
        <v>0</v>
      </c>
      <c r="E11" s="73">
        <f>'Year 1 Results'!P11*-1+('Year 1 Results'!P11*'Event Trigger'!$E12*(1-'Input Sheet year 2'!I12))</f>
        <v>0</v>
      </c>
      <c r="F11" s="73">
        <f>'Year 1 Results'!Q11*-1+('Year 1 Results'!Q11*'Event Trigger'!$E12*(1-'Input Sheet year 2'!J12))</f>
        <v>0</v>
      </c>
      <c r="G11" s="73">
        <f>'Year 1 Results'!R11*-1+('Year 1 Results'!R11*'Event Trigger'!$E12*(1-'Input Sheet year 2'!K12))</f>
        <v>0</v>
      </c>
      <c r="H11" s="73">
        <f>'Year 1 Results'!S11*-1+('Year 1 Results'!S11*'Event Trigger'!$E12*(1-'Input Sheet year 2'!L12))</f>
        <v>0</v>
      </c>
      <c r="I11" s="73">
        <f>'Year 1 Results'!T11*-1+('Year 1 Results'!T11*'Event Trigger'!$E12*(1-'Input Sheet year 2'!M12))</f>
        <v>200000</v>
      </c>
      <c r="J11" s="73">
        <f>'Year 1 Results'!U11*-1+('Year 1 Results'!U11*'Event Trigger'!$E12*(1-'Input Sheet year 2'!N12))</f>
        <v>0</v>
      </c>
      <c r="K11" s="73">
        <f>'Year 1 Results'!V11*-1+('Year 1 Results'!V11*'Event Trigger'!$E12*(1-'Input Sheet year 2'!O12))</f>
        <v>0</v>
      </c>
      <c r="L11" s="73">
        <f>'Year 1 Results'!W11*-1+('Year 1 Results'!W11*'Event Trigger'!$E12*(1-'Input Sheet year 2'!P12))</f>
        <v>0</v>
      </c>
      <c r="M11" s="73">
        <f>'Year 1 Results'!X11*-1+('Year 1 Results'!X11*'Event Trigger'!$E12*(1-'Input Sheet year 2'!Q12))</f>
        <v>0</v>
      </c>
      <c r="N11" s="88"/>
      <c r="O11" s="88">
        <f t="shared" si="0"/>
        <v>0</v>
      </c>
      <c r="P11" s="88">
        <f t="shared" si="1"/>
        <v>0</v>
      </c>
      <c r="Q11" s="88">
        <f t="shared" si="2"/>
        <v>0</v>
      </c>
      <c r="R11" s="88">
        <f t="shared" si="3"/>
        <v>0</v>
      </c>
      <c r="S11" s="88">
        <f t="shared" si="4"/>
        <v>0</v>
      </c>
      <c r="T11" s="88">
        <f t="shared" si="5"/>
        <v>-200000</v>
      </c>
      <c r="U11" s="88">
        <f t="shared" si="6"/>
        <v>0</v>
      </c>
      <c r="V11" s="88">
        <f t="shared" si="7"/>
        <v>0</v>
      </c>
      <c r="W11" s="88">
        <f t="shared" si="8"/>
        <v>0</v>
      </c>
      <c r="X11" s="88">
        <f t="shared" si="9"/>
        <v>0</v>
      </c>
      <c r="Z11" s="51" t="s">
        <v>35</v>
      </c>
      <c r="AA11" s="52">
        <f>IF('Year 1 Results'!AA11*COUNTIF('Event Trigger'!$C:$C,'Year 2 Results'!$Z11)&gt;SUMIF('Event Trigger'!$C:$C,$Z11,D:D),0,'Year 1 Results'!AA11)</f>
        <v>0</v>
      </c>
      <c r="AB11" s="52">
        <f>IF('Year 1 Results'!AB11*COUNTIF('Event Trigger'!$C:$C,'Year 2 Results'!$Z11)&gt;SUMIF('Event Trigger'!$C:$C,$Z11,E:E),0,'Year 1 Results'!AB11)</f>
        <v>0</v>
      </c>
      <c r="AC11" s="52">
        <f>IF('Year 1 Results'!AC11*COUNTIF('Event Trigger'!$C:$C,'Year 2 Results'!$Z11)&gt;SUMIF('Event Trigger'!$C:$C,$Z11,F:F),0,'Year 1 Results'!AC11)</f>
        <v>0</v>
      </c>
      <c r="AD11" s="52">
        <f>IF('Year 1 Results'!AD11*COUNTIF('Event Trigger'!$C:$C,'Year 2 Results'!$Z11)&gt;SUMIF('Event Trigger'!$C:$C,$Z11,G:G),0,'Year 1 Results'!AD11)</f>
        <v>0</v>
      </c>
      <c r="AE11" s="52">
        <f>IF('Year 1 Results'!AE11*COUNTIF('Event Trigger'!$C:$C,'Year 2 Results'!$Z11)&gt;SUMIF('Event Trigger'!$C:$C,$Z11,H:H),0,'Year 1 Results'!AE11)</f>
        <v>0</v>
      </c>
      <c r="AF11" s="52">
        <f>IF('Year 1 Results'!AF11*COUNTIF('Event Trigger'!$C:$C,'Year 2 Results'!$Z11)&gt;SUMIF('Event Trigger'!$C:$C,$Z11,I:I),0,'Year 1 Results'!AF11)</f>
        <v>0</v>
      </c>
      <c r="AG11" s="52">
        <f>IF('Year 1 Results'!AG11*COUNTIF('Event Trigger'!$C:$C,'Year 2 Results'!$Z11)&gt;SUMIF('Event Trigger'!$C:$C,$Z11,J:J),0,'Year 1 Results'!AG11)</f>
        <v>0</v>
      </c>
      <c r="AH11" s="52">
        <f>IF('Year 1 Results'!AH11*COUNTIF('Event Trigger'!$C:$C,'Year 2 Results'!$Z11)&gt;SUMIF('Event Trigger'!$C:$C,$Z11,K:K),0,'Year 1 Results'!AH11)</f>
        <v>0</v>
      </c>
      <c r="AI11" s="52">
        <f>IF('Year 1 Results'!AI11*COUNTIF('Event Trigger'!$C:$C,'Year 2 Results'!$Z11)&gt;SUMIF('Event Trigger'!$C:$C,$Z11,L:L),0,'Year 1 Results'!AI11)</f>
        <v>0</v>
      </c>
      <c r="AJ11" s="52">
        <f>IF('Year 1 Results'!AJ11*COUNTIF('Event Trigger'!$C:$C,'Year 2 Results'!$Z11)&gt;SUMIF('Event Trigger'!$C:$C,$Z11,M:M),0,'Year 1 Results'!AJ11)</f>
        <v>0</v>
      </c>
    </row>
    <row r="12" spans="1:36" ht="25.5" x14ac:dyDescent="0.25">
      <c r="A12" s="37" t="str">
        <f>'Risk Master'!B12:B148&amp;"-"&amp;'Risk Master'!D12</f>
        <v>Thunderstorms, Tornados &amp; Hail-Mumbai</v>
      </c>
      <c r="B12" s="37" t="str">
        <f>'Input Sheet year 2'!B13</f>
        <v>Thunderstorms, Tornados &amp; Hail-Mumbai</v>
      </c>
      <c r="C12" s="29" t="str">
        <f>'Risk Master'!F12</f>
        <v>A4</v>
      </c>
      <c r="D12" s="73">
        <f>'Year 1 Results'!O12*-1+('Year 1 Results'!O12*'Event Trigger'!$E13*(1-'Input Sheet year 2'!H13))</f>
        <v>700000</v>
      </c>
      <c r="E12" s="73">
        <f>'Year 1 Results'!P12*-1+('Year 1 Results'!P12*'Event Trigger'!$E13*(1-'Input Sheet year 2'!I13))</f>
        <v>0</v>
      </c>
      <c r="F12" s="73">
        <f>'Year 1 Results'!Q12*-1+('Year 1 Results'!Q12*'Event Trigger'!$E13*(1-'Input Sheet year 2'!J13))</f>
        <v>0</v>
      </c>
      <c r="G12" s="73">
        <f>'Year 1 Results'!R12*-1+('Year 1 Results'!R12*'Event Trigger'!$E13*(1-'Input Sheet year 2'!K13))</f>
        <v>0</v>
      </c>
      <c r="H12" s="73">
        <f>'Year 1 Results'!S12*-1+('Year 1 Results'!S12*'Event Trigger'!$E13*(1-'Input Sheet year 2'!L13))</f>
        <v>0</v>
      </c>
      <c r="I12" s="73">
        <f>'Year 1 Results'!T12*-1+('Year 1 Results'!T12*'Event Trigger'!$E13*(1-'Input Sheet year 2'!M13))</f>
        <v>0</v>
      </c>
      <c r="J12" s="73">
        <f>'Year 1 Results'!U12*-1+('Year 1 Results'!U12*'Event Trigger'!$E13*(1-'Input Sheet year 2'!N13))</f>
        <v>0</v>
      </c>
      <c r="K12" s="73">
        <f>'Year 1 Results'!V12*-1+('Year 1 Results'!V12*'Event Trigger'!$E13*(1-'Input Sheet year 2'!O13))</f>
        <v>0</v>
      </c>
      <c r="L12" s="73">
        <f>'Year 1 Results'!W12*-1+('Year 1 Results'!W12*'Event Trigger'!$E13*(1-'Input Sheet year 2'!P13))</f>
        <v>0</v>
      </c>
      <c r="M12" s="73">
        <f>'Year 1 Results'!X12*-1+('Year 1 Results'!X12*'Event Trigger'!$E13*(1-'Input Sheet year 2'!Q13))</f>
        <v>0</v>
      </c>
      <c r="N12" s="88"/>
      <c r="O12" s="88">
        <f t="shared" si="0"/>
        <v>-700000</v>
      </c>
      <c r="P12" s="88">
        <f t="shared" si="1"/>
        <v>0</v>
      </c>
      <c r="Q12" s="88">
        <f t="shared" si="2"/>
        <v>0</v>
      </c>
      <c r="R12" s="88">
        <f t="shared" si="3"/>
        <v>0</v>
      </c>
      <c r="S12" s="88">
        <f t="shared" si="4"/>
        <v>0</v>
      </c>
      <c r="T12" s="88">
        <f t="shared" si="5"/>
        <v>0</v>
      </c>
      <c r="U12" s="88">
        <f t="shared" si="6"/>
        <v>0</v>
      </c>
      <c r="V12" s="88">
        <f t="shared" si="7"/>
        <v>0</v>
      </c>
      <c r="W12" s="88">
        <f t="shared" si="8"/>
        <v>0</v>
      </c>
      <c r="X12" s="88">
        <f t="shared" si="9"/>
        <v>0</v>
      </c>
      <c r="Z12" s="51" t="s">
        <v>36</v>
      </c>
      <c r="AA12" s="52">
        <f>IF('Year 1 Results'!AA12*COUNTIF('Event Trigger'!$C:$C,'Year 2 Results'!$Z12)&gt;SUMIF('Event Trigger'!$C:$C,$Z12,D:D),0,'Year 1 Results'!AA12)</f>
        <v>0</v>
      </c>
      <c r="AB12" s="52">
        <f>IF('Year 1 Results'!AB12*COUNTIF('Event Trigger'!$C:$C,'Year 2 Results'!$Z12)&gt;SUMIF('Event Trigger'!$C:$C,$Z12,E:E),0,'Year 1 Results'!AB12)</f>
        <v>0</v>
      </c>
      <c r="AC12" s="52">
        <f>IF('Year 1 Results'!AC12*COUNTIF('Event Trigger'!$C:$C,'Year 2 Results'!$Z12)&gt;SUMIF('Event Trigger'!$C:$C,$Z12,F:F),0,'Year 1 Results'!AC12)</f>
        <v>0</v>
      </c>
      <c r="AD12" s="52">
        <f>IF('Year 1 Results'!AD12*COUNTIF('Event Trigger'!$C:$C,'Year 2 Results'!$Z12)&gt;SUMIF('Event Trigger'!$C:$C,$Z12,G:G),0,'Year 1 Results'!AD12)</f>
        <v>0</v>
      </c>
      <c r="AE12" s="52">
        <f>IF('Year 1 Results'!AE12*COUNTIF('Event Trigger'!$C:$C,'Year 2 Results'!$Z12)&gt;SUMIF('Event Trigger'!$C:$C,$Z12,H:H),0,'Year 1 Results'!AE12)</f>
        <v>0</v>
      </c>
      <c r="AF12" s="52">
        <f>IF('Year 1 Results'!AF12*COUNTIF('Event Trigger'!$C:$C,'Year 2 Results'!$Z12)&gt;SUMIF('Event Trigger'!$C:$C,$Z12,I:I),0,'Year 1 Results'!AF12)</f>
        <v>0</v>
      </c>
      <c r="AG12" s="52">
        <f>IF('Year 1 Results'!AG12*COUNTIF('Event Trigger'!$C:$C,'Year 2 Results'!$Z12)&gt;SUMIF('Event Trigger'!$C:$C,$Z12,J:J),0,'Year 1 Results'!AG12)</f>
        <v>0</v>
      </c>
      <c r="AH12" s="52">
        <f>IF('Year 1 Results'!AH12*COUNTIF('Event Trigger'!$C:$C,'Year 2 Results'!$Z12)&gt;SUMIF('Event Trigger'!$C:$C,$Z12,K:K),0,'Year 1 Results'!AH12)</f>
        <v>0</v>
      </c>
      <c r="AI12" s="52">
        <f>IF('Year 1 Results'!AI12*COUNTIF('Event Trigger'!$C:$C,'Year 2 Results'!$Z12)&gt;SUMIF('Event Trigger'!$C:$C,$Z12,L:L),0,'Year 1 Results'!AI12)</f>
        <v>0</v>
      </c>
      <c r="AJ12" s="52">
        <f>IF('Year 1 Results'!AJ12*COUNTIF('Event Trigger'!$C:$C,'Year 2 Results'!$Z12)&gt;SUMIF('Event Trigger'!$C:$C,$Z12,M:M),0,'Year 1 Results'!AJ12)</f>
        <v>0</v>
      </c>
    </row>
    <row r="13" spans="1:36" x14ac:dyDescent="0.25">
      <c r="A13" s="37" t="str">
        <f>'Risk Master'!B13:B149&amp;"-"&amp;'Risk Master'!D13</f>
        <v>Tsunami-Mumbai</v>
      </c>
      <c r="B13" s="37" t="str">
        <f>'Input Sheet year 2'!B14</f>
        <v>Tsunami-Mumbai</v>
      </c>
      <c r="C13" s="29" t="str">
        <f>'Risk Master'!F13</f>
        <v>A4</v>
      </c>
      <c r="D13" s="73">
        <f>'Year 1 Results'!O13*-1+('Year 1 Results'!O13*'Event Trigger'!$E14*(1-'Input Sheet year 2'!H14))</f>
        <v>700000</v>
      </c>
      <c r="E13" s="73">
        <f>'Year 1 Results'!P13*-1+('Year 1 Results'!P13*'Event Trigger'!$E14*(1-'Input Sheet year 2'!I14))</f>
        <v>700000</v>
      </c>
      <c r="F13" s="73">
        <f>'Year 1 Results'!Q13*-1+('Year 1 Results'!Q13*'Event Trigger'!$E14*(1-'Input Sheet year 2'!J14))</f>
        <v>700000</v>
      </c>
      <c r="G13" s="73">
        <f>'Year 1 Results'!R13*-1+('Year 1 Results'!R13*'Event Trigger'!$E14*(1-'Input Sheet year 2'!K14))</f>
        <v>700000</v>
      </c>
      <c r="H13" s="73">
        <f>'Year 1 Results'!S13*-1+('Year 1 Results'!S13*'Event Trigger'!$E14*(1-'Input Sheet year 2'!L14))</f>
        <v>700000</v>
      </c>
      <c r="I13" s="73">
        <f>'Year 1 Results'!T13*-1+('Year 1 Results'!T13*'Event Trigger'!$E14*(1-'Input Sheet year 2'!M14))</f>
        <v>700000</v>
      </c>
      <c r="J13" s="73">
        <f>'Year 1 Results'!U13*-1+('Year 1 Results'!U13*'Event Trigger'!$E14*(1-'Input Sheet year 2'!N14))</f>
        <v>700000</v>
      </c>
      <c r="K13" s="73">
        <f>'Year 1 Results'!V13*-1+('Year 1 Results'!V13*'Event Trigger'!$E14*(1-'Input Sheet year 2'!O14))</f>
        <v>700000</v>
      </c>
      <c r="L13" s="73">
        <f>'Year 1 Results'!W13*-1+('Year 1 Results'!W13*'Event Trigger'!$E14*(1-'Input Sheet year 2'!P14))</f>
        <v>700000</v>
      </c>
      <c r="M13" s="73">
        <f>'Year 1 Results'!X13*-1+('Year 1 Results'!X13*'Event Trigger'!$E14*(1-'Input Sheet year 2'!Q14))</f>
        <v>700000</v>
      </c>
      <c r="N13" s="88"/>
      <c r="O13" s="88">
        <f t="shared" si="0"/>
        <v>-700000</v>
      </c>
      <c r="P13" s="88">
        <f t="shared" si="1"/>
        <v>0</v>
      </c>
      <c r="Q13" s="88">
        <f t="shared" si="2"/>
        <v>0</v>
      </c>
      <c r="R13" s="88">
        <f t="shared" si="3"/>
        <v>0</v>
      </c>
      <c r="S13" s="88">
        <f t="shared" si="4"/>
        <v>0</v>
      </c>
      <c r="T13" s="88">
        <f t="shared" si="5"/>
        <v>0</v>
      </c>
      <c r="U13" s="88">
        <f t="shared" si="6"/>
        <v>0</v>
      </c>
      <c r="V13" s="88">
        <f t="shared" si="7"/>
        <v>0</v>
      </c>
      <c r="W13" s="88">
        <f t="shared" si="8"/>
        <v>0</v>
      </c>
      <c r="X13" s="88">
        <f t="shared" si="9"/>
        <v>0</v>
      </c>
      <c r="Z13" s="51" t="s">
        <v>37</v>
      </c>
      <c r="AA13" s="52">
        <f>IF('Year 1 Results'!AA13*COUNTIF('Event Trigger'!$C:$C,'Year 2 Results'!$Z13)&gt;SUMIF('Event Trigger'!$C:$C,$Z13,D:D),0,'Year 1 Results'!AA13)</f>
        <v>0</v>
      </c>
      <c r="AB13" s="52">
        <f>IF('Year 1 Results'!AB13*COUNTIF('Event Trigger'!$C:$C,'Year 2 Results'!$Z13)&gt;SUMIF('Event Trigger'!$C:$C,$Z13,E:E),0,'Year 1 Results'!AB13)</f>
        <v>0</v>
      </c>
      <c r="AC13" s="52">
        <f>IF('Year 1 Results'!AC13*COUNTIF('Event Trigger'!$C:$C,'Year 2 Results'!$Z13)&gt;SUMIF('Event Trigger'!$C:$C,$Z13,F:F),0,'Year 1 Results'!AC13)</f>
        <v>0</v>
      </c>
      <c r="AD13" s="52">
        <f>IF('Year 1 Results'!AD13*COUNTIF('Event Trigger'!$C:$C,'Year 2 Results'!$Z13)&gt;SUMIF('Event Trigger'!$C:$C,$Z13,G:G),0,'Year 1 Results'!AD13)</f>
        <v>0</v>
      </c>
      <c r="AE13" s="52">
        <f>IF('Year 1 Results'!AE13*COUNTIF('Event Trigger'!$C:$C,'Year 2 Results'!$Z13)&gt;SUMIF('Event Trigger'!$C:$C,$Z13,H:H),0,'Year 1 Results'!AE13)</f>
        <v>0</v>
      </c>
      <c r="AF13" s="52">
        <f>IF('Year 1 Results'!AF13*COUNTIF('Event Trigger'!$C:$C,'Year 2 Results'!$Z13)&gt;SUMIF('Event Trigger'!$C:$C,$Z13,I:I),0,'Year 1 Results'!AF13)</f>
        <v>0</v>
      </c>
      <c r="AG13" s="52">
        <f>IF('Year 1 Results'!AG13*COUNTIF('Event Trigger'!$C:$C,'Year 2 Results'!$Z13)&gt;SUMIF('Event Trigger'!$C:$C,$Z13,J:J),0,'Year 1 Results'!AG13)</f>
        <v>0</v>
      </c>
      <c r="AH13" s="52">
        <f>IF('Year 1 Results'!AH13*COUNTIF('Event Trigger'!$C:$C,'Year 2 Results'!$Z13)&gt;SUMIF('Event Trigger'!$C:$C,$Z13,K:K),0,'Year 1 Results'!AH13)</f>
        <v>0</v>
      </c>
      <c r="AI13" s="52">
        <f>IF('Year 1 Results'!AI13*COUNTIF('Event Trigger'!$C:$C,'Year 2 Results'!$Z13)&gt;SUMIF('Event Trigger'!$C:$C,$Z13,L:L),0,'Year 1 Results'!AI13)</f>
        <v>0</v>
      </c>
      <c r="AJ13" s="52">
        <f>IF('Year 1 Results'!AJ13*COUNTIF('Event Trigger'!$C:$C,'Year 2 Results'!$Z13)&gt;SUMIF('Event Trigger'!$C:$C,$Z13,M:M),0,'Year 1 Results'!AJ13)</f>
        <v>0</v>
      </c>
    </row>
    <row r="14" spans="1:36" ht="25.5" x14ac:dyDescent="0.25">
      <c r="A14" s="37" t="str">
        <f>'Risk Master'!B14:B150&amp;"-"&amp;'Risk Master'!D14</f>
        <v>High tide and high rainfalls leading to large floods-Mumbai</v>
      </c>
      <c r="B14" s="37" t="str">
        <f>'Input Sheet year 2'!B15</f>
        <v>Flood-Mumbai</v>
      </c>
      <c r="C14" s="29" t="str">
        <f>'Risk Master'!F14</f>
        <v>A6</v>
      </c>
      <c r="D14" s="73">
        <f>'Year 1 Results'!O14*-1+('Year 1 Results'!O14*'Event Trigger'!$E15*(1-'Input Sheet year 2'!H15))</f>
        <v>400000</v>
      </c>
      <c r="E14" s="73">
        <f>'Year 1 Results'!P14*-1+('Year 1 Results'!P14*'Event Trigger'!$E15*(1-'Input Sheet year 2'!I15))</f>
        <v>0</v>
      </c>
      <c r="F14" s="73">
        <f>'Year 1 Results'!Q14*-1+('Year 1 Results'!Q14*'Event Trigger'!$E15*(1-'Input Sheet year 2'!J15))</f>
        <v>0</v>
      </c>
      <c r="G14" s="73">
        <f>'Year 1 Results'!R14*-1+('Year 1 Results'!R14*'Event Trigger'!$E15*(1-'Input Sheet year 2'!K15))</f>
        <v>0</v>
      </c>
      <c r="H14" s="73">
        <f>'Year 1 Results'!S14*-1+('Year 1 Results'!S14*'Event Trigger'!$E15*(1-'Input Sheet year 2'!L15))</f>
        <v>0</v>
      </c>
      <c r="I14" s="73">
        <f>'Year 1 Results'!T14*-1+('Year 1 Results'!T14*'Event Trigger'!$E15*(1-'Input Sheet year 2'!M15))</f>
        <v>0</v>
      </c>
      <c r="J14" s="73">
        <f>'Year 1 Results'!U14*-1+('Year 1 Results'!U14*'Event Trigger'!$E15*(1-'Input Sheet year 2'!N15))</f>
        <v>0</v>
      </c>
      <c r="K14" s="73">
        <f>'Year 1 Results'!V14*-1+('Year 1 Results'!V14*'Event Trigger'!$E15*(1-'Input Sheet year 2'!O15))</f>
        <v>0</v>
      </c>
      <c r="L14" s="73">
        <f>'Year 1 Results'!W14*-1+('Year 1 Results'!W14*'Event Trigger'!$E15*(1-'Input Sheet year 2'!P15))</f>
        <v>0</v>
      </c>
      <c r="M14" s="73">
        <f>'Year 1 Results'!X14*-1+('Year 1 Results'!X14*'Event Trigger'!$E15*(1-'Input Sheet year 2'!Q15))</f>
        <v>0</v>
      </c>
      <c r="N14" s="88"/>
      <c r="O14" s="88">
        <f t="shared" si="0"/>
        <v>-400000</v>
      </c>
      <c r="P14" s="88">
        <f t="shared" si="1"/>
        <v>0</v>
      </c>
      <c r="Q14" s="88">
        <f t="shared" si="2"/>
        <v>0</v>
      </c>
      <c r="R14" s="88">
        <f t="shared" si="3"/>
        <v>0</v>
      </c>
      <c r="S14" s="88">
        <f t="shared" si="4"/>
        <v>0</v>
      </c>
      <c r="T14" s="88">
        <f t="shared" si="5"/>
        <v>0</v>
      </c>
      <c r="U14" s="88">
        <f t="shared" si="6"/>
        <v>0</v>
      </c>
      <c r="V14" s="88">
        <f t="shared" si="7"/>
        <v>0</v>
      </c>
      <c r="W14" s="88">
        <f t="shared" si="8"/>
        <v>0</v>
      </c>
      <c r="X14" s="88">
        <f t="shared" si="9"/>
        <v>0</v>
      </c>
      <c r="Z14" s="51" t="s">
        <v>38</v>
      </c>
      <c r="AA14" s="52">
        <f>IF('Year 1 Results'!AA14*COUNTIF('Event Trigger'!$C:$C,'Year 2 Results'!$Z14)&gt;SUMIF('Event Trigger'!$C:$C,$Z14,D:D),0,'Year 1 Results'!AA14)</f>
        <v>0</v>
      </c>
      <c r="AB14" s="52">
        <f>IF('Year 1 Results'!AB14*COUNTIF('Event Trigger'!$C:$C,'Year 2 Results'!$Z14)&gt;SUMIF('Event Trigger'!$C:$C,$Z14,E:E),0,'Year 1 Results'!AB14)</f>
        <v>0</v>
      </c>
      <c r="AC14" s="52">
        <f>IF('Year 1 Results'!AC14*COUNTIF('Event Trigger'!$C:$C,'Year 2 Results'!$Z14)&gt;SUMIF('Event Trigger'!$C:$C,$Z14,F:F),0,'Year 1 Results'!AC14)</f>
        <v>0</v>
      </c>
      <c r="AD14" s="52">
        <f>IF('Year 1 Results'!AD14*COUNTIF('Event Trigger'!$C:$C,'Year 2 Results'!$Z14)&gt;SUMIF('Event Trigger'!$C:$C,$Z14,G:G),0,'Year 1 Results'!AD14)</f>
        <v>0</v>
      </c>
      <c r="AE14" s="52">
        <f>IF('Year 1 Results'!AE14*COUNTIF('Event Trigger'!$C:$C,'Year 2 Results'!$Z14)&gt;SUMIF('Event Trigger'!$C:$C,$Z14,H:H),0,'Year 1 Results'!AE14)</f>
        <v>0</v>
      </c>
      <c r="AF14" s="52">
        <f>IF('Year 1 Results'!AF14*COUNTIF('Event Trigger'!$C:$C,'Year 2 Results'!$Z14)&gt;SUMIF('Event Trigger'!$C:$C,$Z14,I:I),0,'Year 1 Results'!AF14)</f>
        <v>0</v>
      </c>
      <c r="AG14" s="52">
        <f>IF('Year 1 Results'!AG14*COUNTIF('Event Trigger'!$C:$C,'Year 2 Results'!$Z14)&gt;SUMIF('Event Trigger'!$C:$C,$Z14,J:J),0,'Year 1 Results'!AG14)</f>
        <v>0</v>
      </c>
      <c r="AH14" s="52">
        <f>IF('Year 1 Results'!AH14*COUNTIF('Event Trigger'!$C:$C,'Year 2 Results'!$Z14)&gt;SUMIF('Event Trigger'!$C:$C,$Z14,K:K),0,'Year 1 Results'!AH14)</f>
        <v>0</v>
      </c>
      <c r="AI14" s="52">
        <f>IF('Year 1 Results'!AI14*COUNTIF('Event Trigger'!$C:$C,'Year 2 Results'!$Z14)&gt;SUMIF('Event Trigger'!$C:$C,$Z14,L:L),0,'Year 1 Results'!AI14)</f>
        <v>0</v>
      </c>
      <c r="AJ14" s="52">
        <f>IF('Year 1 Results'!AJ14*COUNTIF('Event Trigger'!$C:$C,'Year 2 Results'!$Z14)&gt;SUMIF('Event Trigger'!$C:$C,$Z14,M:M),0,'Year 1 Results'!AJ14)</f>
        <v>0</v>
      </c>
    </row>
    <row r="15" spans="1:36" x14ac:dyDescent="0.25">
      <c r="A15" s="37" t="str">
        <f>'Risk Master'!B15:B151&amp;"-"&amp;'Risk Master'!D15</f>
        <v>Earthquake-Mumbai</v>
      </c>
      <c r="B15" s="37" t="str">
        <f>'Input Sheet year 2'!B16</f>
        <v>Earthquake-Mumbai</v>
      </c>
      <c r="C15" s="29" t="str">
        <f>'Risk Master'!F15</f>
        <v>A6</v>
      </c>
      <c r="D15" s="73">
        <f>'Year 1 Results'!O15*-1+('Year 1 Results'!O15*'Event Trigger'!$E16*(1-'Input Sheet year 2'!H16))</f>
        <v>400000</v>
      </c>
      <c r="E15" s="73">
        <f>'Year 1 Results'!P15*-1+('Year 1 Results'!P15*'Event Trigger'!$E16*(1-'Input Sheet year 2'!I16))</f>
        <v>0</v>
      </c>
      <c r="F15" s="73">
        <f>'Year 1 Results'!Q15*-1+('Year 1 Results'!Q15*'Event Trigger'!$E16*(1-'Input Sheet year 2'!J16))</f>
        <v>0</v>
      </c>
      <c r="G15" s="73">
        <f>'Year 1 Results'!R15*-1+('Year 1 Results'!R15*'Event Trigger'!$E16*(1-'Input Sheet year 2'!K16))</f>
        <v>0</v>
      </c>
      <c r="H15" s="73">
        <f>'Year 1 Results'!S15*-1+('Year 1 Results'!S15*'Event Trigger'!$E16*(1-'Input Sheet year 2'!L16))</f>
        <v>0</v>
      </c>
      <c r="I15" s="73">
        <f>'Year 1 Results'!T15*-1+('Year 1 Results'!T15*'Event Trigger'!$E16*(1-'Input Sheet year 2'!M16))</f>
        <v>0</v>
      </c>
      <c r="J15" s="73">
        <f>'Year 1 Results'!U15*-1+('Year 1 Results'!U15*'Event Trigger'!$E16*(1-'Input Sheet year 2'!N16))</f>
        <v>0</v>
      </c>
      <c r="K15" s="73">
        <f>'Year 1 Results'!V15*-1+('Year 1 Results'!V15*'Event Trigger'!$E16*(1-'Input Sheet year 2'!O16))</f>
        <v>0</v>
      </c>
      <c r="L15" s="73">
        <f>'Year 1 Results'!W15*-1+('Year 1 Results'!W15*'Event Trigger'!$E16*(1-'Input Sheet year 2'!P16))</f>
        <v>0</v>
      </c>
      <c r="M15" s="73">
        <f>'Year 1 Results'!X15*-1+('Year 1 Results'!X15*'Event Trigger'!$E16*(1-'Input Sheet year 2'!Q16))</f>
        <v>0</v>
      </c>
      <c r="N15" s="88"/>
      <c r="O15" s="88">
        <f t="shared" si="0"/>
        <v>-400000</v>
      </c>
      <c r="P15" s="88">
        <f t="shared" si="1"/>
        <v>0</v>
      </c>
      <c r="Q15" s="88">
        <f t="shared" si="2"/>
        <v>0</v>
      </c>
      <c r="R15" s="88">
        <f t="shared" si="3"/>
        <v>0</v>
      </c>
      <c r="S15" s="88">
        <f t="shared" si="4"/>
        <v>0</v>
      </c>
      <c r="T15" s="88">
        <f t="shared" si="5"/>
        <v>0</v>
      </c>
      <c r="U15" s="88">
        <f t="shared" si="6"/>
        <v>0</v>
      </c>
      <c r="V15" s="88">
        <f t="shared" si="7"/>
        <v>0</v>
      </c>
      <c r="W15" s="88">
        <f t="shared" si="8"/>
        <v>0</v>
      </c>
      <c r="X15" s="88">
        <f t="shared" si="9"/>
        <v>0</v>
      </c>
      <c r="Z15" s="51" t="s">
        <v>39</v>
      </c>
      <c r="AA15" s="52">
        <f>IF('Year 1 Results'!AA15*COUNTIF('Event Trigger'!$C:$C,'Year 2 Results'!$Z15)&gt;SUMIF('Event Trigger'!$C:$C,$Z15,D:D),0,'Year 1 Results'!AA15)</f>
        <v>0</v>
      </c>
      <c r="AB15" s="52">
        <f>IF('Year 1 Results'!AB15*COUNTIF('Event Trigger'!$C:$C,'Year 2 Results'!$Z15)&gt;SUMIF('Event Trigger'!$C:$C,$Z15,E:E),0,'Year 1 Results'!AB15)</f>
        <v>0</v>
      </c>
      <c r="AC15" s="52">
        <f>IF('Year 1 Results'!AC15*COUNTIF('Event Trigger'!$C:$C,'Year 2 Results'!$Z15)&gt;SUMIF('Event Trigger'!$C:$C,$Z15,F:F),0,'Year 1 Results'!AC15)</f>
        <v>0</v>
      </c>
      <c r="AD15" s="52">
        <f>IF('Year 1 Results'!AD15*COUNTIF('Event Trigger'!$C:$C,'Year 2 Results'!$Z15)&gt;SUMIF('Event Trigger'!$C:$C,$Z15,G:G),0,'Year 1 Results'!AD15)</f>
        <v>0</v>
      </c>
      <c r="AE15" s="52">
        <f>IF('Year 1 Results'!AE15*COUNTIF('Event Trigger'!$C:$C,'Year 2 Results'!$Z15)&gt;SUMIF('Event Trigger'!$C:$C,$Z15,H:H),0,'Year 1 Results'!AE15)</f>
        <v>0</v>
      </c>
      <c r="AF15" s="52">
        <f>IF('Year 1 Results'!AF15*COUNTIF('Event Trigger'!$C:$C,'Year 2 Results'!$Z15)&gt;SUMIF('Event Trigger'!$C:$C,$Z15,I:I),0,'Year 1 Results'!AF15)</f>
        <v>0</v>
      </c>
      <c r="AG15" s="52">
        <f>IF('Year 1 Results'!AG15*COUNTIF('Event Trigger'!$C:$C,'Year 2 Results'!$Z15)&gt;SUMIF('Event Trigger'!$C:$C,$Z15,J:J),0,'Year 1 Results'!AG15)</f>
        <v>0</v>
      </c>
      <c r="AH15" s="52">
        <f>IF('Year 1 Results'!AH15*COUNTIF('Event Trigger'!$C:$C,'Year 2 Results'!$Z15)&gt;SUMIF('Event Trigger'!$C:$C,$Z15,K:K),0,'Year 1 Results'!AH15)</f>
        <v>0</v>
      </c>
      <c r="AI15" s="52">
        <f>IF('Year 1 Results'!AI15*COUNTIF('Event Trigger'!$C:$C,'Year 2 Results'!$Z15)&gt;SUMIF('Event Trigger'!$C:$C,$Z15,L:L),0,'Year 1 Results'!AI15)</f>
        <v>0</v>
      </c>
      <c r="AJ15" s="52">
        <f>IF('Year 1 Results'!AJ15*COUNTIF('Event Trigger'!$C:$C,'Year 2 Results'!$Z15)&gt;SUMIF('Event Trigger'!$C:$C,$Z15,M:M),0,'Year 1 Results'!AJ15)</f>
        <v>0</v>
      </c>
    </row>
    <row r="16" spans="1:36" x14ac:dyDescent="0.25">
      <c r="A16" s="37" t="str">
        <f>'Risk Master'!B16:B152&amp;"-"&amp;'Risk Master'!D16</f>
        <v>Terror Attack-Mumbai</v>
      </c>
      <c r="B16" s="37" t="str">
        <f>'Input Sheet year 2'!B17</f>
        <v>Terror Attack-Mumbai</v>
      </c>
      <c r="C16" s="29" t="str">
        <f>'Risk Master'!F16</f>
        <v>A4</v>
      </c>
      <c r="D16" s="73">
        <f>'Year 1 Results'!O16*-1+('Year 1 Results'!O16*'Event Trigger'!$E17*(1-'Input Sheet year 2'!H17))</f>
        <v>700000</v>
      </c>
      <c r="E16" s="73">
        <f>'Year 1 Results'!P16*-1+('Year 1 Results'!P16*'Event Trigger'!$E17*(1-'Input Sheet year 2'!I17))</f>
        <v>700000</v>
      </c>
      <c r="F16" s="73">
        <f>'Year 1 Results'!Q16*-1+('Year 1 Results'!Q16*'Event Trigger'!$E17*(1-'Input Sheet year 2'!J17))</f>
        <v>700000</v>
      </c>
      <c r="G16" s="73">
        <f>'Year 1 Results'!R16*-1+('Year 1 Results'!R16*'Event Trigger'!$E17*(1-'Input Sheet year 2'!K17))</f>
        <v>700000</v>
      </c>
      <c r="H16" s="73">
        <f>'Year 1 Results'!S16*-1+('Year 1 Results'!S16*'Event Trigger'!$E17*(1-'Input Sheet year 2'!L17))</f>
        <v>700000</v>
      </c>
      <c r="I16" s="73">
        <f>'Year 1 Results'!T16*-1+('Year 1 Results'!T16*'Event Trigger'!$E17*(1-'Input Sheet year 2'!M17))</f>
        <v>700000</v>
      </c>
      <c r="J16" s="73">
        <f>'Year 1 Results'!U16*-1+('Year 1 Results'!U16*'Event Trigger'!$E17*(1-'Input Sheet year 2'!N17))</f>
        <v>700000</v>
      </c>
      <c r="K16" s="73">
        <f>'Year 1 Results'!V16*-1+('Year 1 Results'!V16*'Event Trigger'!$E17*(1-'Input Sheet year 2'!O17))</f>
        <v>700000</v>
      </c>
      <c r="L16" s="73">
        <f>'Year 1 Results'!W16*-1+('Year 1 Results'!W16*'Event Trigger'!$E17*(1-'Input Sheet year 2'!P17))</f>
        <v>700000</v>
      </c>
      <c r="M16" s="73">
        <f>'Year 1 Results'!X16*-1+('Year 1 Results'!X16*'Event Trigger'!$E17*(1-'Input Sheet year 2'!Q17))</f>
        <v>700000</v>
      </c>
      <c r="N16" s="88"/>
      <c r="O16" s="88">
        <f t="shared" si="0"/>
        <v>-700000</v>
      </c>
      <c r="P16" s="88">
        <f t="shared" si="1"/>
        <v>0</v>
      </c>
      <c r="Q16" s="88">
        <f t="shared" si="2"/>
        <v>0</v>
      </c>
      <c r="R16" s="88">
        <f t="shared" si="3"/>
        <v>0</v>
      </c>
      <c r="S16" s="88">
        <f t="shared" si="4"/>
        <v>0</v>
      </c>
      <c r="T16" s="88">
        <f t="shared" si="5"/>
        <v>0</v>
      </c>
      <c r="U16" s="88">
        <f t="shared" si="6"/>
        <v>0</v>
      </c>
      <c r="V16" s="88">
        <f t="shared" si="7"/>
        <v>0</v>
      </c>
      <c r="W16" s="88">
        <f t="shared" si="8"/>
        <v>0</v>
      </c>
      <c r="X16" s="88">
        <f t="shared" si="9"/>
        <v>0</v>
      </c>
      <c r="Z16" s="51" t="s">
        <v>40</v>
      </c>
      <c r="AA16" s="52">
        <f>IF('Year 1 Results'!AA16*COUNTIF('Event Trigger'!$C:$C,'Year 2 Results'!$Z16)&gt;SUMIF('Event Trigger'!$C:$C,$Z16,D:D),0,'Year 1 Results'!AA16)</f>
        <v>0</v>
      </c>
      <c r="AB16" s="52">
        <f>IF('Year 1 Results'!AB16*COUNTIF('Event Trigger'!$C:$C,'Year 2 Results'!$Z16)&gt;SUMIF('Event Trigger'!$C:$C,$Z16,E:E),0,'Year 1 Results'!AB16)</f>
        <v>0</v>
      </c>
      <c r="AC16" s="52">
        <f>IF('Year 1 Results'!AC16*COUNTIF('Event Trigger'!$C:$C,'Year 2 Results'!$Z16)&gt;SUMIF('Event Trigger'!$C:$C,$Z16,F:F),0,'Year 1 Results'!AC16)</f>
        <v>0</v>
      </c>
      <c r="AD16" s="52">
        <f>IF('Year 1 Results'!AD16*COUNTIF('Event Trigger'!$C:$C,'Year 2 Results'!$Z16)&gt;SUMIF('Event Trigger'!$C:$C,$Z16,G:G),0,'Year 1 Results'!AD16)</f>
        <v>0</v>
      </c>
      <c r="AE16" s="52">
        <f>IF('Year 1 Results'!AE16*COUNTIF('Event Trigger'!$C:$C,'Year 2 Results'!$Z16)&gt;SUMIF('Event Trigger'!$C:$C,$Z16,H:H),0,'Year 1 Results'!AE16)</f>
        <v>0</v>
      </c>
      <c r="AF16" s="52">
        <f>IF('Year 1 Results'!AF16*COUNTIF('Event Trigger'!$C:$C,'Year 2 Results'!$Z16)&gt;SUMIF('Event Trigger'!$C:$C,$Z16,I:I),0,'Year 1 Results'!AF16)</f>
        <v>0</v>
      </c>
      <c r="AG16" s="52">
        <f>IF('Year 1 Results'!AG16*COUNTIF('Event Trigger'!$C:$C,'Year 2 Results'!$Z16)&gt;SUMIF('Event Trigger'!$C:$C,$Z16,J:J),0,'Year 1 Results'!AG16)</f>
        <v>0</v>
      </c>
      <c r="AH16" s="52">
        <f>IF('Year 1 Results'!AH16*COUNTIF('Event Trigger'!$C:$C,'Year 2 Results'!$Z16)&gt;SUMIF('Event Trigger'!$C:$C,$Z16,K:K),0,'Year 1 Results'!AH16)</f>
        <v>0</v>
      </c>
      <c r="AI16" s="52">
        <f>IF('Year 1 Results'!AI16*COUNTIF('Event Trigger'!$C:$C,'Year 2 Results'!$Z16)&gt;SUMIF('Event Trigger'!$C:$C,$Z16,L:L),0,'Year 1 Results'!AI16)</f>
        <v>0</v>
      </c>
      <c r="AJ16" s="52">
        <f>IF('Year 1 Results'!AJ16*COUNTIF('Event Trigger'!$C:$C,'Year 2 Results'!$Z16)&gt;SUMIF('Event Trigger'!$C:$C,$Z16,M:M),0,'Year 1 Results'!AJ16)</f>
        <v>0</v>
      </c>
    </row>
    <row r="17" spans="1:36" x14ac:dyDescent="0.25">
      <c r="A17" s="37" t="str">
        <f>'Risk Master'!B17:B153&amp;"-"&amp;'Risk Master'!D17</f>
        <v>Typhoon-Mumbai</v>
      </c>
      <c r="B17" s="37" t="str">
        <f>'Input Sheet year 2'!B18</f>
        <v>Typhoon-Mumbai</v>
      </c>
      <c r="C17" s="29" t="str">
        <f>'Risk Master'!F17</f>
        <v>A6</v>
      </c>
      <c r="D17" s="73">
        <f>'Year 1 Results'!O17*-1+('Year 1 Results'!O17*'Event Trigger'!$E18*(1-'Input Sheet year 2'!H18))</f>
        <v>400000</v>
      </c>
      <c r="E17" s="73">
        <f>'Year 1 Results'!P17*-1+('Year 1 Results'!P17*'Event Trigger'!$E18*(1-'Input Sheet year 2'!I18))</f>
        <v>0</v>
      </c>
      <c r="F17" s="73">
        <f>'Year 1 Results'!Q17*-1+('Year 1 Results'!Q17*'Event Trigger'!$E18*(1-'Input Sheet year 2'!J18))</f>
        <v>0</v>
      </c>
      <c r="G17" s="73">
        <f>'Year 1 Results'!R17*-1+('Year 1 Results'!R17*'Event Trigger'!$E18*(1-'Input Sheet year 2'!K18))</f>
        <v>0</v>
      </c>
      <c r="H17" s="73">
        <f>'Year 1 Results'!S17*-1+('Year 1 Results'!S17*'Event Trigger'!$E18*(1-'Input Sheet year 2'!L18))</f>
        <v>0</v>
      </c>
      <c r="I17" s="73">
        <f>'Year 1 Results'!T17*-1+('Year 1 Results'!T17*'Event Trigger'!$E18*(1-'Input Sheet year 2'!M18))</f>
        <v>0</v>
      </c>
      <c r="J17" s="73">
        <f>'Year 1 Results'!U17*-1+('Year 1 Results'!U17*'Event Trigger'!$E18*(1-'Input Sheet year 2'!N18))</f>
        <v>0</v>
      </c>
      <c r="K17" s="73">
        <f>'Year 1 Results'!V17*-1+('Year 1 Results'!V17*'Event Trigger'!$E18*(1-'Input Sheet year 2'!O18))</f>
        <v>0</v>
      </c>
      <c r="L17" s="73">
        <f>'Year 1 Results'!W17*-1+('Year 1 Results'!W17*'Event Trigger'!$E18*(1-'Input Sheet year 2'!P18))</f>
        <v>0</v>
      </c>
      <c r="M17" s="73">
        <f>'Year 1 Results'!X17*-1+('Year 1 Results'!X17*'Event Trigger'!$E18*(1-'Input Sheet year 2'!Q18))</f>
        <v>0</v>
      </c>
      <c r="N17" s="88"/>
      <c r="O17" s="88">
        <f t="shared" si="0"/>
        <v>-400000</v>
      </c>
      <c r="P17" s="88">
        <f t="shared" si="1"/>
        <v>0</v>
      </c>
      <c r="Q17" s="88">
        <f t="shared" si="2"/>
        <v>0</v>
      </c>
      <c r="R17" s="88">
        <f t="shared" si="3"/>
        <v>0</v>
      </c>
      <c r="S17" s="88">
        <f t="shared" si="4"/>
        <v>0</v>
      </c>
      <c r="T17" s="88">
        <f t="shared" si="5"/>
        <v>0</v>
      </c>
      <c r="U17" s="88">
        <f t="shared" si="6"/>
        <v>0</v>
      </c>
      <c r="V17" s="88">
        <f t="shared" si="7"/>
        <v>0</v>
      </c>
      <c r="W17" s="88">
        <f t="shared" si="8"/>
        <v>0</v>
      </c>
      <c r="X17" s="88">
        <f t="shared" si="9"/>
        <v>0</v>
      </c>
      <c r="Z17" s="51" t="s">
        <v>89</v>
      </c>
      <c r="AA17" s="52">
        <f>IF('Year 1 Results'!AA17*COUNTIF('Event Trigger'!$C:$C,'Year 2 Results'!$Z17)&gt;SUMIF('Event Trigger'!$C:$C,$Z17,D:D),0,'Year 1 Results'!AA17)</f>
        <v>0</v>
      </c>
      <c r="AB17" s="52">
        <f>IF('Year 1 Results'!AB17*COUNTIF('Event Trigger'!$C:$C,'Year 2 Results'!$Z17)&gt;SUMIF('Event Trigger'!$C:$C,$Z17,E:E),0,'Year 1 Results'!AB17)</f>
        <v>0</v>
      </c>
      <c r="AC17" s="52">
        <f>IF('Year 1 Results'!AC17*COUNTIF('Event Trigger'!$C:$C,'Year 2 Results'!$Z17)&gt;SUMIF('Event Trigger'!$C:$C,$Z17,F:F),0,'Year 1 Results'!AC17)</f>
        <v>0</v>
      </c>
      <c r="AD17" s="52">
        <f>IF('Year 1 Results'!AD17*COUNTIF('Event Trigger'!$C:$C,'Year 2 Results'!$Z17)&gt;SUMIF('Event Trigger'!$C:$C,$Z17,G:G),0,'Year 1 Results'!AD17)</f>
        <v>0</v>
      </c>
      <c r="AE17" s="52">
        <f>IF('Year 1 Results'!AE17*COUNTIF('Event Trigger'!$C:$C,'Year 2 Results'!$Z17)&gt;SUMIF('Event Trigger'!$C:$C,$Z17,H:H),0,'Year 1 Results'!AE17)</f>
        <v>0</v>
      </c>
      <c r="AF17" s="52">
        <f>IF('Year 1 Results'!AF17*COUNTIF('Event Trigger'!$C:$C,'Year 2 Results'!$Z17)&gt;SUMIF('Event Trigger'!$C:$C,$Z17,I:I),0,'Year 1 Results'!AF17)</f>
        <v>0</v>
      </c>
      <c r="AG17" s="52">
        <f>IF('Year 1 Results'!AG17*COUNTIF('Event Trigger'!$C:$C,'Year 2 Results'!$Z17)&gt;SUMIF('Event Trigger'!$C:$C,$Z17,J:J),0,'Year 1 Results'!AG17)</f>
        <v>0</v>
      </c>
      <c r="AH17" s="52">
        <f>IF('Year 1 Results'!AH17*COUNTIF('Event Trigger'!$C:$C,'Year 2 Results'!$Z17)&gt;SUMIF('Event Trigger'!$C:$C,$Z17,K:K),0,'Year 1 Results'!AH17)</f>
        <v>0</v>
      </c>
      <c r="AI17" s="52">
        <f>IF('Year 1 Results'!AI17*COUNTIF('Event Trigger'!$C:$C,'Year 2 Results'!$Z17)&gt;SUMIF('Event Trigger'!$C:$C,$Z17,L:L),0,'Year 1 Results'!AI17)</f>
        <v>0</v>
      </c>
      <c r="AJ17" s="52">
        <f>IF('Year 1 Results'!AJ17*COUNTIF('Event Trigger'!$C:$C,'Year 2 Results'!$Z17)&gt;SUMIF('Event Trigger'!$C:$C,$Z17,M:M),0,'Year 1 Results'!AJ17)</f>
        <v>0</v>
      </c>
    </row>
    <row r="18" spans="1:36" ht="25.5" x14ac:dyDescent="0.25">
      <c r="A18" s="37" t="str">
        <f>'Risk Master'!B18:B154&amp;"-"&amp;'Risk Master'!D18</f>
        <v>Thunderstorms, Tornados &amp; Hail-Mumbai</v>
      </c>
      <c r="B18" s="37" t="str">
        <f>'Input Sheet year 2'!B19</f>
        <v>Thunderstorms, Tornados &amp; Hail-Mumbai</v>
      </c>
      <c r="C18" s="29" t="str">
        <f>'Risk Master'!F18</f>
        <v>A6</v>
      </c>
      <c r="D18" s="73">
        <f>'Year 1 Results'!O18*-1+('Year 1 Results'!O18*'Event Trigger'!$E19*(1-'Input Sheet year 2'!H19))</f>
        <v>400000</v>
      </c>
      <c r="E18" s="73">
        <f>'Year 1 Results'!P18*-1+('Year 1 Results'!P18*'Event Trigger'!$E19*(1-'Input Sheet year 2'!I19))</f>
        <v>0</v>
      </c>
      <c r="F18" s="73">
        <f>'Year 1 Results'!Q18*-1+('Year 1 Results'!Q18*'Event Trigger'!$E19*(1-'Input Sheet year 2'!J19))</f>
        <v>0</v>
      </c>
      <c r="G18" s="73">
        <f>'Year 1 Results'!R18*-1+('Year 1 Results'!R18*'Event Trigger'!$E19*(1-'Input Sheet year 2'!K19))</f>
        <v>0</v>
      </c>
      <c r="H18" s="73">
        <f>'Year 1 Results'!S18*-1+('Year 1 Results'!S18*'Event Trigger'!$E19*(1-'Input Sheet year 2'!L19))</f>
        <v>0</v>
      </c>
      <c r="I18" s="73">
        <f>'Year 1 Results'!T18*-1+('Year 1 Results'!T18*'Event Trigger'!$E19*(1-'Input Sheet year 2'!M19))</f>
        <v>0</v>
      </c>
      <c r="J18" s="73">
        <f>'Year 1 Results'!U18*-1+('Year 1 Results'!U18*'Event Trigger'!$E19*(1-'Input Sheet year 2'!N19))</f>
        <v>0</v>
      </c>
      <c r="K18" s="73">
        <f>'Year 1 Results'!V18*-1+('Year 1 Results'!V18*'Event Trigger'!$E19*(1-'Input Sheet year 2'!O19))</f>
        <v>0</v>
      </c>
      <c r="L18" s="73">
        <f>'Year 1 Results'!W18*-1+('Year 1 Results'!W18*'Event Trigger'!$E19*(1-'Input Sheet year 2'!P19))</f>
        <v>0</v>
      </c>
      <c r="M18" s="73">
        <f>'Year 1 Results'!X18*-1+('Year 1 Results'!X18*'Event Trigger'!$E19*(1-'Input Sheet year 2'!Q19))</f>
        <v>0</v>
      </c>
      <c r="N18" s="88"/>
      <c r="O18" s="88">
        <f t="shared" si="0"/>
        <v>-400000</v>
      </c>
      <c r="P18" s="88">
        <f t="shared" si="1"/>
        <v>0</v>
      </c>
      <c r="Q18" s="88">
        <f t="shared" si="2"/>
        <v>0</v>
      </c>
      <c r="R18" s="88">
        <f t="shared" si="3"/>
        <v>0</v>
      </c>
      <c r="S18" s="88">
        <f t="shared" si="4"/>
        <v>0</v>
      </c>
      <c r="T18" s="88">
        <f t="shared" si="5"/>
        <v>0</v>
      </c>
      <c r="U18" s="88">
        <f t="shared" si="6"/>
        <v>0</v>
      </c>
      <c r="V18" s="88">
        <f t="shared" si="7"/>
        <v>0</v>
      </c>
      <c r="W18" s="88">
        <f t="shared" si="8"/>
        <v>0</v>
      </c>
      <c r="X18" s="88">
        <f t="shared" si="9"/>
        <v>0</v>
      </c>
      <c r="Z18" s="51" t="s">
        <v>90</v>
      </c>
      <c r="AA18" s="52">
        <f>IF('Year 1 Results'!AA18*COUNTIF('Event Trigger'!$C:$C,'Year 2 Results'!$Z18)&gt;SUMIF('Event Trigger'!$C:$C,$Z18,D:D),0,'Year 1 Results'!AA18)</f>
        <v>0</v>
      </c>
      <c r="AB18" s="52">
        <f>IF('Year 1 Results'!AB18*COUNTIF('Event Trigger'!$C:$C,'Year 2 Results'!$Z18)&gt;SUMIF('Event Trigger'!$C:$C,$Z18,E:E),0,'Year 1 Results'!AB18)</f>
        <v>0</v>
      </c>
      <c r="AC18" s="52">
        <f>IF('Year 1 Results'!AC18*COUNTIF('Event Trigger'!$C:$C,'Year 2 Results'!$Z18)&gt;SUMIF('Event Trigger'!$C:$C,$Z18,F:F),0,'Year 1 Results'!AC18)</f>
        <v>0</v>
      </c>
      <c r="AD18" s="52">
        <f>IF('Year 1 Results'!AD18*COUNTIF('Event Trigger'!$C:$C,'Year 2 Results'!$Z18)&gt;SUMIF('Event Trigger'!$C:$C,$Z18,G:G),0,'Year 1 Results'!AD18)</f>
        <v>0</v>
      </c>
      <c r="AE18" s="52">
        <f>IF('Year 1 Results'!AE18*COUNTIF('Event Trigger'!$C:$C,'Year 2 Results'!$Z18)&gt;SUMIF('Event Trigger'!$C:$C,$Z18,H:H),0,'Year 1 Results'!AE18)</f>
        <v>0</v>
      </c>
      <c r="AF18" s="52">
        <f>IF('Year 1 Results'!AF18*COUNTIF('Event Trigger'!$C:$C,'Year 2 Results'!$Z18)&gt;SUMIF('Event Trigger'!$C:$C,$Z18,I:I),0,'Year 1 Results'!AF18)</f>
        <v>0</v>
      </c>
      <c r="AG18" s="52">
        <f>IF('Year 1 Results'!AG18*COUNTIF('Event Trigger'!$C:$C,'Year 2 Results'!$Z18)&gt;SUMIF('Event Trigger'!$C:$C,$Z18,J:J),0,'Year 1 Results'!AG18)</f>
        <v>0</v>
      </c>
      <c r="AH18" s="52">
        <f>IF('Year 1 Results'!AH18*COUNTIF('Event Trigger'!$C:$C,'Year 2 Results'!$Z18)&gt;SUMIF('Event Trigger'!$C:$C,$Z18,K:K),0,'Year 1 Results'!AH18)</f>
        <v>0</v>
      </c>
      <c r="AI18" s="52">
        <f>IF('Year 1 Results'!AI18*COUNTIF('Event Trigger'!$C:$C,'Year 2 Results'!$Z18)&gt;SUMIF('Event Trigger'!$C:$C,$Z18,L:L),0,'Year 1 Results'!AI18)</f>
        <v>0</v>
      </c>
      <c r="AJ18" s="52">
        <f>IF('Year 1 Results'!AJ18*COUNTIF('Event Trigger'!$C:$C,'Year 2 Results'!$Z18)&gt;SUMIF('Event Trigger'!$C:$C,$Z18,M:M),0,'Year 1 Results'!AJ18)</f>
        <v>0</v>
      </c>
    </row>
    <row r="19" spans="1:36" x14ac:dyDescent="0.25">
      <c r="A19" s="37" t="str">
        <f>'Risk Master'!B19:B155&amp;"-"&amp;'Risk Master'!D19</f>
        <v>Tsunami-Mumbai</v>
      </c>
      <c r="B19" s="37" t="str">
        <f>'Input Sheet year 2'!B20</f>
        <v>Tsunami-Mumbai</v>
      </c>
      <c r="C19" s="29" t="str">
        <f>'Risk Master'!F19</f>
        <v>A6</v>
      </c>
      <c r="D19" s="73">
        <f>'Year 1 Results'!O19*-1+('Year 1 Results'!O19*'Event Trigger'!$E20*(1-'Input Sheet year 2'!H20))</f>
        <v>400000</v>
      </c>
      <c r="E19" s="73">
        <f>'Year 1 Results'!P19*-1+('Year 1 Results'!P19*'Event Trigger'!$E20*(1-'Input Sheet year 2'!I20))</f>
        <v>0</v>
      </c>
      <c r="F19" s="73">
        <f>'Year 1 Results'!Q19*-1+('Year 1 Results'!Q19*'Event Trigger'!$E20*(1-'Input Sheet year 2'!J20))</f>
        <v>0</v>
      </c>
      <c r="G19" s="73">
        <f>'Year 1 Results'!R19*-1+('Year 1 Results'!R19*'Event Trigger'!$E20*(1-'Input Sheet year 2'!K20))</f>
        <v>0</v>
      </c>
      <c r="H19" s="73">
        <f>'Year 1 Results'!S19*-1+('Year 1 Results'!S19*'Event Trigger'!$E20*(1-'Input Sheet year 2'!L20))</f>
        <v>0</v>
      </c>
      <c r="I19" s="73">
        <f>'Year 1 Results'!T19*-1+('Year 1 Results'!T19*'Event Trigger'!$E20*(1-'Input Sheet year 2'!M20))</f>
        <v>0</v>
      </c>
      <c r="J19" s="73">
        <f>'Year 1 Results'!U19*-1+('Year 1 Results'!U19*'Event Trigger'!$E20*(1-'Input Sheet year 2'!N20))</f>
        <v>0</v>
      </c>
      <c r="K19" s="73">
        <f>'Year 1 Results'!V19*-1+('Year 1 Results'!V19*'Event Trigger'!$E20*(1-'Input Sheet year 2'!O20))</f>
        <v>0</v>
      </c>
      <c r="L19" s="73">
        <f>'Year 1 Results'!W19*-1+('Year 1 Results'!W19*'Event Trigger'!$E20*(1-'Input Sheet year 2'!P20))</f>
        <v>0</v>
      </c>
      <c r="M19" s="73">
        <f>'Year 1 Results'!X19*-1+('Year 1 Results'!X19*'Event Trigger'!$E20*(1-'Input Sheet year 2'!Q20))</f>
        <v>0</v>
      </c>
      <c r="N19" s="88"/>
      <c r="O19" s="88">
        <f t="shared" si="0"/>
        <v>-400000</v>
      </c>
      <c r="P19" s="88">
        <f t="shared" si="1"/>
        <v>0</v>
      </c>
      <c r="Q19" s="88">
        <f t="shared" si="2"/>
        <v>0</v>
      </c>
      <c r="R19" s="88">
        <f t="shared" si="3"/>
        <v>0</v>
      </c>
      <c r="S19" s="88">
        <f t="shared" si="4"/>
        <v>0</v>
      </c>
      <c r="T19" s="88">
        <f t="shared" si="5"/>
        <v>0</v>
      </c>
      <c r="U19" s="88">
        <f t="shared" si="6"/>
        <v>0</v>
      </c>
      <c r="V19" s="88">
        <f t="shared" si="7"/>
        <v>0</v>
      </c>
      <c r="W19" s="88">
        <f t="shared" si="8"/>
        <v>0</v>
      </c>
      <c r="X19" s="88">
        <f t="shared" si="9"/>
        <v>0</v>
      </c>
      <c r="Z19" s="51" t="s">
        <v>91</v>
      </c>
      <c r="AA19" s="52">
        <f>IF('Year 1 Results'!AA19*COUNTIF('Event Trigger'!$C:$C,'Year 2 Results'!$Z19)&gt;SUMIF('Event Trigger'!$C:$C,$Z19,D:D),0,'Year 1 Results'!AA19)</f>
        <v>0</v>
      </c>
      <c r="AB19" s="52">
        <f>IF('Year 1 Results'!AB19*COUNTIF('Event Trigger'!$C:$C,'Year 2 Results'!$Z19)&gt;SUMIF('Event Trigger'!$C:$C,$Z19,E:E),0,'Year 1 Results'!AB19)</f>
        <v>0</v>
      </c>
      <c r="AC19" s="52">
        <f>IF('Year 1 Results'!AC19*COUNTIF('Event Trigger'!$C:$C,'Year 2 Results'!$Z19)&gt;SUMIF('Event Trigger'!$C:$C,$Z19,F:F),0,'Year 1 Results'!AC19)</f>
        <v>0</v>
      </c>
      <c r="AD19" s="52">
        <f>IF('Year 1 Results'!AD19*COUNTIF('Event Trigger'!$C:$C,'Year 2 Results'!$Z19)&gt;SUMIF('Event Trigger'!$C:$C,$Z19,G:G),0,'Year 1 Results'!AD19)</f>
        <v>0</v>
      </c>
      <c r="AE19" s="52">
        <f>IF('Year 1 Results'!AE19*COUNTIF('Event Trigger'!$C:$C,'Year 2 Results'!$Z19)&gt;SUMIF('Event Trigger'!$C:$C,$Z19,H:H),0,'Year 1 Results'!AE19)</f>
        <v>0</v>
      </c>
      <c r="AF19" s="52">
        <f>IF('Year 1 Results'!AF19*COUNTIF('Event Trigger'!$C:$C,'Year 2 Results'!$Z19)&gt;SUMIF('Event Trigger'!$C:$C,$Z19,I:I),0,'Year 1 Results'!AF19)</f>
        <v>0</v>
      </c>
      <c r="AG19" s="52">
        <f>IF('Year 1 Results'!AG19*COUNTIF('Event Trigger'!$C:$C,'Year 2 Results'!$Z19)&gt;SUMIF('Event Trigger'!$C:$C,$Z19,J:J),0,'Year 1 Results'!AG19)</f>
        <v>0</v>
      </c>
      <c r="AH19" s="52">
        <f>IF('Year 1 Results'!AH19*COUNTIF('Event Trigger'!$C:$C,'Year 2 Results'!$Z19)&gt;SUMIF('Event Trigger'!$C:$C,$Z19,K:K),0,'Year 1 Results'!AH19)</f>
        <v>0</v>
      </c>
      <c r="AI19" s="52">
        <f>IF('Year 1 Results'!AI19*COUNTIF('Event Trigger'!$C:$C,'Year 2 Results'!$Z19)&gt;SUMIF('Event Trigger'!$C:$C,$Z19,L:L),0,'Year 1 Results'!AI19)</f>
        <v>0</v>
      </c>
      <c r="AJ19" s="52">
        <f>IF('Year 1 Results'!AJ19*COUNTIF('Event Trigger'!$C:$C,'Year 2 Results'!$Z19)&gt;SUMIF('Event Trigger'!$C:$C,$Z19,M:M),0,'Year 1 Results'!AJ19)</f>
        <v>0</v>
      </c>
    </row>
    <row r="20" spans="1:36" ht="25.5" x14ac:dyDescent="0.25">
      <c r="A20" s="37" t="str">
        <f>'Risk Master'!B20:B156&amp;"-"&amp;'Risk Master'!D20</f>
        <v>High tide and high rainfalls leading to large floods-Mumbai</v>
      </c>
      <c r="B20" s="37" t="str">
        <f>'Input Sheet year 2'!B21</f>
        <v>Flood-Mumbai</v>
      </c>
      <c r="C20" s="29" t="str">
        <f>'Risk Master'!F20</f>
        <v>A7</v>
      </c>
      <c r="D20" s="73">
        <f>'Year 1 Results'!O20*-1+('Year 1 Results'!O20*'Event Trigger'!$E21*(1-'Input Sheet year 2'!H21))</f>
        <v>800000</v>
      </c>
      <c r="E20" s="73">
        <f>'Year 1 Results'!P20*-1+('Year 1 Results'!P20*'Event Trigger'!$E21*(1-'Input Sheet year 2'!I21))</f>
        <v>800000</v>
      </c>
      <c r="F20" s="73">
        <f>'Year 1 Results'!Q20*-1+('Year 1 Results'!Q20*'Event Trigger'!$E21*(1-'Input Sheet year 2'!J21))</f>
        <v>800000</v>
      </c>
      <c r="G20" s="73">
        <f>'Year 1 Results'!R20*-1+('Year 1 Results'!R20*'Event Trigger'!$E21*(1-'Input Sheet year 2'!K21))</f>
        <v>800000</v>
      </c>
      <c r="H20" s="73">
        <f>'Year 1 Results'!S20*-1+('Year 1 Results'!S20*'Event Trigger'!$E21*(1-'Input Sheet year 2'!L21))</f>
        <v>800000</v>
      </c>
      <c r="I20" s="73">
        <f>'Year 1 Results'!T20*-1+('Year 1 Results'!T20*'Event Trigger'!$E21*(1-'Input Sheet year 2'!M21))</f>
        <v>800000</v>
      </c>
      <c r="J20" s="73">
        <f>'Year 1 Results'!U20*-1+('Year 1 Results'!U20*'Event Trigger'!$E21*(1-'Input Sheet year 2'!N21))</f>
        <v>800000</v>
      </c>
      <c r="K20" s="73">
        <f>'Year 1 Results'!V20*-1+('Year 1 Results'!V20*'Event Trigger'!$E21*(1-'Input Sheet year 2'!O21))</f>
        <v>800000</v>
      </c>
      <c r="L20" s="73">
        <f>'Year 1 Results'!W20*-1+('Year 1 Results'!W20*'Event Trigger'!$E21*(1-'Input Sheet year 2'!P21))</f>
        <v>800000</v>
      </c>
      <c r="M20" s="73">
        <f>'Year 1 Results'!X20*-1+('Year 1 Results'!X20*'Event Trigger'!$E21*(1-'Input Sheet year 2'!Q21))</f>
        <v>800000</v>
      </c>
      <c r="N20" s="88"/>
      <c r="O20" s="88">
        <f t="shared" si="0"/>
        <v>-800000</v>
      </c>
      <c r="P20" s="88">
        <f t="shared" si="1"/>
        <v>-800000</v>
      </c>
      <c r="Q20" s="88">
        <f t="shared" si="2"/>
        <v>-800000</v>
      </c>
      <c r="R20" s="88">
        <f t="shared" si="3"/>
        <v>-800000</v>
      </c>
      <c r="S20" s="88">
        <f t="shared" si="4"/>
        <v>-800000</v>
      </c>
      <c r="T20" s="88">
        <f t="shared" si="5"/>
        <v>-800000</v>
      </c>
      <c r="U20" s="88">
        <f t="shared" si="6"/>
        <v>-800000</v>
      </c>
      <c r="V20" s="88">
        <f t="shared" si="7"/>
        <v>-800000</v>
      </c>
      <c r="W20" s="88">
        <f t="shared" si="8"/>
        <v>-800000</v>
      </c>
      <c r="X20" s="88">
        <f t="shared" si="9"/>
        <v>-800000</v>
      </c>
      <c r="Z20" s="51" t="s">
        <v>92</v>
      </c>
      <c r="AA20" s="52">
        <f>IF('Year 1 Results'!AA20*COUNTIF('Event Trigger'!$C:$C,'Year 2 Results'!$Z20)&gt;SUMIF('Event Trigger'!$C:$C,$Z20,D:D),0,'Year 1 Results'!AA20)</f>
        <v>0</v>
      </c>
      <c r="AB20" s="52">
        <f>IF('Year 1 Results'!AB20*COUNTIF('Event Trigger'!$C:$C,'Year 2 Results'!$Z20)&gt;SUMIF('Event Trigger'!$C:$C,$Z20,E:E),0,'Year 1 Results'!AB20)</f>
        <v>0</v>
      </c>
      <c r="AC20" s="52">
        <f>IF('Year 1 Results'!AC20*COUNTIF('Event Trigger'!$C:$C,'Year 2 Results'!$Z20)&gt;SUMIF('Event Trigger'!$C:$C,$Z20,F:F),0,'Year 1 Results'!AC20)</f>
        <v>0</v>
      </c>
      <c r="AD20" s="52">
        <f>IF('Year 1 Results'!AD20*COUNTIF('Event Trigger'!$C:$C,'Year 2 Results'!$Z20)&gt;SUMIF('Event Trigger'!$C:$C,$Z20,G:G),0,'Year 1 Results'!AD20)</f>
        <v>0</v>
      </c>
      <c r="AE20" s="52">
        <f>IF('Year 1 Results'!AE20*COUNTIF('Event Trigger'!$C:$C,'Year 2 Results'!$Z20)&gt;SUMIF('Event Trigger'!$C:$C,$Z20,H:H),0,'Year 1 Results'!AE20)</f>
        <v>0</v>
      </c>
      <c r="AF20" s="52">
        <f>IF('Year 1 Results'!AF20*COUNTIF('Event Trigger'!$C:$C,'Year 2 Results'!$Z20)&gt;SUMIF('Event Trigger'!$C:$C,$Z20,I:I),0,'Year 1 Results'!AF20)</f>
        <v>0</v>
      </c>
      <c r="AG20" s="52">
        <f>IF('Year 1 Results'!AG20*COUNTIF('Event Trigger'!$C:$C,'Year 2 Results'!$Z20)&gt;SUMIF('Event Trigger'!$C:$C,$Z20,J:J),0,'Year 1 Results'!AG20)</f>
        <v>0</v>
      </c>
      <c r="AH20" s="52">
        <f>IF('Year 1 Results'!AH20*COUNTIF('Event Trigger'!$C:$C,'Year 2 Results'!$Z20)&gt;SUMIF('Event Trigger'!$C:$C,$Z20,K:K),0,'Year 1 Results'!AH20)</f>
        <v>0</v>
      </c>
      <c r="AI20" s="52">
        <f>IF('Year 1 Results'!AI20*COUNTIF('Event Trigger'!$C:$C,'Year 2 Results'!$Z20)&gt;SUMIF('Event Trigger'!$C:$C,$Z20,L:L),0,'Year 1 Results'!AI20)</f>
        <v>0</v>
      </c>
      <c r="AJ20" s="52">
        <f>IF('Year 1 Results'!AJ20*COUNTIF('Event Trigger'!$C:$C,'Year 2 Results'!$Z20)&gt;SUMIF('Event Trigger'!$C:$C,$Z20,M:M),0,'Year 1 Results'!AJ20)</f>
        <v>0</v>
      </c>
    </row>
    <row r="21" spans="1:36" x14ac:dyDescent="0.25">
      <c r="A21" s="37" t="str">
        <f>'Risk Master'!B21:B157&amp;"-"&amp;'Risk Master'!D21</f>
        <v>Earthquake-Mumbai</v>
      </c>
      <c r="B21" s="37" t="str">
        <f>'Input Sheet year 2'!B22</f>
        <v>Earthquake-Mumbai</v>
      </c>
      <c r="C21" s="29" t="str">
        <f>'Risk Master'!F21</f>
        <v>A8</v>
      </c>
      <c r="D21" s="73">
        <f>'Year 1 Results'!O21*-1+('Year 1 Results'!O21*'Event Trigger'!$E22*(1-'Input Sheet year 2'!H22))</f>
        <v>0</v>
      </c>
      <c r="E21" s="73">
        <f>'Year 1 Results'!P21*-1+('Year 1 Results'!P21*'Event Trigger'!$E22*(1-'Input Sheet year 2'!I22))</f>
        <v>300000</v>
      </c>
      <c r="F21" s="73">
        <f>'Year 1 Results'!Q21*-1+('Year 1 Results'!Q21*'Event Trigger'!$E22*(1-'Input Sheet year 2'!J22))</f>
        <v>0</v>
      </c>
      <c r="G21" s="73">
        <f>'Year 1 Results'!R21*-1+('Year 1 Results'!R21*'Event Trigger'!$E22*(1-'Input Sheet year 2'!K22))</f>
        <v>0</v>
      </c>
      <c r="H21" s="73">
        <f>'Year 1 Results'!S21*-1+('Year 1 Results'!S21*'Event Trigger'!$E22*(1-'Input Sheet year 2'!L22))</f>
        <v>0</v>
      </c>
      <c r="I21" s="73">
        <f>'Year 1 Results'!T21*-1+('Year 1 Results'!T21*'Event Trigger'!$E22*(1-'Input Sheet year 2'!M22))</f>
        <v>0</v>
      </c>
      <c r="J21" s="73">
        <f>'Year 1 Results'!U21*-1+('Year 1 Results'!U21*'Event Trigger'!$E22*(1-'Input Sheet year 2'!N22))</f>
        <v>0</v>
      </c>
      <c r="K21" s="73">
        <f>'Year 1 Results'!V21*-1+('Year 1 Results'!V21*'Event Trigger'!$E22*(1-'Input Sheet year 2'!O22))</f>
        <v>0</v>
      </c>
      <c r="L21" s="73">
        <f>'Year 1 Results'!W21*-1+('Year 1 Results'!W21*'Event Trigger'!$E22*(1-'Input Sheet year 2'!P22))</f>
        <v>0</v>
      </c>
      <c r="M21" s="73">
        <f>'Year 1 Results'!X21*-1+('Year 1 Results'!X21*'Event Trigger'!$E22*(1-'Input Sheet year 2'!Q22))</f>
        <v>0</v>
      </c>
      <c r="N21" s="88"/>
      <c r="O21" s="88">
        <f t="shared" si="0"/>
        <v>0</v>
      </c>
      <c r="P21" s="88">
        <f t="shared" si="1"/>
        <v>0</v>
      </c>
      <c r="Q21" s="88">
        <f t="shared" si="2"/>
        <v>0</v>
      </c>
      <c r="R21" s="88">
        <f t="shared" si="3"/>
        <v>0</v>
      </c>
      <c r="S21" s="88">
        <f t="shared" si="4"/>
        <v>0</v>
      </c>
      <c r="T21" s="88">
        <f t="shared" si="5"/>
        <v>0</v>
      </c>
      <c r="U21" s="88">
        <f t="shared" si="6"/>
        <v>0</v>
      </c>
      <c r="V21" s="88">
        <f t="shared" si="7"/>
        <v>0</v>
      </c>
      <c r="W21" s="88">
        <f t="shared" si="8"/>
        <v>0</v>
      </c>
      <c r="X21" s="88">
        <f t="shared" si="9"/>
        <v>0</v>
      </c>
      <c r="Z21" s="51" t="s">
        <v>93</v>
      </c>
      <c r="AA21" s="52">
        <f>IF('Year 1 Results'!AA21*COUNTIF('Event Trigger'!$C:$C,'Year 2 Results'!$Z21)&gt;SUMIF('Event Trigger'!$C:$C,$Z21,D:D),0,'Year 1 Results'!AA21)</f>
        <v>500000</v>
      </c>
      <c r="AB21" s="52">
        <f>IF('Year 1 Results'!AB21*COUNTIF('Event Trigger'!$C:$C,'Year 2 Results'!$Z21)&gt;SUMIF('Event Trigger'!$C:$C,$Z21,E:E),0,'Year 1 Results'!AB21)</f>
        <v>500000</v>
      </c>
      <c r="AC21" s="52">
        <f>IF('Year 1 Results'!AC21*COUNTIF('Event Trigger'!$C:$C,'Year 2 Results'!$Z21)&gt;SUMIF('Event Trigger'!$C:$C,$Z21,F:F),0,'Year 1 Results'!AC21)</f>
        <v>500000</v>
      </c>
      <c r="AD21" s="52">
        <f>IF('Year 1 Results'!AD21*COUNTIF('Event Trigger'!$C:$C,'Year 2 Results'!$Z21)&gt;SUMIF('Event Trigger'!$C:$C,$Z21,G:G),0,'Year 1 Results'!AD21)</f>
        <v>500000</v>
      </c>
      <c r="AE21" s="52">
        <f>IF('Year 1 Results'!AE21*COUNTIF('Event Trigger'!$C:$C,'Year 2 Results'!$Z21)&gt;SUMIF('Event Trigger'!$C:$C,$Z21,H:H),0,'Year 1 Results'!AE21)</f>
        <v>500000</v>
      </c>
      <c r="AF21" s="52">
        <f>IF('Year 1 Results'!AF21*COUNTIF('Event Trigger'!$C:$C,'Year 2 Results'!$Z21)&gt;SUMIF('Event Trigger'!$C:$C,$Z21,I:I),0,'Year 1 Results'!AF21)</f>
        <v>500000</v>
      </c>
      <c r="AG21" s="52">
        <f>IF('Year 1 Results'!AG21*COUNTIF('Event Trigger'!$C:$C,'Year 2 Results'!$Z21)&gt;SUMIF('Event Trigger'!$C:$C,$Z21,J:J),0,'Year 1 Results'!AG21)</f>
        <v>500000</v>
      </c>
      <c r="AH21" s="52">
        <f>IF('Year 1 Results'!AH21*COUNTIF('Event Trigger'!$C:$C,'Year 2 Results'!$Z21)&gt;SUMIF('Event Trigger'!$C:$C,$Z21,K:K),0,'Year 1 Results'!AH21)</f>
        <v>500000</v>
      </c>
      <c r="AI21" s="52">
        <f>IF('Year 1 Results'!AI21*COUNTIF('Event Trigger'!$C:$C,'Year 2 Results'!$Z21)&gt;SUMIF('Event Trigger'!$C:$C,$Z21,L:L),0,'Year 1 Results'!AI21)</f>
        <v>500000</v>
      </c>
      <c r="AJ21" s="52">
        <f>IF('Year 1 Results'!AJ21*COUNTIF('Event Trigger'!$C:$C,'Year 2 Results'!$Z21)&gt;SUMIF('Event Trigger'!$C:$C,$Z21,M:M),0,'Year 1 Results'!AJ21)</f>
        <v>500000</v>
      </c>
    </row>
    <row r="22" spans="1:36" x14ac:dyDescent="0.25">
      <c r="A22" s="37" t="str">
        <f>'Risk Master'!B22:B158&amp;"-"&amp;'Risk Master'!D22</f>
        <v>Fire-Mumbai</v>
      </c>
      <c r="B22" s="37" t="str">
        <f>'Input Sheet year 2'!B23</f>
        <v>Fire-Mumbai</v>
      </c>
      <c r="C22" s="29" t="str">
        <f>'Risk Master'!F22</f>
        <v>A7</v>
      </c>
      <c r="D22" s="73">
        <f>'Year 1 Results'!O22*-1+('Year 1 Results'!O22*'Event Trigger'!$E23*(1-'Input Sheet year 2'!H23))</f>
        <v>800000</v>
      </c>
      <c r="E22" s="73">
        <f>'Year 1 Results'!P22*-1+('Year 1 Results'!P22*'Event Trigger'!$E23*(1-'Input Sheet year 2'!I23))</f>
        <v>800000</v>
      </c>
      <c r="F22" s="73">
        <f>'Year 1 Results'!Q22*-1+('Year 1 Results'!Q22*'Event Trigger'!$E23*(1-'Input Sheet year 2'!J23))</f>
        <v>800000</v>
      </c>
      <c r="G22" s="73">
        <f>'Year 1 Results'!R22*-1+('Year 1 Results'!R22*'Event Trigger'!$E23*(1-'Input Sheet year 2'!K23))</f>
        <v>800000</v>
      </c>
      <c r="H22" s="73">
        <f>'Year 1 Results'!S22*-1+('Year 1 Results'!S22*'Event Trigger'!$E23*(1-'Input Sheet year 2'!L23))</f>
        <v>800000</v>
      </c>
      <c r="I22" s="73">
        <f>'Year 1 Results'!T22*-1+('Year 1 Results'!T22*'Event Trigger'!$E23*(1-'Input Sheet year 2'!M23))</f>
        <v>800000</v>
      </c>
      <c r="J22" s="73">
        <f>'Year 1 Results'!U22*-1+('Year 1 Results'!U22*'Event Trigger'!$E23*(1-'Input Sheet year 2'!N23))</f>
        <v>800000</v>
      </c>
      <c r="K22" s="73">
        <f>'Year 1 Results'!V22*-1+('Year 1 Results'!V22*'Event Trigger'!$E23*(1-'Input Sheet year 2'!O23))</f>
        <v>800000</v>
      </c>
      <c r="L22" s="73">
        <f>'Year 1 Results'!W22*-1+('Year 1 Results'!W22*'Event Trigger'!$E23*(1-'Input Sheet year 2'!P23))</f>
        <v>800000</v>
      </c>
      <c r="M22" s="73">
        <f>'Year 1 Results'!X22*-1+('Year 1 Results'!X22*'Event Trigger'!$E23*(1-'Input Sheet year 2'!Q23))</f>
        <v>800000</v>
      </c>
      <c r="N22" s="88"/>
      <c r="O22" s="88">
        <f t="shared" si="0"/>
        <v>-800000</v>
      </c>
      <c r="P22" s="88">
        <f t="shared" si="1"/>
        <v>-800000</v>
      </c>
      <c r="Q22" s="88">
        <f t="shared" si="2"/>
        <v>-800000</v>
      </c>
      <c r="R22" s="88">
        <f t="shared" si="3"/>
        <v>-800000</v>
      </c>
      <c r="S22" s="88">
        <f t="shared" si="4"/>
        <v>-800000</v>
      </c>
      <c r="T22" s="88">
        <f t="shared" si="5"/>
        <v>-800000</v>
      </c>
      <c r="U22" s="88">
        <f t="shared" si="6"/>
        <v>-800000</v>
      </c>
      <c r="V22" s="88">
        <f t="shared" si="7"/>
        <v>-800000</v>
      </c>
      <c r="W22" s="88">
        <f t="shared" si="8"/>
        <v>-800000</v>
      </c>
      <c r="X22" s="88">
        <f t="shared" si="9"/>
        <v>-800000</v>
      </c>
      <c r="Z22" s="51" t="s">
        <v>94</v>
      </c>
      <c r="AA22" s="52">
        <f>IF('Year 1 Results'!AA22*COUNTIF('Event Trigger'!$C:$C,'Year 2 Results'!$Z22)&gt;SUMIF('Event Trigger'!$C:$C,$Z22,D:D),0,'Year 1 Results'!AA22)</f>
        <v>0</v>
      </c>
      <c r="AB22" s="52">
        <f>IF('Year 1 Results'!AB22*COUNTIF('Event Trigger'!$C:$C,'Year 2 Results'!$Z22)&gt;SUMIF('Event Trigger'!$C:$C,$Z22,E:E),0,'Year 1 Results'!AB22)</f>
        <v>0</v>
      </c>
      <c r="AC22" s="52">
        <f>IF('Year 1 Results'!AC22*COUNTIF('Event Trigger'!$C:$C,'Year 2 Results'!$Z22)&gt;SUMIF('Event Trigger'!$C:$C,$Z22,F:F),0,'Year 1 Results'!AC22)</f>
        <v>0</v>
      </c>
      <c r="AD22" s="52">
        <f>IF('Year 1 Results'!AD22*COUNTIF('Event Trigger'!$C:$C,'Year 2 Results'!$Z22)&gt;SUMIF('Event Trigger'!$C:$C,$Z22,G:G),0,'Year 1 Results'!AD22)</f>
        <v>0</v>
      </c>
      <c r="AE22" s="52">
        <f>IF('Year 1 Results'!AE22*COUNTIF('Event Trigger'!$C:$C,'Year 2 Results'!$Z22)&gt;SUMIF('Event Trigger'!$C:$C,$Z22,H:H),0,'Year 1 Results'!AE22)</f>
        <v>0</v>
      </c>
      <c r="AF22" s="52">
        <f>IF('Year 1 Results'!AF22*COUNTIF('Event Trigger'!$C:$C,'Year 2 Results'!$Z22)&gt;SUMIF('Event Trigger'!$C:$C,$Z22,I:I),0,'Year 1 Results'!AF22)</f>
        <v>0</v>
      </c>
      <c r="AG22" s="52">
        <f>IF('Year 1 Results'!AG22*COUNTIF('Event Trigger'!$C:$C,'Year 2 Results'!$Z22)&gt;SUMIF('Event Trigger'!$C:$C,$Z22,J:J),0,'Year 1 Results'!AG22)</f>
        <v>0</v>
      </c>
      <c r="AH22" s="52">
        <f>IF('Year 1 Results'!AH22*COUNTIF('Event Trigger'!$C:$C,'Year 2 Results'!$Z22)&gt;SUMIF('Event Trigger'!$C:$C,$Z22,K:K),0,'Year 1 Results'!AH22)</f>
        <v>0</v>
      </c>
      <c r="AI22" s="52">
        <f>IF('Year 1 Results'!AI22*COUNTIF('Event Trigger'!$C:$C,'Year 2 Results'!$Z22)&gt;SUMIF('Event Trigger'!$C:$C,$Z22,L:L),0,'Year 1 Results'!AI22)</f>
        <v>0</v>
      </c>
      <c r="AJ22" s="52">
        <f>IF('Year 1 Results'!AJ22*COUNTIF('Event Trigger'!$C:$C,'Year 2 Results'!$Z22)&gt;SUMIF('Event Trigger'!$C:$C,$Z22,M:M),0,'Year 1 Results'!AJ22)</f>
        <v>0</v>
      </c>
    </row>
    <row r="23" spans="1:36" x14ac:dyDescent="0.25">
      <c r="A23" s="37" t="str">
        <f>'Risk Master'!B23:B159&amp;"-"&amp;'Risk Master'!D23</f>
        <v>Typhoon-Mumbai</v>
      </c>
      <c r="B23" s="37" t="str">
        <f>'Input Sheet year 2'!B24</f>
        <v>Typhoon-Mumbai</v>
      </c>
      <c r="C23" s="29" t="str">
        <f>'Risk Master'!F23</f>
        <v>A8</v>
      </c>
      <c r="D23" s="73">
        <f>'Year 1 Results'!O23*-1+('Year 1 Results'!O23*'Event Trigger'!$E24*(1-'Input Sheet year 2'!H24))</f>
        <v>0</v>
      </c>
      <c r="E23" s="73">
        <f>'Year 1 Results'!P23*-1+('Year 1 Results'!P23*'Event Trigger'!$E24*(1-'Input Sheet year 2'!I24))</f>
        <v>300000</v>
      </c>
      <c r="F23" s="73">
        <f>'Year 1 Results'!Q23*-1+('Year 1 Results'!Q23*'Event Trigger'!$E24*(1-'Input Sheet year 2'!J24))</f>
        <v>0</v>
      </c>
      <c r="G23" s="73">
        <f>'Year 1 Results'!R23*-1+('Year 1 Results'!R23*'Event Trigger'!$E24*(1-'Input Sheet year 2'!K24))</f>
        <v>0</v>
      </c>
      <c r="H23" s="73">
        <f>'Year 1 Results'!S23*-1+('Year 1 Results'!S23*'Event Trigger'!$E24*(1-'Input Sheet year 2'!L24))</f>
        <v>0</v>
      </c>
      <c r="I23" s="73">
        <f>'Year 1 Results'!T23*-1+('Year 1 Results'!T23*'Event Trigger'!$E24*(1-'Input Sheet year 2'!M24))</f>
        <v>0</v>
      </c>
      <c r="J23" s="73">
        <f>'Year 1 Results'!U23*-1+('Year 1 Results'!U23*'Event Trigger'!$E24*(1-'Input Sheet year 2'!N24))</f>
        <v>0</v>
      </c>
      <c r="K23" s="73">
        <f>'Year 1 Results'!V23*-1+('Year 1 Results'!V23*'Event Trigger'!$E24*(1-'Input Sheet year 2'!O24))</f>
        <v>0</v>
      </c>
      <c r="L23" s="73">
        <f>'Year 1 Results'!W23*-1+('Year 1 Results'!W23*'Event Trigger'!$E24*(1-'Input Sheet year 2'!P24))</f>
        <v>0</v>
      </c>
      <c r="M23" s="73">
        <f>'Year 1 Results'!X23*-1+('Year 1 Results'!X23*'Event Trigger'!$E24*(1-'Input Sheet year 2'!Q24))</f>
        <v>0</v>
      </c>
      <c r="N23" s="88"/>
      <c r="O23" s="88">
        <f t="shared" si="0"/>
        <v>0</v>
      </c>
      <c r="P23" s="88">
        <f t="shared" si="1"/>
        <v>0</v>
      </c>
      <c r="Q23" s="88">
        <f t="shared" si="2"/>
        <v>0</v>
      </c>
      <c r="R23" s="88">
        <f t="shared" si="3"/>
        <v>0</v>
      </c>
      <c r="S23" s="88">
        <f t="shared" si="4"/>
        <v>0</v>
      </c>
      <c r="T23" s="88">
        <f t="shared" si="5"/>
        <v>0</v>
      </c>
      <c r="U23" s="88">
        <f t="shared" si="6"/>
        <v>0</v>
      </c>
      <c r="V23" s="88">
        <f t="shared" si="7"/>
        <v>0</v>
      </c>
      <c r="W23" s="88">
        <f t="shared" si="8"/>
        <v>0</v>
      </c>
      <c r="X23" s="88">
        <f t="shared" si="9"/>
        <v>0</v>
      </c>
      <c r="Z23" s="51" t="s">
        <v>95</v>
      </c>
      <c r="AA23" s="52">
        <f>IF('Year 1 Results'!AA23*COUNTIF('Event Trigger'!$C:$C,'Year 2 Results'!$Z23)&gt;SUMIF('Event Trigger'!$C:$C,$Z23,D:D),0,'Year 1 Results'!AA23)</f>
        <v>0</v>
      </c>
      <c r="AB23" s="52">
        <f>IF('Year 1 Results'!AB23*COUNTIF('Event Trigger'!$C:$C,'Year 2 Results'!$Z23)&gt;SUMIF('Event Trigger'!$C:$C,$Z23,E:E),0,'Year 1 Results'!AB23)</f>
        <v>0</v>
      </c>
      <c r="AC23" s="52">
        <f>IF('Year 1 Results'!AC23*COUNTIF('Event Trigger'!$C:$C,'Year 2 Results'!$Z23)&gt;SUMIF('Event Trigger'!$C:$C,$Z23,F:F),0,'Year 1 Results'!AC23)</f>
        <v>0</v>
      </c>
      <c r="AD23" s="52">
        <f>IF('Year 1 Results'!AD23*COUNTIF('Event Trigger'!$C:$C,'Year 2 Results'!$Z23)&gt;SUMIF('Event Trigger'!$C:$C,$Z23,G:G),0,'Year 1 Results'!AD23)</f>
        <v>0</v>
      </c>
      <c r="AE23" s="52">
        <f>IF('Year 1 Results'!AE23*COUNTIF('Event Trigger'!$C:$C,'Year 2 Results'!$Z23)&gt;SUMIF('Event Trigger'!$C:$C,$Z23,H:H),0,'Year 1 Results'!AE23)</f>
        <v>0</v>
      </c>
      <c r="AF23" s="52">
        <f>IF('Year 1 Results'!AF23*COUNTIF('Event Trigger'!$C:$C,'Year 2 Results'!$Z23)&gt;SUMIF('Event Trigger'!$C:$C,$Z23,I:I),0,'Year 1 Results'!AF23)</f>
        <v>0</v>
      </c>
      <c r="AG23" s="52">
        <f>IF('Year 1 Results'!AG23*COUNTIF('Event Trigger'!$C:$C,'Year 2 Results'!$Z23)&gt;SUMIF('Event Trigger'!$C:$C,$Z23,J:J),0,'Year 1 Results'!AG23)</f>
        <v>0</v>
      </c>
      <c r="AH23" s="52">
        <f>IF('Year 1 Results'!AH23*COUNTIF('Event Trigger'!$C:$C,'Year 2 Results'!$Z23)&gt;SUMIF('Event Trigger'!$C:$C,$Z23,K:K),0,'Year 1 Results'!AH23)</f>
        <v>0</v>
      </c>
      <c r="AI23" s="52">
        <f>IF('Year 1 Results'!AI23*COUNTIF('Event Trigger'!$C:$C,'Year 2 Results'!$Z23)&gt;SUMIF('Event Trigger'!$C:$C,$Z23,L:L),0,'Year 1 Results'!AI23)</f>
        <v>0</v>
      </c>
      <c r="AJ23" s="52">
        <f>IF('Year 1 Results'!AJ23*COUNTIF('Event Trigger'!$C:$C,'Year 2 Results'!$Z23)&gt;SUMIF('Event Trigger'!$C:$C,$Z23,M:M),0,'Year 1 Results'!AJ23)</f>
        <v>0</v>
      </c>
    </row>
    <row r="24" spans="1:36" ht="25.5" x14ac:dyDescent="0.25">
      <c r="A24" s="37" t="str">
        <f>'Risk Master'!B24:B160&amp;"-"&amp;'Risk Master'!D24</f>
        <v>Thunderstorms, Tornados &amp; Hail-Mumbai</v>
      </c>
      <c r="B24" s="37" t="str">
        <f>'Input Sheet year 2'!B25</f>
        <v>Thunderstorms, Tornados &amp; Hail-Mumbai</v>
      </c>
      <c r="C24" s="29" t="str">
        <f>'Risk Master'!F24</f>
        <v>A8</v>
      </c>
      <c r="D24" s="73">
        <f>'Year 1 Results'!O24*-1+('Year 1 Results'!O24*'Event Trigger'!$E25*(1-'Input Sheet year 2'!H25))</f>
        <v>0</v>
      </c>
      <c r="E24" s="73">
        <f>'Year 1 Results'!P24*-1+('Year 1 Results'!P24*'Event Trigger'!$E25*(1-'Input Sheet year 2'!I25))</f>
        <v>0</v>
      </c>
      <c r="F24" s="73">
        <f>'Year 1 Results'!Q24*-1+('Year 1 Results'!Q24*'Event Trigger'!$E25*(1-'Input Sheet year 2'!J25))</f>
        <v>0</v>
      </c>
      <c r="G24" s="73">
        <f>'Year 1 Results'!R24*-1+('Year 1 Results'!R24*'Event Trigger'!$E25*(1-'Input Sheet year 2'!K25))</f>
        <v>0</v>
      </c>
      <c r="H24" s="73">
        <f>'Year 1 Results'!S24*-1+('Year 1 Results'!S24*'Event Trigger'!$E25*(1-'Input Sheet year 2'!L25))</f>
        <v>0</v>
      </c>
      <c r="I24" s="73">
        <f>'Year 1 Results'!T24*-1+('Year 1 Results'!T24*'Event Trigger'!$E25*(1-'Input Sheet year 2'!M25))</f>
        <v>0</v>
      </c>
      <c r="J24" s="73">
        <f>'Year 1 Results'!U24*-1+('Year 1 Results'!U24*'Event Trigger'!$E25*(1-'Input Sheet year 2'!N25))</f>
        <v>0</v>
      </c>
      <c r="K24" s="73">
        <f>'Year 1 Results'!V24*-1+('Year 1 Results'!V24*'Event Trigger'!$E25*(1-'Input Sheet year 2'!O25))</f>
        <v>0</v>
      </c>
      <c r="L24" s="73">
        <f>'Year 1 Results'!W24*-1+('Year 1 Results'!W24*'Event Trigger'!$E25*(1-'Input Sheet year 2'!P25))</f>
        <v>0</v>
      </c>
      <c r="M24" s="73">
        <f>'Year 1 Results'!X24*-1+('Year 1 Results'!X24*'Event Trigger'!$E25*(1-'Input Sheet year 2'!Q25))</f>
        <v>0</v>
      </c>
      <c r="N24" s="88"/>
      <c r="O24" s="88">
        <f t="shared" si="0"/>
        <v>0</v>
      </c>
      <c r="P24" s="88">
        <f t="shared" si="1"/>
        <v>0</v>
      </c>
      <c r="Q24" s="88">
        <f t="shared" si="2"/>
        <v>0</v>
      </c>
      <c r="R24" s="88">
        <f t="shared" si="3"/>
        <v>0</v>
      </c>
      <c r="S24" s="88">
        <f t="shared" si="4"/>
        <v>0</v>
      </c>
      <c r="T24" s="88">
        <f t="shared" si="5"/>
        <v>0</v>
      </c>
      <c r="U24" s="88">
        <f t="shared" si="6"/>
        <v>0</v>
      </c>
      <c r="V24" s="88">
        <f t="shared" si="7"/>
        <v>0</v>
      </c>
      <c r="W24" s="88">
        <f t="shared" si="8"/>
        <v>0</v>
      </c>
      <c r="X24" s="88">
        <f t="shared" si="9"/>
        <v>0</v>
      </c>
      <c r="Z24" s="51" t="s">
        <v>96</v>
      </c>
      <c r="AA24" s="52">
        <f>IF('Year 1 Results'!AA24*COUNTIF('Event Trigger'!$C:$C,'Year 2 Results'!$Z24)&gt;SUMIF('Event Trigger'!$C:$C,$Z24,D:D),0,'Year 1 Results'!AA24)</f>
        <v>0</v>
      </c>
      <c r="AB24" s="52">
        <f>IF('Year 1 Results'!AB24*COUNTIF('Event Trigger'!$C:$C,'Year 2 Results'!$Z24)&gt;SUMIF('Event Trigger'!$C:$C,$Z24,E:E),0,'Year 1 Results'!AB24)</f>
        <v>0</v>
      </c>
      <c r="AC24" s="52">
        <f>IF('Year 1 Results'!AC24*COUNTIF('Event Trigger'!$C:$C,'Year 2 Results'!$Z24)&gt;SUMIF('Event Trigger'!$C:$C,$Z24,F:F),0,'Year 1 Results'!AC24)</f>
        <v>0</v>
      </c>
      <c r="AD24" s="52">
        <f>IF('Year 1 Results'!AD24*COUNTIF('Event Trigger'!$C:$C,'Year 2 Results'!$Z24)&gt;SUMIF('Event Trigger'!$C:$C,$Z24,G:G),0,'Year 1 Results'!AD24)</f>
        <v>0</v>
      </c>
      <c r="AE24" s="52">
        <f>IF('Year 1 Results'!AE24*COUNTIF('Event Trigger'!$C:$C,'Year 2 Results'!$Z24)&gt;SUMIF('Event Trigger'!$C:$C,$Z24,H:H),0,'Year 1 Results'!AE24)</f>
        <v>0</v>
      </c>
      <c r="AF24" s="52">
        <f>IF('Year 1 Results'!AF24*COUNTIF('Event Trigger'!$C:$C,'Year 2 Results'!$Z24)&gt;SUMIF('Event Trigger'!$C:$C,$Z24,I:I),0,'Year 1 Results'!AF24)</f>
        <v>0</v>
      </c>
      <c r="AG24" s="52">
        <f>IF('Year 1 Results'!AG24*COUNTIF('Event Trigger'!$C:$C,'Year 2 Results'!$Z24)&gt;SUMIF('Event Trigger'!$C:$C,$Z24,J:J),0,'Year 1 Results'!AG24)</f>
        <v>0</v>
      </c>
      <c r="AH24" s="52">
        <f>IF('Year 1 Results'!AH24*COUNTIF('Event Trigger'!$C:$C,'Year 2 Results'!$Z24)&gt;SUMIF('Event Trigger'!$C:$C,$Z24,K:K),0,'Year 1 Results'!AH24)</f>
        <v>0</v>
      </c>
      <c r="AI24" s="52">
        <f>IF('Year 1 Results'!AI24*COUNTIF('Event Trigger'!$C:$C,'Year 2 Results'!$Z24)&gt;SUMIF('Event Trigger'!$C:$C,$Z24,L:L),0,'Year 1 Results'!AI24)</f>
        <v>0</v>
      </c>
      <c r="AJ24" s="52">
        <f>IF('Year 1 Results'!AJ24*COUNTIF('Event Trigger'!$C:$C,'Year 2 Results'!$Z24)&gt;SUMIF('Event Trigger'!$C:$C,$Z24,M:M),0,'Year 1 Results'!AJ24)</f>
        <v>0</v>
      </c>
    </row>
    <row r="25" spans="1:36" x14ac:dyDescent="0.25">
      <c r="A25" s="37" t="str">
        <f>'Risk Master'!B25:B161&amp;"-"&amp;'Risk Master'!D25</f>
        <v>Tsunami-Mumbai</v>
      </c>
      <c r="B25" s="37" t="str">
        <f>'Input Sheet year 2'!B26</f>
        <v>Tsunami-Mumbai</v>
      </c>
      <c r="C25" s="29" t="str">
        <f>'Risk Master'!F25</f>
        <v>A8</v>
      </c>
      <c r="D25" s="73">
        <f>'Year 1 Results'!O25*-1+('Year 1 Results'!O25*'Event Trigger'!$E26*(1-'Input Sheet year 2'!H26))</f>
        <v>0</v>
      </c>
      <c r="E25" s="73">
        <f>'Year 1 Results'!P25*-1+('Year 1 Results'!P25*'Event Trigger'!$E26*(1-'Input Sheet year 2'!I26))</f>
        <v>300000</v>
      </c>
      <c r="F25" s="73">
        <f>'Year 1 Results'!Q25*-1+('Year 1 Results'!Q25*'Event Trigger'!$E26*(1-'Input Sheet year 2'!J26))</f>
        <v>0</v>
      </c>
      <c r="G25" s="73">
        <f>'Year 1 Results'!R25*-1+('Year 1 Results'!R25*'Event Trigger'!$E26*(1-'Input Sheet year 2'!K26))</f>
        <v>0</v>
      </c>
      <c r="H25" s="73">
        <f>'Year 1 Results'!S25*-1+('Year 1 Results'!S25*'Event Trigger'!$E26*(1-'Input Sheet year 2'!L26))</f>
        <v>0</v>
      </c>
      <c r="I25" s="73">
        <f>'Year 1 Results'!T25*-1+('Year 1 Results'!T25*'Event Trigger'!$E26*(1-'Input Sheet year 2'!M26))</f>
        <v>0</v>
      </c>
      <c r="J25" s="73">
        <f>'Year 1 Results'!U25*-1+('Year 1 Results'!U25*'Event Trigger'!$E26*(1-'Input Sheet year 2'!N26))</f>
        <v>0</v>
      </c>
      <c r="K25" s="73">
        <f>'Year 1 Results'!V25*-1+('Year 1 Results'!V25*'Event Trigger'!$E26*(1-'Input Sheet year 2'!O26))</f>
        <v>0</v>
      </c>
      <c r="L25" s="73">
        <f>'Year 1 Results'!W25*-1+('Year 1 Results'!W25*'Event Trigger'!$E26*(1-'Input Sheet year 2'!P26))</f>
        <v>0</v>
      </c>
      <c r="M25" s="73">
        <f>'Year 1 Results'!X25*-1+('Year 1 Results'!X25*'Event Trigger'!$E26*(1-'Input Sheet year 2'!Q26))</f>
        <v>0</v>
      </c>
      <c r="N25" s="88"/>
      <c r="O25" s="88">
        <f t="shared" si="0"/>
        <v>0</v>
      </c>
      <c r="P25" s="88">
        <f t="shared" si="1"/>
        <v>0</v>
      </c>
      <c r="Q25" s="88">
        <f t="shared" si="2"/>
        <v>0</v>
      </c>
      <c r="R25" s="88">
        <f t="shared" si="3"/>
        <v>0</v>
      </c>
      <c r="S25" s="88">
        <f t="shared" si="4"/>
        <v>0</v>
      </c>
      <c r="T25" s="88">
        <f t="shared" si="5"/>
        <v>0</v>
      </c>
      <c r="U25" s="88">
        <f t="shared" si="6"/>
        <v>0</v>
      </c>
      <c r="V25" s="88">
        <f t="shared" si="7"/>
        <v>0</v>
      </c>
      <c r="W25" s="88">
        <f t="shared" si="8"/>
        <v>0</v>
      </c>
      <c r="X25" s="88">
        <f t="shared" si="9"/>
        <v>0</v>
      </c>
      <c r="Z25" s="51" t="s">
        <v>97</v>
      </c>
      <c r="AA25" s="52">
        <f>IF('Year 1 Results'!AA25*COUNTIF('Event Trigger'!$C:$C,'Year 2 Results'!$Z25)&gt;SUMIF('Event Trigger'!$C:$C,$Z25,D:D),0,'Year 1 Results'!AA25)</f>
        <v>0</v>
      </c>
      <c r="AB25" s="52">
        <f>IF('Year 1 Results'!AB25*COUNTIF('Event Trigger'!$C:$C,'Year 2 Results'!$Z25)&gt;SUMIF('Event Trigger'!$C:$C,$Z25,E:E),0,'Year 1 Results'!AB25)</f>
        <v>0</v>
      </c>
      <c r="AC25" s="52">
        <f>IF('Year 1 Results'!AC25*COUNTIF('Event Trigger'!$C:$C,'Year 2 Results'!$Z25)&gt;SUMIF('Event Trigger'!$C:$C,$Z25,F:F),0,'Year 1 Results'!AC25)</f>
        <v>0</v>
      </c>
      <c r="AD25" s="52">
        <f>IF('Year 1 Results'!AD25*COUNTIF('Event Trigger'!$C:$C,'Year 2 Results'!$Z25)&gt;SUMIF('Event Trigger'!$C:$C,$Z25,G:G),0,'Year 1 Results'!AD25)</f>
        <v>0</v>
      </c>
      <c r="AE25" s="52">
        <f>IF('Year 1 Results'!AE25*COUNTIF('Event Trigger'!$C:$C,'Year 2 Results'!$Z25)&gt;SUMIF('Event Trigger'!$C:$C,$Z25,H:H),0,'Year 1 Results'!AE25)</f>
        <v>0</v>
      </c>
      <c r="AF25" s="52">
        <f>IF('Year 1 Results'!AF25*COUNTIF('Event Trigger'!$C:$C,'Year 2 Results'!$Z25)&gt;SUMIF('Event Trigger'!$C:$C,$Z25,I:I),0,'Year 1 Results'!AF25)</f>
        <v>0</v>
      </c>
      <c r="AG25" s="52">
        <f>IF('Year 1 Results'!AG25*COUNTIF('Event Trigger'!$C:$C,'Year 2 Results'!$Z25)&gt;SUMIF('Event Trigger'!$C:$C,$Z25,J:J),0,'Year 1 Results'!AG25)</f>
        <v>0</v>
      </c>
      <c r="AH25" s="52">
        <f>IF('Year 1 Results'!AH25*COUNTIF('Event Trigger'!$C:$C,'Year 2 Results'!$Z25)&gt;SUMIF('Event Trigger'!$C:$C,$Z25,K:K),0,'Year 1 Results'!AH25)</f>
        <v>0</v>
      </c>
      <c r="AI25" s="52">
        <f>IF('Year 1 Results'!AI25*COUNTIF('Event Trigger'!$C:$C,'Year 2 Results'!$Z25)&gt;SUMIF('Event Trigger'!$C:$C,$Z25,L:L),0,'Year 1 Results'!AI25)</f>
        <v>0</v>
      </c>
      <c r="AJ25" s="52">
        <f>IF('Year 1 Results'!AJ25*COUNTIF('Event Trigger'!$C:$C,'Year 2 Results'!$Z25)&gt;SUMIF('Event Trigger'!$C:$C,$Z25,M:M),0,'Year 1 Results'!AJ25)</f>
        <v>0</v>
      </c>
    </row>
    <row r="26" spans="1:36" ht="25.5" x14ac:dyDescent="0.25">
      <c r="A26" s="37" t="str">
        <f>'Risk Master'!B26:B162&amp;"-"&amp;'Risk Master'!D26</f>
        <v>High tide and high rainfalls leading to large floods-Mumbai</v>
      </c>
      <c r="B26" s="37" t="str">
        <f>'Input Sheet year 2'!B27</f>
        <v>Flood-Mumbai</v>
      </c>
      <c r="C26" s="29" t="str">
        <f>'Risk Master'!F26</f>
        <v>A9</v>
      </c>
      <c r="D26" s="73">
        <f>'Year 1 Results'!O26*-1+('Year 1 Results'!O26*'Event Trigger'!$E27*(1-'Input Sheet year 2'!H27))</f>
        <v>0</v>
      </c>
      <c r="E26" s="73">
        <f>'Year 1 Results'!P26*-1+('Year 1 Results'!P26*'Event Trigger'!$E27*(1-'Input Sheet year 2'!I27))</f>
        <v>0</v>
      </c>
      <c r="F26" s="73">
        <f>'Year 1 Results'!Q26*-1+('Year 1 Results'!Q26*'Event Trigger'!$E27*(1-'Input Sheet year 2'!J27))</f>
        <v>0</v>
      </c>
      <c r="G26" s="73">
        <f>'Year 1 Results'!R26*-1+('Year 1 Results'!R26*'Event Trigger'!$E27*(1-'Input Sheet year 2'!K27))</f>
        <v>0</v>
      </c>
      <c r="H26" s="73">
        <f>'Year 1 Results'!S26*-1+('Year 1 Results'!S26*'Event Trigger'!$E27*(1-'Input Sheet year 2'!L27))</f>
        <v>0</v>
      </c>
      <c r="I26" s="73">
        <f>'Year 1 Results'!T26*-1+('Year 1 Results'!T26*'Event Trigger'!$E27*(1-'Input Sheet year 2'!M27))</f>
        <v>0</v>
      </c>
      <c r="J26" s="73">
        <f>'Year 1 Results'!U26*-1+('Year 1 Results'!U26*'Event Trigger'!$E27*(1-'Input Sheet year 2'!N27))</f>
        <v>0</v>
      </c>
      <c r="K26" s="73">
        <f>'Year 1 Results'!V26*-1+('Year 1 Results'!V26*'Event Trigger'!$E27*(1-'Input Sheet year 2'!O27))</f>
        <v>0</v>
      </c>
      <c r="L26" s="73">
        <f>'Year 1 Results'!W26*-1+('Year 1 Results'!W26*'Event Trigger'!$E27*(1-'Input Sheet year 2'!P27))</f>
        <v>0</v>
      </c>
      <c r="M26" s="73">
        <f>'Year 1 Results'!X26*-1+('Year 1 Results'!X26*'Event Trigger'!$E27*(1-'Input Sheet year 2'!Q27))</f>
        <v>0</v>
      </c>
      <c r="N26" s="88"/>
      <c r="O26" s="88">
        <f t="shared" si="0"/>
        <v>0</v>
      </c>
      <c r="P26" s="88">
        <f t="shared" si="1"/>
        <v>0</v>
      </c>
      <c r="Q26" s="88">
        <f t="shared" si="2"/>
        <v>0</v>
      </c>
      <c r="R26" s="88">
        <f t="shared" si="3"/>
        <v>0</v>
      </c>
      <c r="S26" s="88">
        <f t="shared" si="4"/>
        <v>0</v>
      </c>
      <c r="T26" s="88">
        <f t="shared" si="5"/>
        <v>0</v>
      </c>
      <c r="U26" s="88">
        <f t="shared" si="6"/>
        <v>0</v>
      </c>
      <c r="V26" s="88">
        <f t="shared" si="7"/>
        <v>0</v>
      </c>
      <c r="W26" s="88">
        <f t="shared" si="8"/>
        <v>0</v>
      </c>
      <c r="X26" s="88">
        <f t="shared" si="9"/>
        <v>0</v>
      </c>
      <c r="Z26" s="51" t="s">
        <v>98</v>
      </c>
      <c r="AA26" s="52">
        <f>IF('Year 1 Results'!AA26*COUNTIF('Event Trigger'!$C:$C,'Year 2 Results'!$Z26)&gt;SUMIF('Event Trigger'!$C:$C,$Z26,D:D),0,'Year 1 Results'!AA26)</f>
        <v>0</v>
      </c>
      <c r="AB26" s="52">
        <f>IF('Year 1 Results'!AB26*COUNTIF('Event Trigger'!$C:$C,'Year 2 Results'!$Z26)&gt;SUMIF('Event Trigger'!$C:$C,$Z26,E:E),0,'Year 1 Results'!AB26)</f>
        <v>0</v>
      </c>
      <c r="AC26" s="52">
        <f>IF('Year 1 Results'!AC26*COUNTIF('Event Trigger'!$C:$C,'Year 2 Results'!$Z26)&gt;SUMIF('Event Trigger'!$C:$C,$Z26,F:F),0,'Year 1 Results'!AC26)</f>
        <v>0</v>
      </c>
      <c r="AD26" s="52">
        <f>IF('Year 1 Results'!AD26*COUNTIF('Event Trigger'!$C:$C,'Year 2 Results'!$Z26)&gt;SUMIF('Event Trigger'!$C:$C,$Z26,G:G),0,'Year 1 Results'!AD26)</f>
        <v>0</v>
      </c>
      <c r="AE26" s="52">
        <f>IF('Year 1 Results'!AE26*COUNTIF('Event Trigger'!$C:$C,'Year 2 Results'!$Z26)&gt;SUMIF('Event Trigger'!$C:$C,$Z26,H:H),0,'Year 1 Results'!AE26)</f>
        <v>0</v>
      </c>
      <c r="AF26" s="52">
        <f>IF('Year 1 Results'!AF26*COUNTIF('Event Trigger'!$C:$C,'Year 2 Results'!$Z26)&gt;SUMIF('Event Trigger'!$C:$C,$Z26,I:I),0,'Year 1 Results'!AF26)</f>
        <v>0</v>
      </c>
      <c r="AG26" s="52">
        <f>IF('Year 1 Results'!AG26*COUNTIF('Event Trigger'!$C:$C,'Year 2 Results'!$Z26)&gt;SUMIF('Event Trigger'!$C:$C,$Z26,J:J),0,'Year 1 Results'!AG26)</f>
        <v>0</v>
      </c>
      <c r="AH26" s="52">
        <f>IF('Year 1 Results'!AH26*COUNTIF('Event Trigger'!$C:$C,'Year 2 Results'!$Z26)&gt;SUMIF('Event Trigger'!$C:$C,$Z26,K:K),0,'Year 1 Results'!AH26)</f>
        <v>0</v>
      </c>
      <c r="AI26" s="52">
        <f>IF('Year 1 Results'!AI26*COUNTIF('Event Trigger'!$C:$C,'Year 2 Results'!$Z26)&gt;SUMIF('Event Trigger'!$C:$C,$Z26,L:L),0,'Year 1 Results'!AI26)</f>
        <v>0</v>
      </c>
      <c r="AJ26" s="52">
        <f>IF('Year 1 Results'!AJ26*COUNTIF('Event Trigger'!$C:$C,'Year 2 Results'!$Z26)&gt;SUMIF('Event Trigger'!$C:$C,$Z26,M:M),0,'Year 1 Results'!AJ26)</f>
        <v>0</v>
      </c>
    </row>
    <row r="27" spans="1:36" x14ac:dyDescent="0.25">
      <c r="A27" s="37" t="str">
        <f>'Risk Master'!B27:B163&amp;"-"&amp;'Risk Master'!D27</f>
        <v>Earthquake-Mumbai</v>
      </c>
      <c r="B27" s="37" t="str">
        <f>'Input Sheet year 2'!B28</f>
        <v>Earthquake-Mumbai</v>
      </c>
      <c r="C27" s="29" t="str">
        <f>'Risk Master'!F27</f>
        <v>A9</v>
      </c>
      <c r="D27" s="73">
        <f>'Year 1 Results'!O27*-1+('Year 1 Results'!O27*'Event Trigger'!$E28*(1-'Input Sheet year 2'!H28))</f>
        <v>0</v>
      </c>
      <c r="E27" s="73">
        <f>'Year 1 Results'!P27*-1+('Year 1 Results'!P27*'Event Trigger'!$E28*(1-'Input Sheet year 2'!I28))</f>
        <v>0</v>
      </c>
      <c r="F27" s="73">
        <f>'Year 1 Results'!Q27*-1+('Year 1 Results'!Q27*'Event Trigger'!$E28*(1-'Input Sheet year 2'!J28))</f>
        <v>0</v>
      </c>
      <c r="G27" s="73">
        <f>'Year 1 Results'!R27*-1+('Year 1 Results'!R27*'Event Trigger'!$E28*(1-'Input Sheet year 2'!K28))</f>
        <v>0</v>
      </c>
      <c r="H27" s="73">
        <f>'Year 1 Results'!S27*-1+('Year 1 Results'!S27*'Event Trigger'!$E28*(1-'Input Sheet year 2'!L28))</f>
        <v>0</v>
      </c>
      <c r="I27" s="73">
        <f>'Year 1 Results'!T27*-1+('Year 1 Results'!T27*'Event Trigger'!$E28*(1-'Input Sheet year 2'!M28))</f>
        <v>0</v>
      </c>
      <c r="J27" s="73">
        <f>'Year 1 Results'!U27*-1+('Year 1 Results'!U27*'Event Trigger'!$E28*(1-'Input Sheet year 2'!N28))</f>
        <v>0</v>
      </c>
      <c r="K27" s="73">
        <f>'Year 1 Results'!V27*-1+('Year 1 Results'!V27*'Event Trigger'!$E28*(1-'Input Sheet year 2'!O28))</f>
        <v>0</v>
      </c>
      <c r="L27" s="73">
        <f>'Year 1 Results'!W27*-1+('Year 1 Results'!W27*'Event Trigger'!$E28*(1-'Input Sheet year 2'!P28))</f>
        <v>0</v>
      </c>
      <c r="M27" s="73">
        <f>'Year 1 Results'!X27*-1+('Year 1 Results'!X27*'Event Trigger'!$E28*(1-'Input Sheet year 2'!Q28))</f>
        <v>0</v>
      </c>
      <c r="N27" s="88"/>
      <c r="O27" s="88">
        <f t="shared" si="0"/>
        <v>0</v>
      </c>
      <c r="P27" s="88">
        <f t="shared" si="1"/>
        <v>0</v>
      </c>
      <c r="Q27" s="88">
        <f t="shared" si="2"/>
        <v>0</v>
      </c>
      <c r="R27" s="88">
        <f t="shared" si="3"/>
        <v>0</v>
      </c>
      <c r="S27" s="88">
        <f t="shared" si="4"/>
        <v>0</v>
      </c>
      <c r="T27" s="88">
        <f t="shared" si="5"/>
        <v>0</v>
      </c>
      <c r="U27" s="88">
        <f t="shared" si="6"/>
        <v>0</v>
      </c>
      <c r="V27" s="88">
        <f t="shared" si="7"/>
        <v>0</v>
      </c>
      <c r="W27" s="88">
        <f t="shared" si="8"/>
        <v>0</v>
      </c>
      <c r="X27" s="88">
        <f t="shared" si="9"/>
        <v>0</v>
      </c>
      <c r="Z27" s="51" t="s">
        <v>99</v>
      </c>
      <c r="AA27" s="52">
        <f>IF('Year 1 Results'!AA27*COUNTIF('Event Trigger'!$C:$C,'Year 2 Results'!$Z27)&gt;SUMIF('Event Trigger'!$C:$C,$Z27,D:D),0,'Year 1 Results'!AA27)</f>
        <v>0</v>
      </c>
      <c r="AB27" s="52">
        <f>IF('Year 1 Results'!AB27*COUNTIF('Event Trigger'!$C:$C,'Year 2 Results'!$Z27)&gt;SUMIF('Event Trigger'!$C:$C,$Z27,E:E),0,'Year 1 Results'!AB27)</f>
        <v>0</v>
      </c>
      <c r="AC27" s="52">
        <f>IF('Year 1 Results'!AC27*COUNTIF('Event Trigger'!$C:$C,'Year 2 Results'!$Z27)&gt;SUMIF('Event Trigger'!$C:$C,$Z27,F:F),0,'Year 1 Results'!AC27)</f>
        <v>0</v>
      </c>
      <c r="AD27" s="52">
        <f>IF('Year 1 Results'!AD27*COUNTIF('Event Trigger'!$C:$C,'Year 2 Results'!$Z27)&gt;SUMIF('Event Trigger'!$C:$C,$Z27,G:G),0,'Year 1 Results'!AD27)</f>
        <v>0</v>
      </c>
      <c r="AE27" s="52">
        <f>IF('Year 1 Results'!AE27*COUNTIF('Event Trigger'!$C:$C,'Year 2 Results'!$Z27)&gt;SUMIF('Event Trigger'!$C:$C,$Z27,H:H),0,'Year 1 Results'!AE27)</f>
        <v>0</v>
      </c>
      <c r="AF27" s="52">
        <f>IF('Year 1 Results'!AF27*COUNTIF('Event Trigger'!$C:$C,'Year 2 Results'!$Z27)&gt;SUMIF('Event Trigger'!$C:$C,$Z27,I:I),0,'Year 1 Results'!AF27)</f>
        <v>0</v>
      </c>
      <c r="AG27" s="52">
        <f>IF('Year 1 Results'!AG27*COUNTIF('Event Trigger'!$C:$C,'Year 2 Results'!$Z27)&gt;SUMIF('Event Trigger'!$C:$C,$Z27,J:J),0,'Year 1 Results'!AG27)</f>
        <v>0</v>
      </c>
      <c r="AH27" s="52">
        <f>IF('Year 1 Results'!AH27*COUNTIF('Event Trigger'!$C:$C,'Year 2 Results'!$Z27)&gt;SUMIF('Event Trigger'!$C:$C,$Z27,K:K),0,'Year 1 Results'!AH27)</f>
        <v>0</v>
      </c>
      <c r="AI27" s="52">
        <f>IF('Year 1 Results'!AI27*COUNTIF('Event Trigger'!$C:$C,'Year 2 Results'!$Z27)&gt;SUMIF('Event Trigger'!$C:$C,$Z27,L:L),0,'Year 1 Results'!AI27)</f>
        <v>0</v>
      </c>
      <c r="AJ27" s="52">
        <f>IF('Year 1 Results'!AJ27*COUNTIF('Event Trigger'!$C:$C,'Year 2 Results'!$Z27)&gt;SUMIF('Event Trigger'!$C:$C,$Z27,M:M),0,'Year 1 Results'!AJ27)</f>
        <v>0</v>
      </c>
    </row>
    <row r="28" spans="1:36" x14ac:dyDescent="0.25">
      <c r="A28" s="37" t="str">
        <f>'Risk Master'!B28:B164&amp;"-"&amp;'Risk Master'!D28</f>
        <v>Fire-Mumbai</v>
      </c>
      <c r="B28" s="37" t="str">
        <f>'Input Sheet year 2'!B29</f>
        <v>Fire-Mumbai</v>
      </c>
      <c r="C28" s="29" t="str">
        <f>'Risk Master'!F28</f>
        <v>A9</v>
      </c>
      <c r="D28" s="73">
        <f>'Year 1 Results'!O28*-1+('Year 1 Results'!O28*'Event Trigger'!$E29*(1-'Input Sheet year 2'!H29))</f>
        <v>0</v>
      </c>
      <c r="E28" s="73">
        <f>'Year 1 Results'!P28*-1+('Year 1 Results'!P28*'Event Trigger'!$E29*(1-'Input Sheet year 2'!I29))</f>
        <v>0</v>
      </c>
      <c r="F28" s="73">
        <f>'Year 1 Results'!Q28*-1+('Year 1 Results'!Q28*'Event Trigger'!$E29*(1-'Input Sheet year 2'!J29))</f>
        <v>0</v>
      </c>
      <c r="G28" s="73">
        <f>'Year 1 Results'!R28*-1+('Year 1 Results'!R28*'Event Trigger'!$E29*(1-'Input Sheet year 2'!K29))</f>
        <v>0</v>
      </c>
      <c r="H28" s="73">
        <f>'Year 1 Results'!S28*-1+('Year 1 Results'!S28*'Event Trigger'!$E29*(1-'Input Sheet year 2'!L29))</f>
        <v>0</v>
      </c>
      <c r="I28" s="73">
        <f>'Year 1 Results'!T28*-1+('Year 1 Results'!T28*'Event Trigger'!$E29*(1-'Input Sheet year 2'!M29))</f>
        <v>0</v>
      </c>
      <c r="J28" s="73">
        <f>'Year 1 Results'!U28*-1+('Year 1 Results'!U28*'Event Trigger'!$E29*(1-'Input Sheet year 2'!N29))</f>
        <v>0</v>
      </c>
      <c r="K28" s="73">
        <f>'Year 1 Results'!V28*-1+('Year 1 Results'!V28*'Event Trigger'!$E29*(1-'Input Sheet year 2'!O29))</f>
        <v>0</v>
      </c>
      <c r="L28" s="73">
        <f>'Year 1 Results'!W28*-1+('Year 1 Results'!W28*'Event Trigger'!$E29*(1-'Input Sheet year 2'!P29))</f>
        <v>0</v>
      </c>
      <c r="M28" s="73">
        <f>'Year 1 Results'!X28*-1+('Year 1 Results'!X28*'Event Trigger'!$E29*(1-'Input Sheet year 2'!Q29))</f>
        <v>0</v>
      </c>
      <c r="N28" s="88"/>
      <c r="O28" s="88">
        <f t="shared" si="0"/>
        <v>0</v>
      </c>
      <c r="P28" s="88">
        <f t="shared" si="1"/>
        <v>0</v>
      </c>
      <c r="Q28" s="88">
        <f t="shared" si="2"/>
        <v>0</v>
      </c>
      <c r="R28" s="88">
        <f t="shared" si="3"/>
        <v>0</v>
      </c>
      <c r="S28" s="88">
        <f t="shared" si="4"/>
        <v>0</v>
      </c>
      <c r="T28" s="88">
        <f t="shared" si="5"/>
        <v>0</v>
      </c>
      <c r="U28" s="88">
        <f t="shared" si="6"/>
        <v>0</v>
      </c>
      <c r="V28" s="88">
        <f t="shared" si="7"/>
        <v>0</v>
      </c>
      <c r="W28" s="88">
        <f t="shared" si="8"/>
        <v>0</v>
      </c>
      <c r="X28" s="88">
        <f t="shared" si="9"/>
        <v>0</v>
      </c>
      <c r="Z28" s="51" t="s">
        <v>100</v>
      </c>
      <c r="AA28" s="52">
        <f>IF('Year 1 Results'!AA28*COUNTIF('Event Trigger'!$C:$C,'Year 2 Results'!$Z28)&gt;SUMIF('Event Trigger'!$C:$C,$Z28,D:D),0,'Year 1 Results'!AA28)</f>
        <v>0</v>
      </c>
      <c r="AB28" s="52">
        <f>IF('Year 1 Results'!AB28*COUNTIF('Event Trigger'!$C:$C,'Year 2 Results'!$Z28)&gt;SUMIF('Event Trigger'!$C:$C,$Z28,E:E),0,'Year 1 Results'!AB28)</f>
        <v>0</v>
      </c>
      <c r="AC28" s="52">
        <f>IF('Year 1 Results'!AC28*COUNTIF('Event Trigger'!$C:$C,'Year 2 Results'!$Z28)&gt;SUMIF('Event Trigger'!$C:$C,$Z28,F:F),0,'Year 1 Results'!AC28)</f>
        <v>0</v>
      </c>
      <c r="AD28" s="52">
        <f>IF('Year 1 Results'!AD28*COUNTIF('Event Trigger'!$C:$C,'Year 2 Results'!$Z28)&gt;SUMIF('Event Trigger'!$C:$C,$Z28,G:G),0,'Year 1 Results'!AD28)</f>
        <v>0</v>
      </c>
      <c r="AE28" s="52">
        <f>IF('Year 1 Results'!AE28*COUNTIF('Event Trigger'!$C:$C,'Year 2 Results'!$Z28)&gt;SUMIF('Event Trigger'!$C:$C,$Z28,H:H),0,'Year 1 Results'!AE28)</f>
        <v>0</v>
      </c>
      <c r="AF28" s="52">
        <f>IF('Year 1 Results'!AF28*COUNTIF('Event Trigger'!$C:$C,'Year 2 Results'!$Z28)&gt;SUMIF('Event Trigger'!$C:$C,$Z28,I:I),0,'Year 1 Results'!AF28)</f>
        <v>0</v>
      </c>
      <c r="AG28" s="52">
        <f>IF('Year 1 Results'!AG28*COUNTIF('Event Trigger'!$C:$C,'Year 2 Results'!$Z28)&gt;SUMIF('Event Trigger'!$C:$C,$Z28,J:J),0,'Year 1 Results'!AG28)</f>
        <v>0</v>
      </c>
      <c r="AH28" s="52">
        <f>IF('Year 1 Results'!AH28*COUNTIF('Event Trigger'!$C:$C,'Year 2 Results'!$Z28)&gt;SUMIF('Event Trigger'!$C:$C,$Z28,K:K),0,'Year 1 Results'!AH28)</f>
        <v>0</v>
      </c>
      <c r="AI28" s="52">
        <f>IF('Year 1 Results'!AI28*COUNTIF('Event Trigger'!$C:$C,'Year 2 Results'!$Z28)&gt;SUMIF('Event Trigger'!$C:$C,$Z28,L:L),0,'Year 1 Results'!AI28)</f>
        <v>0</v>
      </c>
      <c r="AJ28" s="52">
        <f>IF('Year 1 Results'!AJ28*COUNTIF('Event Trigger'!$C:$C,'Year 2 Results'!$Z28)&gt;SUMIF('Event Trigger'!$C:$C,$Z28,M:M),0,'Year 1 Results'!AJ28)</f>
        <v>0</v>
      </c>
    </row>
    <row r="29" spans="1:36" x14ac:dyDescent="0.25">
      <c r="A29" s="37" t="str">
        <f>'Risk Master'!B29:B165&amp;"-"&amp;'Risk Master'!D29</f>
        <v>Typhoon-Mumbai</v>
      </c>
      <c r="B29" s="37" t="str">
        <f>'Input Sheet year 2'!B30</f>
        <v>Typhoon-Mumbai</v>
      </c>
      <c r="C29" s="29" t="str">
        <f>'Risk Master'!F29</f>
        <v>A9</v>
      </c>
      <c r="D29" s="73">
        <f>'Year 1 Results'!O29*-1+('Year 1 Results'!O29*'Event Trigger'!$E30*(1-'Input Sheet year 2'!H30))</f>
        <v>0</v>
      </c>
      <c r="E29" s="73">
        <f>'Year 1 Results'!P29*-1+('Year 1 Results'!P29*'Event Trigger'!$E30*(1-'Input Sheet year 2'!I30))</f>
        <v>0</v>
      </c>
      <c r="F29" s="73">
        <f>'Year 1 Results'!Q29*-1+('Year 1 Results'!Q29*'Event Trigger'!$E30*(1-'Input Sheet year 2'!J30))</f>
        <v>0</v>
      </c>
      <c r="G29" s="73">
        <f>'Year 1 Results'!R29*-1+('Year 1 Results'!R29*'Event Trigger'!$E30*(1-'Input Sheet year 2'!K30))</f>
        <v>0</v>
      </c>
      <c r="H29" s="73">
        <f>'Year 1 Results'!S29*-1+('Year 1 Results'!S29*'Event Trigger'!$E30*(1-'Input Sheet year 2'!L30))</f>
        <v>0</v>
      </c>
      <c r="I29" s="73">
        <f>'Year 1 Results'!T29*-1+('Year 1 Results'!T29*'Event Trigger'!$E30*(1-'Input Sheet year 2'!M30))</f>
        <v>0</v>
      </c>
      <c r="J29" s="73">
        <f>'Year 1 Results'!U29*-1+('Year 1 Results'!U29*'Event Trigger'!$E30*(1-'Input Sheet year 2'!N30))</f>
        <v>0</v>
      </c>
      <c r="K29" s="73">
        <f>'Year 1 Results'!V29*-1+('Year 1 Results'!V29*'Event Trigger'!$E30*(1-'Input Sheet year 2'!O30))</f>
        <v>0</v>
      </c>
      <c r="L29" s="73">
        <f>'Year 1 Results'!W29*-1+('Year 1 Results'!W29*'Event Trigger'!$E30*(1-'Input Sheet year 2'!P30))</f>
        <v>0</v>
      </c>
      <c r="M29" s="73">
        <f>'Year 1 Results'!X29*-1+('Year 1 Results'!X29*'Event Trigger'!$E30*(1-'Input Sheet year 2'!Q30))</f>
        <v>0</v>
      </c>
      <c r="N29" s="88"/>
      <c r="O29" s="88">
        <f t="shared" si="0"/>
        <v>0</v>
      </c>
      <c r="P29" s="88">
        <f t="shared" si="1"/>
        <v>0</v>
      </c>
      <c r="Q29" s="88">
        <f t="shared" si="2"/>
        <v>0</v>
      </c>
      <c r="R29" s="88">
        <f t="shared" si="3"/>
        <v>0</v>
      </c>
      <c r="S29" s="88">
        <f t="shared" si="4"/>
        <v>0</v>
      </c>
      <c r="T29" s="88">
        <f t="shared" si="5"/>
        <v>0</v>
      </c>
      <c r="U29" s="88">
        <f t="shared" si="6"/>
        <v>0</v>
      </c>
      <c r="V29" s="88">
        <f t="shared" si="7"/>
        <v>0</v>
      </c>
      <c r="W29" s="88">
        <f t="shared" si="8"/>
        <v>0</v>
      </c>
      <c r="X29" s="88">
        <f t="shared" si="9"/>
        <v>0</v>
      </c>
      <c r="Z29" s="51" t="s">
        <v>101</v>
      </c>
      <c r="AA29" s="52">
        <f>IF('Year 1 Results'!AA29*COUNTIF('Event Trigger'!$C:$C,'Year 2 Results'!$Z29)&gt;SUMIF('Event Trigger'!$C:$C,$Z29,D:D),0,'Year 1 Results'!AA29)</f>
        <v>0</v>
      </c>
      <c r="AB29" s="52">
        <f>IF('Year 1 Results'!AB29*COUNTIF('Event Trigger'!$C:$C,'Year 2 Results'!$Z29)&gt;SUMIF('Event Trigger'!$C:$C,$Z29,E:E),0,'Year 1 Results'!AB29)</f>
        <v>0</v>
      </c>
      <c r="AC29" s="52">
        <f>IF('Year 1 Results'!AC29*COUNTIF('Event Trigger'!$C:$C,'Year 2 Results'!$Z29)&gt;SUMIF('Event Trigger'!$C:$C,$Z29,F:F),0,'Year 1 Results'!AC29)</f>
        <v>0</v>
      </c>
      <c r="AD29" s="52">
        <f>IF('Year 1 Results'!AD29*COUNTIF('Event Trigger'!$C:$C,'Year 2 Results'!$Z29)&gt;SUMIF('Event Trigger'!$C:$C,$Z29,G:G),0,'Year 1 Results'!AD29)</f>
        <v>0</v>
      </c>
      <c r="AE29" s="52">
        <f>IF('Year 1 Results'!AE29*COUNTIF('Event Trigger'!$C:$C,'Year 2 Results'!$Z29)&gt;SUMIF('Event Trigger'!$C:$C,$Z29,H:H),0,'Year 1 Results'!AE29)</f>
        <v>0</v>
      </c>
      <c r="AF29" s="52">
        <f>IF('Year 1 Results'!AF29*COUNTIF('Event Trigger'!$C:$C,'Year 2 Results'!$Z29)&gt;SUMIF('Event Trigger'!$C:$C,$Z29,I:I),0,'Year 1 Results'!AF29)</f>
        <v>0</v>
      </c>
      <c r="AG29" s="52">
        <f>IF('Year 1 Results'!AG29*COUNTIF('Event Trigger'!$C:$C,'Year 2 Results'!$Z29)&gt;SUMIF('Event Trigger'!$C:$C,$Z29,J:J),0,'Year 1 Results'!AG29)</f>
        <v>0</v>
      </c>
      <c r="AH29" s="52">
        <f>IF('Year 1 Results'!AH29*COUNTIF('Event Trigger'!$C:$C,'Year 2 Results'!$Z29)&gt;SUMIF('Event Trigger'!$C:$C,$Z29,K:K),0,'Year 1 Results'!AH29)</f>
        <v>0</v>
      </c>
      <c r="AI29" s="52">
        <f>IF('Year 1 Results'!AI29*COUNTIF('Event Trigger'!$C:$C,'Year 2 Results'!$Z29)&gt;SUMIF('Event Trigger'!$C:$C,$Z29,L:L),0,'Year 1 Results'!AI29)</f>
        <v>0</v>
      </c>
      <c r="AJ29" s="52">
        <f>IF('Year 1 Results'!AJ29*COUNTIF('Event Trigger'!$C:$C,'Year 2 Results'!$Z29)&gt;SUMIF('Event Trigger'!$C:$C,$Z29,M:M),0,'Year 1 Results'!AJ29)</f>
        <v>0</v>
      </c>
    </row>
    <row r="30" spans="1:36" ht="25.5" x14ac:dyDescent="0.25">
      <c r="A30" s="37" t="str">
        <f>'Risk Master'!B30:B166&amp;"-"&amp;'Risk Master'!D30</f>
        <v>Thunderstorms, Tornados &amp; Hail-Mumbai</v>
      </c>
      <c r="B30" s="37" t="str">
        <f>'Input Sheet year 2'!B31</f>
        <v>Thunderstorms, Tornados &amp; Hail-Mumbai</v>
      </c>
      <c r="C30" s="29" t="str">
        <f>'Risk Master'!F30</f>
        <v>A9</v>
      </c>
      <c r="D30" s="73">
        <f>'Year 1 Results'!O30*-1+('Year 1 Results'!O30*'Event Trigger'!$E31*(1-'Input Sheet year 2'!H31))</f>
        <v>0</v>
      </c>
      <c r="E30" s="73">
        <f>'Year 1 Results'!P30*-1+('Year 1 Results'!P30*'Event Trigger'!$E31*(1-'Input Sheet year 2'!I31))</f>
        <v>0</v>
      </c>
      <c r="F30" s="73">
        <f>'Year 1 Results'!Q30*-1+('Year 1 Results'!Q30*'Event Trigger'!$E31*(1-'Input Sheet year 2'!J31))</f>
        <v>0</v>
      </c>
      <c r="G30" s="73">
        <f>'Year 1 Results'!R30*-1+('Year 1 Results'!R30*'Event Trigger'!$E31*(1-'Input Sheet year 2'!K31))</f>
        <v>0</v>
      </c>
      <c r="H30" s="73">
        <f>'Year 1 Results'!S30*-1+('Year 1 Results'!S30*'Event Trigger'!$E31*(1-'Input Sheet year 2'!L31))</f>
        <v>0</v>
      </c>
      <c r="I30" s="73">
        <f>'Year 1 Results'!T30*-1+('Year 1 Results'!T30*'Event Trigger'!$E31*(1-'Input Sheet year 2'!M31))</f>
        <v>0</v>
      </c>
      <c r="J30" s="73">
        <f>'Year 1 Results'!U30*-1+('Year 1 Results'!U30*'Event Trigger'!$E31*(1-'Input Sheet year 2'!N31))</f>
        <v>0</v>
      </c>
      <c r="K30" s="73">
        <f>'Year 1 Results'!V30*-1+('Year 1 Results'!V30*'Event Trigger'!$E31*(1-'Input Sheet year 2'!O31))</f>
        <v>0</v>
      </c>
      <c r="L30" s="73">
        <f>'Year 1 Results'!W30*-1+('Year 1 Results'!W30*'Event Trigger'!$E31*(1-'Input Sheet year 2'!P31))</f>
        <v>0</v>
      </c>
      <c r="M30" s="73">
        <f>'Year 1 Results'!X30*-1+('Year 1 Results'!X30*'Event Trigger'!$E31*(1-'Input Sheet year 2'!Q31))</f>
        <v>0</v>
      </c>
      <c r="N30" s="88"/>
      <c r="O30" s="88">
        <f t="shared" si="0"/>
        <v>0</v>
      </c>
      <c r="P30" s="88">
        <f t="shared" si="1"/>
        <v>0</v>
      </c>
      <c r="Q30" s="88">
        <f t="shared" si="2"/>
        <v>0</v>
      </c>
      <c r="R30" s="88">
        <f t="shared" si="3"/>
        <v>0</v>
      </c>
      <c r="S30" s="88">
        <f t="shared" si="4"/>
        <v>0</v>
      </c>
      <c r="T30" s="88">
        <f t="shared" si="5"/>
        <v>0</v>
      </c>
      <c r="U30" s="88">
        <f t="shared" si="6"/>
        <v>0</v>
      </c>
      <c r="V30" s="88">
        <f t="shared" si="7"/>
        <v>0</v>
      </c>
      <c r="W30" s="88">
        <f t="shared" si="8"/>
        <v>0</v>
      </c>
      <c r="X30" s="88">
        <f t="shared" si="9"/>
        <v>0</v>
      </c>
      <c r="Z30" s="51" t="s">
        <v>102</v>
      </c>
      <c r="AA30" s="52">
        <f>IF('Year 1 Results'!AA30*COUNTIF('Event Trigger'!$C:$C,'Year 2 Results'!$Z30)&gt;SUMIF('Event Trigger'!$C:$C,$Z30,D:D),0,'Year 1 Results'!AA30)</f>
        <v>0</v>
      </c>
      <c r="AB30" s="52">
        <f>IF('Year 1 Results'!AB30*COUNTIF('Event Trigger'!$C:$C,'Year 2 Results'!$Z30)&gt;SUMIF('Event Trigger'!$C:$C,$Z30,E:E),0,'Year 1 Results'!AB30)</f>
        <v>0</v>
      </c>
      <c r="AC30" s="52">
        <f>IF('Year 1 Results'!AC30*COUNTIF('Event Trigger'!$C:$C,'Year 2 Results'!$Z30)&gt;SUMIF('Event Trigger'!$C:$C,$Z30,F:F),0,'Year 1 Results'!AC30)</f>
        <v>0</v>
      </c>
      <c r="AD30" s="52">
        <f>IF('Year 1 Results'!AD30*COUNTIF('Event Trigger'!$C:$C,'Year 2 Results'!$Z30)&gt;SUMIF('Event Trigger'!$C:$C,$Z30,G:G),0,'Year 1 Results'!AD30)</f>
        <v>0</v>
      </c>
      <c r="AE30" s="52">
        <f>IF('Year 1 Results'!AE30*COUNTIF('Event Trigger'!$C:$C,'Year 2 Results'!$Z30)&gt;SUMIF('Event Trigger'!$C:$C,$Z30,H:H),0,'Year 1 Results'!AE30)</f>
        <v>0</v>
      </c>
      <c r="AF30" s="52">
        <f>IF('Year 1 Results'!AF30*COUNTIF('Event Trigger'!$C:$C,'Year 2 Results'!$Z30)&gt;SUMIF('Event Trigger'!$C:$C,$Z30,I:I),0,'Year 1 Results'!AF30)</f>
        <v>0</v>
      </c>
      <c r="AG30" s="52">
        <f>IF('Year 1 Results'!AG30*COUNTIF('Event Trigger'!$C:$C,'Year 2 Results'!$Z30)&gt;SUMIF('Event Trigger'!$C:$C,$Z30,J:J),0,'Year 1 Results'!AG30)</f>
        <v>0</v>
      </c>
      <c r="AH30" s="52">
        <f>IF('Year 1 Results'!AH30*COUNTIF('Event Trigger'!$C:$C,'Year 2 Results'!$Z30)&gt;SUMIF('Event Trigger'!$C:$C,$Z30,K:K),0,'Year 1 Results'!AH30)</f>
        <v>0</v>
      </c>
      <c r="AI30" s="52">
        <f>IF('Year 1 Results'!AI30*COUNTIF('Event Trigger'!$C:$C,'Year 2 Results'!$Z30)&gt;SUMIF('Event Trigger'!$C:$C,$Z30,L:L),0,'Year 1 Results'!AI30)</f>
        <v>0</v>
      </c>
      <c r="AJ30" s="52">
        <f>IF('Year 1 Results'!AJ30*COUNTIF('Event Trigger'!$C:$C,'Year 2 Results'!$Z30)&gt;SUMIF('Event Trigger'!$C:$C,$Z30,M:M),0,'Year 1 Results'!AJ30)</f>
        <v>0</v>
      </c>
    </row>
    <row r="31" spans="1:36" x14ac:dyDescent="0.25">
      <c r="A31" s="37" t="str">
        <f>'Risk Master'!B31:B167&amp;"-"&amp;'Risk Master'!D31</f>
        <v>Tsunami-Mumbai</v>
      </c>
      <c r="B31" s="37" t="str">
        <f>'Input Sheet year 2'!B32</f>
        <v>Tsunami-Mumbai</v>
      </c>
      <c r="C31" s="29" t="str">
        <f>'Risk Master'!F31</f>
        <v>A9</v>
      </c>
      <c r="D31" s="73">
        <f>'Year 1 Results'!O31*-1+('Year 1 Results'!O31*'Event Trigger'!$E32*(1-'Input Sheet year 2'!H32))</f>
        <v>0</v>
      </c>
      <c r="E31" s="73">
        <f>'Year 1 Results'!P31*-1+('Year 1 Results'!P31*'Event Trigger'!$E32*(1-'Input Sheet year 2'!I32))</f>
        <v>0</v>
      </c>
      <c r="F31" s="73">
        <f>'Year 1 Results'!Q31*-1+('Year 1 Results'!Q31*'Event Trigger'!$E32*(1-'Input Sheet year 2'!J32))</f>
        <v>0</v>
      </c>
      <c r="G31" s="73">
        <f>'Year 1 Results'!R31*-1+('Year 1 Results'!R31*'Event Trigger'!$E32*(1-'Input Sheet year 2'!K32))</f>
        <v>0</v>
      </c>
      <c r="H31" s="73">
        <f>'Year 1 Results'!S31*-1+('Year 1 Results'!S31*'Event Trigger'!$E32*(1-'Input Sheet year 2'!L32))</f>
        <v>0</v>
      </c>
      <c r="I31" s="73">
        <f>'Year 1 Results'!T31*-1+('Year 1 Results'!T31*'Event Trigger'!$E32*(1-'Input Sheet year 2'!M32))</f>
        <v>0</v>
      </c>
      <c r="J31" s="73">
        <f>'Year 1 Results'!U31*-1+('Year 1 Results'!U31*'Event Trigger'!$E32*(1-'Input Sheet year 2'!N32))</f>
        <v>0</v>
      </c>
      <c r="K31" s="73">
        <f>'Year 1 Results'!V31*-1+('Year 1 Results'!V31*'Event Trigger'!$E32*(1-'Input Sheet year 2'!O32))</f>
        <v>0</v>
      </c>
      <c r="L31" s="73">
        <f>'Year 1 Results'!W31*-1+('Year 1 Results'!W31*'Event Trigger'!$E32*(1-'Input Sheet year 2'!P32))</f>
        <v>0</v>
      </c>
      <c r="M31" s="73">
        <f>'Year 1 Results'!X31*-1+('Year 1 Results'!X31*'Event Trigger'!$E32*(1-'Input Sheet year 2'!Q32))</f>
        <v>0</v>
      </c>
      <c r="N31" s="88"/>
      <c r="O31" s="88">
        <f t="shared" si="0"/>
        <v>0</v>
      </c>
      <c r="P31" s="88">
        <f t="shared" si="1"/>
        <v>0</v>
      </c>
      <c r="Q31" s="88">
        <f t="shared" si="2"/>
        <v>0</v>
      </c>
      <c r="R31" s="88">
        <f t="shared" si="3"/>
        <v>0</v>
      </c>
      <c r="S31" s="88">
        <f t="shared" si="4"/>
        <v>0</v>
      </c>
      <c r="T31" s="88">
        <f t="shared" si="5"/>
        <v>0</v>
      </c>
      <c r="U31" s="88">
        <f t="shared" si="6"/>
        <v>0</v>
      </c>
      <c r="V31" s="88">
        <f t="shared" si="7"/>
        <v>0</v>
      </c>
      <c r="W31" s="88">
        <f t="shared" si="8"/>
        <v>0</v>
      </c>
      <c r="X31" s="88">
        <f t="shared" si="9"/>
        <v>0</v>
      </c>
      <c r="Z31" s="51" t="s">
        <v>103</v>
      </c>
      <c r="AA31" s="52">
        <f>IF('Year 1 Results'!AA31*COUNTIF('Event Trigger'!$C:$C,'Year 2 Results'!$Z31)&gt;SUMIF('Event Trigger'!$C:$C,$Z31,D:D),0,'Year 1 Results'!AA31)</f>
        <v>0</v>
      </c>
      <c r="AB31" s="52">
        <f>IF('Year 1 Results'!AB31*COUNTIF('Event Trigger'!$C:$C,'Year 2 Results'!$Z31)&gt;SUMIF('Event Trigger'!$C:$C,$Z31,E:E),0,'Year 1 Results'!AB31)</f>
        <v>0</v>
      </c>
      <c r="AC31" s="52">
        <f>IF('Year 1 Results'!AC31*COUNTIF('Event Trigger'!$C:$C,'Year 2 Results'!$Z31)&gt;SUMIF('Event Trigger'!$C:$C,$Z31,F:F),0,'Year 1 Results'!AC31)</f>
        <v>0</v>
      </c>
      <c r="AD31" s="52">
        <f>IF('Year 1 Results'!AD31*COUNTIF('Event Trigger'!$C:$C,'Year 2 Results'!$Z31)&gt;SUMIF('Event Trigger'!$C:$C,$Z31,G:G),0,'Year 1 Results'!AD31)</f>
        <v>0</v>
      </c>
      <c r="AE31" s="52">
        <f>IF('Year 1 Results'!AE31*COUNTIF('Event Trigger'!$C:$C,'Year 2 Results'!$Z31)&gt;SUMIF('Event Trigger'!$C:$C,$Z31,H:H),0,'Year 1 Results'!AE31)</f>
        <v>0</v>
      </c>
      <c r="AF31" s="52">
        <f>IF('Year 1 Results'!AF31*COUNTIF('Event Trigger'!$C:$C,'Year 2 Results'!$Z31)&gt;SUMIF('Event Trigger'!$C:$C,$Z31,I:I),0,'Year 1 Results'!AF31)</f>
        <v>0</v>
      </c>
      <c r="AG31" s="52">
        <f>IF('Year 1 Results'!AG31*COUNTIF('Event Trigger'!$C:$C,'Year 2 Results'!$Z31)&gt;SUMIF('Event Trigger'!$C:$C,$Z31,J:J),0,'Year 1 Results'!AG31)</f>
        <v>0</v>
      </c>
      <c r="AH31" s="52">
        <f>IF('Year 1 Results'!AH31*COUNTIF('Event Trigger'!$C:$C,'Year 2 Results'!$Z31)&gt;SUMIF('Event Trigger'!$C:$C,$Z31,K:K),0,'Year 1 Results'!AH31)</f>
        <v>0</v>
      </c>
      <c r="AI31" s="52">
        <f>IF('Year 1 Results'!AI31*COUNTIF('Event Trigger'!$C:$C,'Year 2 Results'!$Z31)&gt;SUMIF('Event Trigger'!$C:$C,$Z31,L:L),0,'Year 1 Results'!AI31)</f>
        <v>0</v>
      </c>
      <c r="AJ31" s="52">
        <f>IF('Year 1 Results'!AJ31*COUNTIF('Event Trigger'!$C:$C,'Year 2 Results'!$Z31)&gt;SUMIF('Event Trigger'!$C:$C,$Z31,M:M),0,'Year 1 Results'!AJ31)</f>
        <v>0</v>
      </c>
    </row>
    <row r="32" spans="1:36" ht="25.5" x14ac:dyDescent="0.25">
      <c r="A32" s="37" t="str">
        <f>'Risk Master'!B32:B168&amp;"-"&amp;'Risk Master'!D32</f>
        <v>High tide and high rainfalls leading to large floods-Mumbai</v>
      </c>
      <c r="B32" s="37" t="str">
        <f>'Input Sheet year 2'!B33</f>
        <v>Flood-Mumbai</v>
      </c>
      <c r="C32" s="29" t="str">
        <f>'Risk Master'!F32</f>
        <v>A10</v>
      </c>
      <c r="D32" s="73">
        <f>'Year 1 Results'!O32*-1+('Year 1 Results'!O32*'Event Trigger'!$E33*(1-'Input Sheet year 2'!H33))</f>
        <v>0</v>
      </c>
      <c r="E32" s="73">
        <f>'Year 1 Results'!P32*-1+('Year 1 Results'!P32*'Event Trigger'!$E33*(1-'Input Sheet year 2'!I33))</f>
        <v>0</v>
      </c>
      <c r="F32" s="73">
        <f>'Year 1 Results'!Q32*-1+('Year 1 Results'!Q32*'Event Trigger'!$E33*(1-'Input Sheet year 2'!J33))</f>
        <v>0</v>
      </c>
      <c r="G32" s="73">
        <f>'Year 1 Results'!R32*-1+('Year 1 Results'!R32*'Event Trigger'!$E33*(1-'Input Sheet year 2'!K33))</f>
        <v>0</v>
      </c>
      <c r="H32" s="73">
        <f>'Year 1 Results'!S32*-1+('Year 1 Results'!S32*'Event Trigger'!$E33*(1-'Input Sheet year 2'!L33))</f>
        <v>0</v>
      </c>
      <c r="I32" s="73">
        <f>'Year 1 Results'!T32*-1+('Year 1 Results'!T32*'Event Trigger'!$E33*(1-'Input Sheet year 2'!M33))</f>
        <v>0</v>
      </c>
      <c r="J32" s="73">
        <f>'Year 1 Results'!U32*-1+('Year 1 Results'!U32*'Event Trigger'!$E33*(1-'Input Sheet year 2'!N33))</f>
        <v>0</v>
      </c>
      <c r="K32" s="73">
        <f>'Year 1 Results'!V32*-1+('Year 1 Results'!V32*'Event Trigger'!$E33*(1-'Input Sheet year 2'!O33))</f>
        <v>0</v>
      </c>
      <c r="L32" s="73">
        <f>'Year 1 Results'!W32*-1+('Year 1 Results'!W32*'Event Trigger'!$E33*(1-'Input Sheet year 2'!P33))</f>
        <v>0</v>
      </c>
      <c r="M32" s="73">
        <f>'Year 1 Results'!X32*-1+('Year 1 Results'!X32*'Event Trigger'!$E33*(1-'Input Sheet year 2'!Q33))</f>
        <v>0</v>
      </c>
      <c r="N32" s="88"/>
      <c r="O32" s="88">
        <f t="shared" si="0"/>
        <v>0</v>
      </c>
      <c r="P32" s="88">
        <f t="shared" si="1"/>
        <v>0</v>
      </c>
      <c r="Q32" s="88">
        <f t="shared" si="2"/>
        <v>0</v>
      </c>
      <c r="R32" s="88">
        <f t="shared" si="3"/>
        <v>0</v>
      </c>
      <c r="S32" s="88">
        <f t="shared" si="4"/>
        <v>0</v>
      </c>
      <c r="T32" s="88">
        <f t="shared" si="5"/>
        <v>0</v>
      </c>
      <c r="U32" s="88">
        <f t="shared" si="6"/>
        <v>0</v>
      </c>
      <c r="V32" s="88">
        <f t="shared" si="7"/>
        <v>0</v>
      </c>
      <c r="W32" s="88">
        <f t="shared" si="8"/>
        <v>0</v>
      </c>
      <c r="X32" s="88">
        <f t="shared" si="9"/>
        <v>0</v>
      </c>
      <c r="Z32" s="51" t="s">
        <v>104</v>
      </c>
      <c r="AA32" s="52">
        <f>IF('Year 1 Results'!AA32*COUNTIF('Event Trigger'!$C:$C,'Year 2 Results'!$Z32)&gt;SUMIF('Event Trigger'!$C:$C,$Z32,D:D),0,'Year 1 Results'!AA32)</f>
        <v>0</v>
      </c>
      <c r="AB32" s="52">
        <f>IF('Year 1 Results'!AB32*COUNTIF('Event Trigger'!$C:$C,'Year 2 Results'!$Z32)&gt;SUMIF('Event Trigger'!$C:$C,$Z32,E:E),0,'Year 1 Results'!AB32)</f>
        <v>0</v>
      </c>
      <c r="AC32" s="52">
        <f>IF('Year 1 Results'!AC32*COUNTIF('Event Trigger'!$C:$C,'Year 2 Results'!$Z32)&gt;SUMIF('Event Trigger'!$C:$C,$Z32,F:F),0,'Year 1 Results'!AC32)</f>
        <v>0</v>
      </c>
      <c r="AD32" s="52">
        <f>IF('Year 1 Results'!AD32*COUNTIF('Event Trigger'!$C:$C,'Year 2 Results'!$Z32)&gt;SUMIF('Event Trigger'!$C:$C,$Z32,G:G),0,'Year 1 Results'!AD32)</f>
        <v>0</v>
      </c>
      <c r="AE32" s="52">
        <f>IF('Year 1 Results'!AE32*COUNTIF('Event Trigger'!$C:$C,'Year 2 Results'!$Z32)&gt;SUMIF('Event Trigger'!$C:$C,$Z32,H:H),0,'Year 1 Results'!AE32)</f>
        <v>0</v>
      </c>
      <c r="AF32" s="52">
        <f>IF('Year 1 Results'!AF32*COUNTIF('Event Trigger'!$C:$C,'Year 2 Results'!$Z32)&gt;SUMIF('Event Trigger'!$C:$C,$Z32,I:I),0,'Year 1 Results'!AF32)</f>
        <v>0</v>
      </c>
      <c r="AG32" s="52">
        <f>IF('Year 1 Results'!AG32*COUNTIF('Event Trigger'!$C:$C,'Year 2 Results'!$Z32)&gt;SUMIF('Event Trigger'!$C:$C,$Z32,J:J),0,'Year 1 Results'!AG32)</f>
        <v>0</v>
      </c>
      <c r="AH32" s="52">
        <f>IF('Year 1 Results'!AH32*COUNTIF('Event Trigger'!$C:$C,'Year 2 Results'!$Z32)&gt;SUMIF('Event Trigger'!$C:$C,$Z32,K:K),0,'Year 1 Results'!AH32)</f>
        <v>0</v>
      </c>
      <c r="AI32" s="52">
        <f>IF('Year 1 Results'!AI32*COUNTIF('Event Trigger'!$C:$C,'Year 2 Results'!$Z32)&gt;SUMIF('Event Trigger'!$C:$C,$Z32,L:L),0,'Year 1 Results'!AI32)</f>
        <v>0</v>
      </c>
      <c r="AJ32" s="52">
        <f>IF('Year 1 Results'!AJ32*COUNTIF('Event Trigger'!$C:$C,'Year 2 Results'!$Z32)&gt;SUMIF('Event Trigger'!$C:$C,$Z32,M:M),0,'Year 1 Results'!AJ32)</f>
        <v>0</v>
      </c>
    </row>
    <row r="33" spans="1:36" x14ac:dyDescent="0.25">
      <c r="A33" s="37" t="str">
        <f>'Risk Master'!B33:B169&amp;"-"&amp;'Risk Master'!D33</f>
        <v>Earthquake-Mumbai</v>
      </c>
      <c r="B33" s="37" t="str">
        <f>'Input Sheet year 2'!B34</f>
        <v>Earthquake-Mumbai</v>
      </c>
      <c r="C33" s="29" t="str">
        <f>'Risk Master'!F33</f>
        <v>A10</v>
      </c>
      <c r="D33" s="73">
        <f>'Year 1 Results'!O33*-1+('Year 1 Results'!O33*'Event Trigger'!$E34*(1-'Input Sheet year 2'!H34))</f>
        <v>0</v>
      </c>
      <c r="E33" s="73">
        <f>'Year 1 Results'!P33*-1+('Year 1 Results'!P33*'Event Trigger'!$E34*(1-'Input Sheet year 2'!I34))</f>
        <v>0</v>
      </c>
      <c r="F33" s="73">
        <f>'Year 1 Results'!Q33*-1+('Year 1 Results'!Q33*'Event Trigger'!$E34*(1-'Input Sheet year 2'!J34))</f>
        <v>0</v>
      </c>
      <c r="G33" s="73">
        <f>'Year 1 Results'!R33*-1+('Year 1 Results'!R33*'Event Trigger'!$E34*(1-'Input Sheet year 2'!K34))</f>
        <v>0</v>
      </c>
      <c r="H33" s="73">
        <f>'Year 1 Results'!S33*-1+('Year 1 Results'!S33*'Event Trigger'!$E34*(1-'Input Sheet year 2'!L34))</f>
        <v>0</v>
      </c>
      <c r="I33" s="73">
        <f>'Year 1 Results'!T33*-1+('Year 1 Results'!T33*'Event Trigger'!$E34*(1-'Input Sheet year 2'!M34))</f>
        <v>0</v>
      </c>
      <c r="J33" s="73">
        <f>'Year 1 Results'!U33*-1+('Year 1 Results'!U33*'Event Trigger'!$E34*(1-'Input Sheet year 2'!N34))</f>
        <v>0</v>
      </c>
      <c r="K33" s="73">
        <f>'Year 1 Results'!V33*-1+('Year 1 Results'!V33*'Event Trigger'!$E34*(1-'Input Sheet year 2'!O34))</f>
        <v>0</v>
      </c>
      <c r="L33" s="73">
        <f>'Year 1 Results'!W33*-1+('Year 1 Results'!W33*'Event Trigger'!$E34*(1-'Input Sheet year 2'!P34))</f>
        <v>0</v>
      </c>
      <c r="M33" s="73">
        <f>'Year 1 Results'!X33*-1+('Year 1 Results'!X33*'Event Trigger'!$E34*(1-'Input Sheet year 2'!Q34))</f>
        <v>0</v>
      </c>
      <c r="N33" s="88"/>
      <c r="O33" s="88">
        <f t="shared" si="0"/>
        <v>0</v>
      </c>
      <c r="P33" s="88">
        <f t="shared" si="1"/>
        <v>0</v>
      </c>
      <c r="Q33" s="88">
        <f t="shared" si="2"/>
        <v>0</v>
      </c>
      <c r="R33" s="88">
        <f t="shared" si="3"/>
        <v>0</v>
      </c>
      <c r="S33" s="88">
        <f t="shared" si="4"/>
        <v>0</v>
      </c>
      <c r="T33" s="88">
        <f t="shared" si="5"/>
        <v>0</v>
      </c>
      <c r="U33" s="88">
        <f t="shared" si="6"/>
        <v>0</v>
      </c>
      <c r="V33" s="88">
        <f t="shared" si="7"/>
        <v>0</v>
      </c>
      <c r="W33" s="88">
        <f t="shared" si="8"/>
        <v>0</v>
      </c>
      <c r="X33" s="88">
        <f t="shared" si="9"/>
        <v>0</v>
      </c>
      <c r="Z33" s="51" t="s">
        <v>105</v>
      </c>
      <c r="AA33" s="52">
        <f>IF('Year 1 Results'!AA33*COUNTIF('Event Trigger'!$C:$C,'Year 2 Results'!$Z33)&gt;SUMIF('Event Trigger'!$C:$C,$Z33,D:D),0,'Year 1 Results'!AA33)</f>
        <v>0</v>
      </c>
      <c r="AB33" s="52">
        <f>IF('Year 1 Results'!AB33*COUNTIF('Event Trigger'!$C:$C,'Year 2 Results'!$Z33)&gt;SUMIF('Event Trigger'!$C:$C,$Z33,E:E),0,'Year 1 Results'!AB33)</f>
        <v>0</v>
      </c>
      <c r="AC33" s="52">
        <f>IF('Year 1 Results'!AC33*COUNTIF('Event Trigger'!$C:$C,'Year 2 Results'!$Z33)&gt;SUMIF('Event Trigger'!$C:$C,$Z33,F:F),0,'Year 1 Results'!AC33)</f>
        <v>0</v>
      </c>
      <c r="AD33" s="52">
        <f>IF('Year 1 Results'!AD33*COUNTIF('Event Trigger'!$C:$C,'Year 2 Results'!$Z33)&gt;SUMIF('Event Trigger'!$C:$C,$Z33,G:G),0,'Year 1 Results'!AD33)</f>
        <v>0</v>
      </c>
      <c r="AE33" s="52">
        <f>IF('Year 1 Results'!AE33*COUNTIF('Event Trigger'!$C:$C,'Year 2 Results'!$Z33)&gt;SUMIF('Event Trigger'!$C:$C,$Z33,H:H),0,'Year 1 Results'!AE33)</f>
        <v>0</v>
      </c>
      <c r="AF33" s="52">
        <f>IF('Year 1 Results'!AF33*COUNTIF('Event Trigger'!$C:$C,'Year 2 Results'!$Z33)&gt;SUMIF('Event Trigger'!$C:$C,$Z33,I:I),0,'Year 1 Results'!AF33)</f>
        <v>0</v>
      </c>
      <c r="AG33" s="52">
        <f>IF('Year 1 Results'!AG33*COUNTIF('Event Trigger'!$C:$C,'Year 2 Results'!$Z33)&gt;SUMIF('Event Trigger'!$C:$C,$Z33,J:J),0,'Year 1 Results'!AG33)</f>
        <v>0</v>
      </c>
      <c r="AH33" s="52">
        <f>IF('Year 1 Results'!AH33*COUNTIF('Event Trigger'!$C:$C,'Year 2 Results'!$Z33)&gt;SUMIF('Event Trigger'!$C:$C,$Z33,K:K),0,'Year 1 Results'!AH33)</f>
        <v>0</v>
      </c>
      <c r="AI33" s="52">
        <f>IF('Year 1 Results'!AI33*COUNTIF('Event Trigger'!$C:$C,'Year 2 Results'!$Z33)&gt;SUMIF('Event Trigger'!$C:$C,$Z33,L:L),0,'Year 1 Results'!AI33)</f>
        <v>0</v>
      </c>
      <c r="AJ33" s="52">
        <f>IF('Year 1 Results'!AJ33*COUNTIF('Event Trigger'!$C:$C,'Year 2 Results'!$Z33)&gt;SUMIF('Event Trigger'!$C:$C,$Z33,M:M),0,'Year 1 Results'!AJ33)</f>
        <v>0</v>
      </c>
    </row>
    <row r="34" spans="1:36" x14ac:dyDescent="0.25">
      <c r="A34" s="37" t="str">
        <f>'Risk Master'!B34:B170&amp;"-"&amp;'Risk Master'!D34</f>
        <v>Fire-Mumbai</v>
      </c>
      <c r="B34" s="37" t="str">
        <f>'Input Sheet year 2'!B35</f>
        <v>Fire-Mumbai</v>
      </c>
      <c r="C34" s="29" t="str">
        <f>'Risk Master'!F34</f>
        <v>A10</v>
      </c>
      <c r="D34" s="73">
        <f>'Year 1 Results'!O34*-1+('Year 1 Results'!O34*'Event Trigger'!$E35*(1-'Input Sheet year 2'!H35))</f>
        <v>0</v>
      </c>
      <c r="E34" s="73">
        <f>'Year 1 Results'!P34*-1+('Year 1 Results'!P34*'Event Trigger'!$E35*(1-'Input Sheet year 2'!I35))</f>
        <v>0</v>
      </c>
      <c r="F34" s="73">
        <f>'Year 1 Results'!Q34*-1+('Year 1 Results'!Q34*'Event Trigger'!$E35*(1-'Input Sheet year 2'!J35))</f>
        <v>0</v>
      </c>
      <c r="G34" s="73">
        <f>'Year 1 Results'!R34*-1+('Year 1 Results'!R34*'Event Trigger'!$E35*(1-'Input Sheet year 2'!K35))</f>
        <v>0</v>
      </c>
      <c r="H34" s="73">
        <f>'Year 1 Results'!S34*-1+('Year 1 Results'!S34*'Event Trigger'!$E35*(1-'Input Sheet year 2'!L35))</f>
        <v>0</v>
      </c>
      <c r="I34" s="73">
        <f>'Year 1 Results'!T34*-1+('Year 1 Results'!T34*'Event Trigger'!$E35*(1-'Input Sheet year 2'!M35))</f>
        <v>0</v>
      </c>
      <c r="J34" s="73">
        <f>'Year 1 Results'!U34*-1+('Year 1 Results'!U34*'Event Trigger'!$E35*(1-'Input Sheet year 2'!N35))</f>
        <v>0</v>
      </c>
      <c r="K34" s="73">
        <f>'Year 1 Results'!V34*-1+('Year 1 Results'!V34*'Event Trigger'!$E35*(1-'Input Sheet year 2'!O35))</f>
        <v>0</v>
      </c>
      <c r="L34" s="73">
        <f>'Year 1 Results'!W34*-1+('Year 1 Results'!W34*'Event Trigger'!$E35*(1-'Input Sheet year 2'!P35))</f>
        <v>0</v>
      </c>
      <c r="M34" s="73">
        <f>'Year 1 Results'!X34*-1+('Year 1 Results'!X34*'Event Trigger'!$E35*(1-'Input Sheet year 2'!Q35))</f>
        <v>0</v>
      </c>
      <c r="N34" s="88"/>
      <c r="O34" s="88">
        <f t="shared" si="0"/>
        <v>0</v>
      </c>
      <c r="P34" s="88">
        <f t="shared" si="1"/>
        <v>0</v>
      </c>
      <c r="Q34" s="88">
        <f t="shared" si="2"/>
        <v>0</v>
      </c>
      <c r="R34" s="88">
        <f t="shared" si="3"/>
        <v>0</v>
      </c>
      <c r="S34" s="88">
        <f t="shared" si="4"/>
        <v>0</v>
      </c>
      <c r="T34" s="88">
        <f t="shared" si="5"/>
        <v>0</v>
      </c>
      <c r="U34" s="88">
        <f t="shared" si="6"/>
        <v>0</v>
      </c>
      <c r="V34" s="88">
        <f t="shared" si="7"/>
        <v>0</v>
      </c>
      <c r="W34" s="88">
        <f t="shared" si="8"/>
        <v>0</v>
      </c>
      <c r="X34" s="88">
        <f t="shared" si="9"/>
        <v>0</v>
      </c>
      <c r="Z34" s="51" t="s">
        <v>106</v>
      </c>
      <c r="AA34" s="52">
        <f>IF('Year 1 Results'!AA34*COUNTIF('Event Trigger'!$C:$C,'Year 2 Results'!$Z34)&gt;SUMIF('Event Trigger'!$C:$C,$Z34,D:D),0,'Year 1 Results'!AA34)</f>
        <v>400000</v>
      </c>
      <c r="AB34" s="52">
        <f>IF('Year 1 Results'!AB34*COUNTIF('Event Trigger'!$C:$C,'Year 2 Results'!$Z34)&gt;SUMIF('Event Trigger'!$C:$C,$Z34,E:E),0,'Year 1 Results'!AB34)</f>
        <v>0</v>
      </c>
      <c r="AC34" s="52">
        <f>IF('Year 1 Results'!AC34*COUNTIF('Event Trigger'!$C:$C,'Year 2 Results'!$Z34)&gt;SUMIF('Event Trigger'!$C:$C,$Z34,F:F),0,'Year 1 Results'!AC34)</f>
        <v>0</v>
      </c>
      <c r="AD34" s="52">
        <f>IF('Year 1 Results'!AD34*COUNTIF('Event Trigger'!$C:$C,'Year 2 Results'!$Z34)&gt;SUMIF('Event Trigger'!$C:$C,$Z34,G:G),0,'Year 1 Results'!AD34)</f>
        <v>0</v>
      </c>
      <c r="AE34" s="52">
        <f>IF('Year 1 Results'!AE34*COUNTIF('Event Trigger'!$C:$C,'Year 2 Results'!$Z34)&gt;SUMIF('Event Trigger'!$C:$C,$Z34,H:H),0,'Year 1 Results'!AE34)</f>
        <v>0</v>
      </c>
      <c r="AF34" s="52">
        <f>IF('Year 1 Results'!AF34*COUNTIF('Event Trigger'!$C:$C,'Year 2 Results'!$Z34)&gt;SUMIF('Event Trigger'!$C:$C,$Z34,I:I),0,'Year 1 Results'!AF34)</f>
        <v>0</v>
      </c>
      <c r="AG34" s="52">
        <f>IF('Year 1 Results'!AG34*COUNTIF('Event Trigger'!$C:$C,'Year 2 Results'!$Z34)&gt;SUMIF('Event Trigger'!$C:$C,$Z34,J:J),0,'Year 1 Results'!AG34)</f>
        <v>400000</v>
      </c>
      <c r="AH34" s="52">
        <f>IF('Year 1 Results'!AH34*COUNTIF('Event Trigger'!$C:$C,'Year 2 Results'!$Z34)&gt;SUMIF('Event Trigger'!$C:$C,$Z34,K:K),0,'Year 1 Results'!AH34)</f>
        <v>0</v>
      </c>
      <c r="AI34" s="52">
        <f>IF('Year 1 Results'!AI34*COUNTIF('Event Trigger'!$C:$C,'Year 2 Results'!$Z34)&gt;SUMIF('Event Trigger'!$C:$C,$Z34,L:L),0,'Year 1 Results'!AI34)</f>
        <v>0</v>
      </c>
      <c r="AJ34" s="52">
        <f>IF('Year 1 Results'!AJ34*COUNTIF('Event Trigger'!$C:$C,'Year 2 Results'!$Z34)&gt;SUMIF('Event Trigger'!$C:$C,$Z34,M:M),0,'Year 1 Results'!AJ34)</f>
        <v>0</v>
      </c>
    </row>
    <row r="35" spans="1:36" x14ac:dyDescent="0.25">
      <c r="A35" s="37" t="str">
        <f>'Risk Master'!B35:B170&amp;"-"&amp;'Risk Master'!D35</f>
        <v>Terror Attack-Mumbai</v>
      </c>
      <c r="B35" s="37" t="str">
        <f>'Input Sheet year 2'!B36</f>
        <v>Terror Attack-Mumbai</v>
      </c>
      <c r="C35" s="29" t="str">
        <f>'Risk Master'!F35</f>
        <v>A10</v>
      </c>
      <c r="D35" s="73">
        <f>'Year 1 Results'!O35*-1+('Year 1 Results'!O35*'Event Trigger'!$E36*(1-'Input Sheet year 2'!H36))</f>
        <v>0</v>
      </c>
      <c r="E35" s="73">
        <f>'Year 1 Results'!P35*-1+('Year 1 Results'!P35*'Event Trigger'!$E36*(1-'Input Sheet year 2'!I36))</f>
        <v>0</v>
      </c>
      <c r="F35" s="73">
        <f>'Year 1 Results'!Q35*-1+('Year 1 Results'!Q35*'Event Trigger'!$E36*(1-'Input Sheet year 2'!J36))</f>
        <v>0</v>
      </c>
      <c r="G35" s="73">
        <f>'Year 1 Results'!R35*-1+('Year 1 Results'!R35*'Event Trigger'!$E36*(1-'Input Sheet year 2'!K36))</f>
        <v>0</v>
      </c>
      <c r="H35" s="73">
        <f>'Year 1 Results'!S35*-1+('Year 1 Results'!S35*'Event Trigger'!$E36*(1-'Input Sheet year 2'!L36))</f>
        <v>0</v>
      </c>
      <c r="I35" s="73">
        <f>'Year 1 Results'!T35*-1+('Year 1 Results'!T35*'Event Trigger'!$E36*(1-'Input Sheet year 2'!M36))</f>
        <v>0</v>
      </c>
      <c r="J35" s="73">
        <f>'Year 1 Results'!U35*-1+('Year 1 Results'!U35*'Event Trigger'!$E36*(1-'Input Sheet year 2'!N36))</f>
        <v>0</v>
      </c>
      <c r="K35" s="73">
        <f>'Year 1 Results'!V35*-1+('Year 1 Results'!V35*'Event Trigger'!$E36*(1-'Input Sheet year 2'!O36))</f>
        <v>0</v>
      </c>
      <c r="L35" s="73">
        <f>'Year 1 Results'!W35*-1+('Year 1 Results'!W35*'Event Trigger'!$E36*(1-'Input Sheet year 2'!P36))</f>
        <v>0</v>
      </c>
      <c r="M35" s="73">
        <f>'Year 1 Results'!X35*-1+('Year 1 Results'!X35*'Event Trigger'!$E36*(1-'Input Sheet year 2'!Q36))</f>
        <v>0</v>
      </c>
      <c r="N35" s="88"/>
      <c r="O35" s="88">
        <f t="shared" si="0"/>
        <v>0</v>
      </c>
      <c r="P35" s="88">
        <f t="shared" si="1"/>
        <v>0</v>
      </c>
      <c r="Q35" s="88">
        <f t="shared" si="2"/>
        <v>0</v>
      </c>
      <c r="R35" s="88">
        <f t="shared" si="3"/>
        <v>0</v>
      </c>
      <c r="S35" s="88">
        <f t="shared" si="4"/>
        <v>0</v>
      </c>
      <c r="T35" s="88">
        <f t="shared" si="5"/>
        <v>0</v>
      </c>
      <c r="U35" s="88">
        <f t="shared" si="6"/>
        <v>0</v>
      </c>
      <c r="V35" s="88">
        <f t="shared" si="7"/>
        <v>0</v>
      </c>
      <c r="W35" s="88">
        <f t="shared" si="8"/>
        <v>0</v>
      </c>
      <c r="X35" s="88">
        <f t="shared" si="9"/>
        <v>0</v>
      </c>
      <c r="Z35" s="51" t="s">
        <v>107</v>
      </c>
      <c r="AA35" s="52">
        <f>IF('Year 1 Results'!AA35*COUNTIF('Event Trigger'!$C:$C,'Year 2 Results'!$Z35)&gt;SUMIF('Event Trigger'!$C:$C,$Z35,D:D),0,'Year 1 Results'!AA35)</f>
        <v>0</v>
      </c>
      <c r="AB35" s="52">
        <f>IF('Year 1 Results'!AB35*COUNTIF('Event Trigger'!$C:$C,'Year 2 Results'!$Z35)&gt;SUMIF('Event Trigger'!$C:$C,$Z35,E:E),0,'Year 1 Results'!AB35)</f>
        <v>0</v>
      </c>
      <c r="AC35" s="52">
        <f>IF('Year 1 Results'!AC35*COUNTIF('Event Trigger'!$C:$C,'Year 2 Results'!$Z35)&gt;SUMIF('Event Trigger'!$C:$C,$Z35,F:F),0,'Year 1 Results'!AC35)</f>
        <v>0</v>
      </c>
      <c r="AD35" s="52">
        <f>IF('Year 1 Results'!AD35*COUNTIF('Event Trigger'!$C:$C,'Year 2 Results'!$Z35)&gt;SUMIF('Event Trigger'!$C:$C,$Z35,G:G),0,'Year 1 Results'!AD35)</f>
        <v>0</v>
      </c>
      <c r="AE35" s="52">
        <f>IF('Year 1 Results'!AE35*COUNTIF('Event Trigger'!$C:$C,'Year 2 Results'!$Z35)&gt;SUMIF('Event Trigger'!$C:$C,$Z35,H:H),0,'Year 1 Results'!AE35)</f>
        <v>0</v>
      </c>
      <c r="AF35" s="52">
        <f>IF('Year 1 Results'!AF35*COUNTIF('Event Trigger'!$C:$C,'Year 2 Results'!$Z35)&gt;SUMIF('Event Trigger'!$C:$C,$Z35,I:I),0,'Year 1 Results'!AF35)</f>
        <v>0</v>
      </c>
      <c r="AG35" s="52">
        <f>IF('Year 1 Results'!AG35*COUNTIF('Event Trigger'!$C:$C,'Year 2 Results'!$Z35)&gt;SUMIF('Event Trigger'!$C:$C,$Z35,J:J),0,'Year 1 Results'!AG35)</f>
        <v>0</v>
      </c>
      <c r="AH35" s="52">
        <f>IF('Year 1 Results'!AH35*COUNTIF('Event Trigger'!$C:$C,'Year 2 Results'!$Z35)&gt;SUMIF('Event Trigger'!$C:$C,$Z35,K:K),0,'Year 1 Results'!AH35)</f>
        <v>0</v>
      </c>
      <c r="AI35" s="52">
        <f>IF('Year 1 Results'!AI35*COUNTIF('Event Trigger'!$C:$C,'Year 2 Results'!$Z35)&gt;SUMIF('Event Trigger'!$C:$C,$Z35,L:L),0,'Year 1 Results'!AI35)</f>
        <v>0</v>
      </c>
      <c r="AJ35" s="52">
        <f>IF('Year 1 Results'!AJ35*COUNTIF('Event Trigger'!$C:$C,'Year 2 Results'!$Z35)&gt;SUMIF('Event Trigger'!$C:$C,$Z35,M:M),0,'Year 1 Results'!AJ35)</f>
        <v>0</v>
      </c>
    </row>
    <row r="36" spans="1:36" ht="25.5" x14ac:dyDescent="0.25">
      <c r="A36" s="37" t="str">
        <f>'Risk Master'!B36:B170&amp;"-"&amp;'Risk Master'!D36</f>
        <v>Thunderstorms, Tornados &amp; Hail-Mumbai</v>
      </c>
      <c r="B36" s="37" t="str">
        <f>'Input Sheet year 2'!B37</f>
        <v>Thunderstorms, Tornados &amp; Hail-Mumbai</v>
      </c>
      <c r="C36" s="29" t="str">
        <f>'Risk Master'!F36</f>
        <v>A10</v>
      </c>
      <c r="D36" s="73">
        <f>'Year 1 Results'!O36*-1+('Year 1 Results'!O36*'Event Trigger'!$E37*(1-'Input Sheet year 2'!H37))</f>
        <v>0</v>
      </c>
      <c r="E36" s="73">
        <f>'Year 1 Results'!P36*-1+('Year 1 Results'!P36*'Event Trigger'!$E37*(1-'Input Sheet year 2'!I37))</f>
        <v>0</v>
      </c>
      <c r="F36" s="73">
        <f>'Year 1 Results'!Q36*-1+('Year 1 Results'!Q36*'Event Trigger'!$E37*(1-'Input Sheet year 2'!J37))</f>
        <v>0</v>
      </c>
      <c r="G36" s="73">
        <f>'Year 1 Results'!R36*-1+('Year 1 Results'!R36*'Event Trigger'!$E37*(1-'Input Sheet year 2'!K37))</f>
        <v>0</v>
      </c>
      <c r="H36" s="73">
        <f>'Year 1 Results'!S36*-1+('Year 1 Results'!S36*'Event Trigger'!$E37*(1-'Input Sheet year 2'!L37))</f>
        <v>0</v>
      </c>
      <c r="I36" s="73">
        <f>'Year 1 Results'!T36*-1+('Year 1 Results'!T36*'Event Trigger'!$E37*(1-'Input Sheet year 2'!M37))</f>
        <v>0</v>
      </c>
      <c r="J36" s="73">
        <f>'Year 1 Results'!U36*-1+('Year 1 Results'!U36*'Event Trigger'!$E37*(1-'Input Sheet year 2'!N37))</f>
        <v>0</v>
      </c>
      <c r="K36" s="73">
        <f>'Year 1 Results'!V36*-1+('Year 1 Results'!V36*'Event Trigger'!$E37*(1-'Input Sheet year 2'!O37))</f>
        <v>0</v>
      </c>
      <c r="L36" s="73">
        <f>'Year 1 Results'!W36*-1+('Year 1 Results'!W36*'Event Trigger'!$E37*(1-'Input Sheet year 2'!P37))</f>
        <v>0</v>
      </c>
      <c r="M36" s="73">
        <f>'Year 1 Results'!X36*-1+('Year 1 Results'!X36*'Event Trigger'!$E37*(1-'Input Sheet year 2'!Q37))</f>
        <v>0</v>
      </c>
      <c r="N36" s="88"/>
      <c r="O36" s="88">
        <f t="shared" si="0"/>
        <v>0</v>
      </c>
      <c r="P36" s="88">
        <f t="shared" si="1"/>
        <v>0</v>
      </c>
      <c r="Q36" s="88">
        <f t="shared" si="2"/>
        <v>0</v>
      </c>
      <c r="R36" s="88">
        <f t="shared" si="3"/>
        <v>0</v>
      </c>
      <c r="S36" s="88">
        <f t="shared" si="4"/>
        <v>0</v>
      </c>
      <c r="T36" s="88">
        <f t="shared" si="5"/>
        <v>0</v>
      </c>
      <c r="U36" s="88">
        <f t="shared" si="6"/>
        <v>0</v>
      </c>
      <c r="V36" s="88">
        <f t="shared" si="7"/>
        <v>0</v>
      </c>
      <c r="W36" s="88">
        <f t="shared" si="8"/>
        <v>0</v>
      </c>
      <c r="X36" s="88">
        <f t="shared" si="9"/>
        <v>0</v>
      </c>
      <c r="Z36" s="51" t="s">
        <v>108</v>
      </c>
      <c r="AA36" s="52">
        <f>IF('Year 1 Results'!AA36*COUNTIF('Event Trigger'!$C:$C,'Year 2 Results'!$Z36)&gt;SUMIF('Event Trigger'!$C:$C,$Z36,D:D),0,'Year 1 Results'!AA36)</f>
        <v>0</v>
      </c>
      <c r="AB36" s="52">
        <f>IF('Year 1 Results'!AB36*COUNTIF('Event Trigger'!$C:$C,'Year 2 Results'!$Z36)&gt;SUMIF('Event Trigger'!$C:$C,$Z36,E:E),0,'Year 1 Results'!AB36)</f>
        <v>0</v>
      </c>
      <c r="AC36" s="52">
        <f>IF('Year 1 Results'!AC36*COUNTIF('Event Trigger'!$C:$C,'Year 2 Results'!$Z36)&gt;SUMIF('Event Trigger'!$C:$C,$Z36,F:F),0,'Year 1 Results'!AC36)</f>
        <v>0</v>
      </c>
      <c r="AD36" s="52">
        <f>IF('Year 1 Results'!AD36*COUNTIF('Event Trigger'!$C:$C,'Year 2 Results'!$Z36)&gt;SUMIF('Event Trigger'!$C:$C,$Z36,G:G),0,'Year 1 Results'!AD36)</f>
        <v>0</v>
      </c>
      <c r="AE36" s="52">
        <f>IF('Year 1 Results'!AE36*COUNTIF('Event Trigger'!$C:$C,'Year 2 Results'!$Z36)&gt;SUMIF('Event Trigger'!$C:$C,$Z36,H:H),0,'Year 1 Results'!AE36)</f>
        <v>0</v>
      </c>
      <c r="AF36" s="52">
        <f>IF('Year 1 Results'!AF36*COUNTIF('Event Trigger'!$C:$C,'Year 2 Results'!$Z36)&gt;SUMIF('Event Trigger'!$C:$C,$Z36,I:I),0,'Year 1 Results'!AF36)</f>
        <v>0</v>
      </c>
      <c r="AG36" s="52">
        <f>IF('Year 1 Results'!AG36*COUNTIF('Event Trigger'!$C:$C,'Year 2 Results'!$Z36)&gt;SUMIF('Event Trigger'!$C:$C,$Z36,J:J),0,'Year 1 Results'!AG36)</f>
        <v>0</v>
      </c>
      <c r="AH36" s="52">
        <f>IF('Year 1 Results'!AH36*COUNTIF('Event Trigger'!$C:$C,'Year 2 Results'!$Z36)&gt;SUMIF('Event Trigger'!$C:$C,$Z36,K:K),0,'Year 1 Results'!AH36)</f>
        <v>0</v>
      </c>
      <c r="AI36" s="52">
        <f>IF('Year 1 Results'!AI36*COUNTIF('Event Trigger'!$C:$C,'Year 2 Results'!$Z36)&gt;SUMIF('Event Trigger'!$C:$C,$Z36,L:L),0,'Year 1 Results'!AI36)</f>
        <v>0</v>
      </c>
      <c r="AJ36" s="52">
        <f>IF('Year 1 Results'!AJ36*COUNTIF('Event Trigger'!$C:$C,'Year 2 Results'!$Z36)&gt;SUMIF('Event Trigger'!$C:$C,$Z36,M:M),0,'Year 1 Results'!AJ36)</f>
        <v>0</v>
      </c>
    </row>
    <row r="37" spans="1:36" x14ac:dyDescent="0.25">
      <c r="A37" s="37" t="str">
        <f>'Risk Master'!B37:B170&amp;"-"&amp;'Risk Master'!D37</f>
        <v>Tsunami-Mumbai</v>
      </c>
      <c r="B37" s="37" t="str">
        <f>'Input Sheet year 2'!B38</f>
        <v>Tsunami-Mumbai</v>
      </c>
      <c r="C37" s="29" t="str">
        <f>'Risk Master'!F37</f>
        <v>A10</v>
      </c>
      <c r="D37" s="73">
        <f>'Year 1 Results'!O37*-1+('Year 1 Results'!O37*'Event Trigger'!$E38*(1-'Input Sheet year 2'!H38))</f>
        <v>0</v>
      </c>
      <c r="E37" s="73">
        <f>'Year 1 Results'!P37*-1+('Year 1 Results'!P37*'Event Trigger'!$E38*(1-'Input Sheet year 2'!I38))</f>
        <v>0</v>
      </c>
      <c r="F37" s="73">
        <f>'Year 1 Results'!Q37*-1+('Year 1 Results'!Q37*'Event Trigger'!$E38*(1-'Input Sheet year 2'!J38))</f>
        <v>0</v>
      </c>
      <c r="G37" s="73">
        <f>'Year 1 Results'!R37*-1+('Year 1 Results'!R37*'Event Trigger'!$E38*(1-'Input Sheet year 2'!K38))</f>
        <v>0</v>
      </c>
      <c r="H37" s="73">
        <f>'Year 1 Results'!S37*-1+('Year 1 Results'!S37*'Event Trigger'!$E38*(1-'Input Sheet year 2'!L38))</f>
        <v>0</v>
      </c>
      <c r="I37" s="73">
        <f>'Year 1 Results'!T37*-1+('Year 1 Results'!T37*'Event Trigger'!$E38*(1-'Input Sheet year 2'!M38))</f>
        <v>0</v>
      </c>
      <c r="J37" s="73">
        <f>'Year 1 Results'!U37*-1+('Year 1 Results'!U37*'Event Trigger'!$E38*(1-'Input Sheet year 2'!N38))</f>
        <v>0</v>
      </c>
      <c r="K37" s="73">
        <f>'Year 1 Results'!V37*-1+('Year 1 Results'!V37*'Event Trigger'!$E38*(1-'Input Sheet year 2'!O38))</f>
        <v>0</v>
      </c>
      <c r="L37" s="73">
        <f>'Year 1 Results'!W37*-1+('Year 1 Results'!W37*'Event Trigger'!$E38*(1-'Input Sheet year 2'!P38))</f>
        <v>0</v>
      </c>
      <c r="M37" s="73">
        <f>'Year 1 Results'!X37*-1+('Year 1 Results'!X37*'Event Trigger'!$E38*(1-'Input Sheet year 2'!Q38))</f>
        <v>0</v>
      </c>
      <c r="N37" s="88"/>
      <c r="O37" s="88">
        <f t="shared" si="0"/>
        <v>0</v>
      </c>
      <c r="P37" s="88">
        <f t="shared" si="1"/>
        <v>0</v>
      </c>
      <c r="Q37" s="88">
        <f t="shared" si="2"/>
        <v>0</v>
      </c>
      <c r="R37" s="88">
        <f t="shared" si="3"/>
        <v>0</v>
      </c>
      <c r="S37" s="88">
        <f t="shared" si="4"/>
        <v>0</v>
      </c>
      <c r="T37" s="88">
        <f t="shared" si="5"/>
        <v>0</v>
      </c>
      <c r="U37" s="88">
        <f t="shared" si="6"/>
        <v>0</v>
      </c>
      <c r="V37" s="88">
        <f t="shared" si="7"/>
        <v>0</v>
      </c>
      <c r="W37" s="88">
        <f t="shared" si="8"/>
        <v>0</v>
      </c>
      <c r="X37" s="88">
        <f t="shared" si="9"/>
        <v>0</v>
      </c>
      <c r="Z37" s="51" t="s">
        <v>109</v>
      </c>
      <c r="AA37" s="52">
        <f>IF('Year 1 Results'!AA37*COUNTIF('Event Trigger'!$C:$C,'Year 2 Results'!$Z37)&gt;SUMIF('Event Trigger'!$C:$C,$Z37,D:D),0,'Year 1 Results'!AA37)</f>
        <v>0</v>
      </c>
      <c r="AB37" s="52">
        <f>IF('Year 1 Results'!AB37*COUNTIF('Event Trigger'!$C:$C,'Year 2 Results'!$Z37)&gt;SUMIF('Event Trigger'!$C:$C,$Z37,E:E),0,'Year 1 Results'!AB37)</f>
        <v>300000</v>
      </c>
      <c r="AC37" s="52">
        <f>IF('Year 1 Results'!AC37*COUNTIF('Event Trigger'!$C:$C,'Year 2 Results'!$Z37)&gt;SUMIF('Event Trigger'!$C:$C,$Z37,F:F),0,'Year 1 Results'!AC37)</f>
        <v>0</v>
      </c>
      <c r="AD37" s="52">
        <f>IF('Year 1 Results'!AD37*COUNTIF('Event Trigger'!$C:$C,'Year 2 Results'!$Z37)&gt;SUMIF('Event Trigger'!$C:$C,$Z37,G:G),0,'Year 1 Results'!AD37)</f>
        <v>300000</v>
      </c>
      <c r="AE37" s="52">
        <f>IF('Year 1 Results'!AE37*COUNTIF('Event Trigger'!$C:$C,'Year 2 Results'!$Z37)&gt;SUMIF('Event Trigger'!$C:$C,$Z37,H:H),0,'Year 1 Results'!AE37)</f>
        <v>0</v>
      </c>
      <c r="AF37" s="52">
        <f>IF('Year 1 Results'!AF37*COUNTIF('Event Trigger'!$C:$C,'Year 2 Results'!$Z37)&gt;SUMIF('Event Trigger'!$C:$C,$Z37,I:I),0,'Year 1 Results'!AF37)</f>
        <v>300000</v>
      </c>
      <c r="AG37" s="52">
        <f>IF('Year 1 Results'!AG37*COUNTIF('Event Trigger'!$C:$C,'Year 2 Results'!$Z37)&gt;SUMIF('Event Trigger'!$C:$C,$Z37,J:J),0,'Year 1 Results'!AG37)</f>
        <v>0</v>
      </c>
      <c r="AH37" s="52">
        <f>IF('Year 1 Results'!AH37*COUNTIF('Event Trigger'!$C:$C,'Year 2 Results'!$Z37)&gt;SUMIF('Event Trigger'!$C:$C,$Z37,K:K),0,'Year 1 Results'!AH37)</f>
        <v>0</v>
      </c>
      <c r="AI37" s="52">
        <f>IF('Year 1 Results'!AI37*COUNTIF('Event Trigger'!$C:$C,'Year 2 Results'!$Z37)&gt;SUMIF('Event Trigger'!$C:$C,$Z37,L:L),0,'Year 1 Results'!AI37)</f>
        <v>300000</v>
      </c>
      <c r="AJ37" s="52">
        <f>IF('Year 1 Results'!AJ37*COUNTIF('Event Trigger'!$C:$C,'Year 2 Results'!$Z37)&gt;SUMIF('Event Trigger'!$C:$C,$Z37,M:M),0,'Year 1 Results'!AJ37)</f>
        <v>300000</v>
      </c>
    </row>
    <row r="38" spans="1:36" ht="25.5" x14ac:dyDescent="0.25">
      <c r="A38" s="37" t="str">
        <f>'Risk Master'!B38:B171&amp;"-"&amp;'Risk Master'!D38</f>
        <v>High tide and high rainfalls leading to large floods-Mumbai</v>
      </c>
      <c r="B38" s="37" t="str">
        <f>'Input Sheet year 2'!B39</f>
        <v>Flood-Mumbai</v>
      </c>
      <c r="C38" s="29" t="str">
        <f>'Risk Master'!F38</f>
        <v>A11</v>
      </c>
      <c r="D38" s="73">
        <f>'Year 1 Results'!O38*-1+('Year 1 Results'!O38*'Event Trigger'!$E39*(1-'Input Sheet year 2'!H39))</f>
        <v>0</v>
      </c>
      <c r="E38" s="73">
        <f>'Year 1 Results'!P38*-1+('Year 1 Results'!P38*'Event Trigger'!$E39*(1-'Input Sheet year 2'!I39))</f>
        <v>0</v>
      </c>
      <c r="F38" s="73">
        <f>'Year 1 Results'!Q38*-1+('Year 1 Results'!Q38*'Event Trigger'!$E39*(1-'Input Sheet year 2'!J39))</f>
        <v>0</v>
      </c>
      <c r="G38" s="73">
        <f>'Year 1 Results'!R38*-1+('Year 1 Results'!R38*'Event Trigger'!$E39*(1-'Input Sheet year 2'!K39))</f>
        <v>0</v>
      </c>
      <c r="H38" s="73">
        <f>'Year 1 Results'!S38*-1+('Year 1 Results'!S38*'Event Trigger'!$E39*(1-'Input Sheet year 2'!L39))</f>
        <v>0</v>
      </c>
      <c r="I38" s="73">
        <f>'Year 1 Results'!T38*-1+('Year 1 Results'!T38*'Event Trigger'!$E39*(1-'Input Sheet year 2'!M39))</f>
        <v>0</v>
      </c>
      <c r="J38" s="73">
        <f>'Year 1 Results'!U38*-1+('Year 1 Results'!U38*'Event Trigger'!$E39*(1-'Input Sheet year 2'!N39))</f>
        <v>0</v>
      </c>
      <c r="K38" s="73">
        <f>'Year 1 Results'!V38*-1+('Year 1 Results'!V38*'Event Trigger'!$E39*(1-'Input Sheet year 2'!O39))</f>
        <v>0</v>
      </c>
      <c r="L38" s="73">
        <f>'Year 1 Results'!W38*-1+('Year 1 Results'!W38*'Event Trigger'!$E39*(1-'Input Sheet year 2'!P39))</f>
        <v>0</v>
      </c>
      <c r="M38" s="73">
        <f>'Year 1 Results'!X38*-1+('Year 1 Results'!X38*'Event Trigger'!$E39*(1-'Input Sheet year 2'!Q39))</f>
        <v>0</v>
      </c>
      <c r="N38" s="88"/>
      <c r="O38" s="88">
        <f t="shared" si="0"/>
        <v>0</v>
      </c>
      <c r="P38" s="88">
        <f t="shared" si="1"/>
        <v>0</v>
      </c>
      <c r="Q38" s="88">
        <f t="shared" si="2"/>
        <v>0</v>
      </c>
      <c r="R38" s="88">
        <f t="shared" si="3"/>
        <v>0</v>
      </c>
      <c r="S38" s="88">
        <f t="shared" si="4"/>
        <v>0</v>
      </c>
      <c r="T38" s="88">
        <f t="shared" si="5"/>
        <v>0</v>
      </c>
      <c r="U38" s="88">
        <f t="shared" si="6"/>
        <v>0</v>
      </c>
      <c r="V38" s="88">
        <f t="shared" si="7"/>
        <v>0</v>
      </c>
      <c r="W38" s="88">
        <f t="shared" si="8"/>
        <v>0</v>
      </c>
      <c r="X38" s="88">
        <f t="shared" si="9"/>
        <v>0</v>
      </c>
      <c r="Z38" s="51" t="s">
        <v>110</v>
      </c>
      <c r="AA38" s="52">
        <f>IF('Year 1 Results'!AA38*COUNTIF('Event Trigger'!$C:$C,'Year 2 Results'!$Z38)&gt;SUMIF('Event Trigger'!$C:$C,$Z38,D:D),0,'Year 1 Results'!AA38)</f>
        <v>0</v>
      </c>
      <c r="AB38" s="52">
        <f>IF('Year 1 Results'!AB38*COUNTIF('Event Trigger'!$C:$C,'Year 2 Results'!$Z38)&gt;SUMIF('Event Trigger'!$C:$C,$Z38,E:E),0,'Year 1 Results'!AB38)</f>
        <v>0</v>
      </c>
      <c r="AC38" s="52">
        <f>IF('Year 1 Results'!AC38*COUNTIF('Event Trigger'!$C:$C,'Year 2 Results'!$Z38)&gt;SUMIF('Event Trigger'!$C:$C,$Z38,F:F),0,'Year 1 Results'!AC38)</f>
        <v>0</v>
      </c>
      <c r="AD38" s="52">
        <f>IF('Year 1 Results'!AD38*COUNTIF('Event Trigger'!$C:$C,'Year 2 Results'!$Z38)&gt;SUMIF('Event Trigger'!$C:$C,$Z38,G:G),0,'Year 1 Results'!AD38)</f>
        <v>0</v>
      </c>
      <c r="AE38" s="52">
        <f>IF('Year 1 Results'!AE38*COUNTIF('Event Trigger'!$C:$C,'Year 2 Results'!$Z38)&gt;SUMIF('Event Trigger'!$C:$C,$Z38,H:H),0,'Year 1 Results'!AE38)</f>
        <v>0</v>
      </c>
      <c r="AF38" s="52">
        <f>IF('Year 1 Results'!AF38*COUNTIF('Event Trigger'!$C:$C,'Year 2 Results'!$Z38)&gt;SUMIF('Event Trigger'!$C:$C,$Z38,I:I),0,'Year 1 Results'!AF38)</f>
        <v>0</v>
      </c>
      <c r="AG38" s="52">
        <f>IF('Year 1 Results'!AG38*COUNTIF('Event Trigger'!$C:$C,'Year 2 Results'!$Z38)&gt;SUMIF('Event Trigger'!$C:$C,$Z38,J:J),0,'Year 1 Results'!AG38)</f>
        <v>0</v>
      </c>
      <c r="AH38" s="52">
        <f>IF('Year 1 Results'!AH38*COUNTIF('Event Trigger'!$C:$C,'Year 2 Results'!$Z38)&gt;SUMIF('Event Trigger'!$C:$C,$Z38,K:K),0,'Year 1 Results'!AH38)</f>
        <v>0</v>
      </c>
      <c r="AI38" s="52">
        <f>IF('Year 1 Results'!AI38*COUNTIF('Event Trigger'!$C:$C,'Year 2 Results'!$Z38)&gt;SUMIF('Event Trigger'!$C:$C,$Z38,L:L),0,'Year 1 Results'!AI38)</f>
        <v>0</v>
      </c>
      <c r="AJ38" s="52">
        <f>IF('Year 1 Results'!AJ38*COUNTIF('Event Trigger'!$C:$C,'Year 2 Results'!$Z38)&gt;SUMIF('Event Trigger'!$C:$C,$Z38,M:M),0,'Year 1 Results'!AJ38)</f>
        <v>0</v>
      </c>
    </row>
    <row r="39" spans="1:36" x14ac:dyDescent="0.25">
      <c r="A39" s="37" t="str">
        <f>'Risk Master'!B39:B172&amp;"-"&amp;'Risk Master'!D39</f>
        <v>Earthquake-Mumbai</v>
      </c>
      <c r="B39" s="37" t="str">
        <f>'Input Sheet year 2'!B40</f>
        <v>Earthquake-Mumbai</v>
      </c>
      <c r="C39" s="29" t="str">
        <f>'Risk Master'!F39</f>
        <v>A11</v>
      </c>
      <c r="D39" s="73">
        <f>'Year 1 Results'!O39*-1+('Year 1 Results'!O39*'Event Trigger'!$E40*(1-'Input Sheet year 2'!H40))</f>
        <v>0</v>
      </c>
      <c r="E39" s="73">
        <f>'Year 1 Results'!P39*-1+('Year 1 Results'!P39*'Event Trigger'!$E40*(1-'Input Sheet year 2'!I40))</f>
        <v>0</v>
      </c>
      <c r="F39" s="73">
        <f>'Year 1 Results'!Q39*-1+('Year 1 Results'!Q39*'Event Trigger'!$E40*(1-'Input Sheet year 2'!J40))</f>
        <v>0</v>
      </c>
      <c r="G39" s="73">
        <f>'Year 1 Results'!R39*-1+('Year 1 Results'!R39*'Event Trigger'!$E40*(1-'Input Sheet year 2'!K40))</f>
        <v>0</v>
      </c>
      <c r="H39" s="73">
        <f>'Year 1 Results'!S39*-1+('Year 1 Results'!S39*'Event Trigger'!$E40*(1-'Input Sheet year 2'!L40))</f>
        <v>0</v>
      </c>
      <c r="I39" s="73">
        <f>'Year 1 Results'!T39*-1+('Year 1 Results'!T39*'Event Trigger'!$E40*(1-'Input Sheet year 2'!M40))</f>
        <v>0</v>
      </c>
      <c r="J39" s="73">
        <f>'Year 1 Results'!U39*-1+('Year 1 Results'!U39*'Event Trigger'!$E40*(1-'Input Sheet year 2'!N40))</f>
        <v>0</v>
      </c>
      <c r="K39" s="73">
        <f>'Year 1 Results'!V39*-1+('Year 1 Results'!V39*'Event Trigger'!$E40*(1-'Input Sheet year 2'!O40))</f>
        <v>0</v>
      </c>
      <c r="L39" s="73">
        <f>'Year 1 Results'!W39*-1+('Year 1 Results'!W39*'Event Trigger'!$E40*(1-'Input Sheet year 2'!P40))</f>
        <v>0</v>
      </c>
      <c r="M39" s="73">
        <f>'Year 1 Results'!X39*-1+('Year 1 Results'!X39*'Event Trigger'!$E40*(1-'Input Sheet year 2'!Q40))</f>
        <v>0</v>
      </c>
      <c r="N39" s="88"/>
      <c r="O39" s="88">
        <f t="shared" si="0"/>
        <v>0</v>
      </c>
      <c r="P39" s="88">
        <f t="shared" si="1"/>
        <v>0</v>
      </c>
      <c r="Q39" s="88">
        <f t="shared" si="2"/>
        <v>0</v>
      </c>
      <c r="R39" s="88">
        <f t="shared" si="3"/>
        <v>0</v>
      </c>
      <c r="S39" s="88">
        <f t="shared" si="4"/>
        <v>0</v>
      </c>
      <c r="T39" s="88">
        <f t="shared" si="5"/>
        <v>0</v>
      </c>
      <c r="U39" s="88">
        <f t="shared" si="6"/>
        <v>0</v>
      </c>
      <c r="V39" s="88">
        <f t="shared" si="7"/>
        <v>0</v>
      </c>
      <c r="W39" s="88">
        <f t="shared" si="8"/>
        <v>0</v>
      </c>
      <c r="X39" s="88">
        <f t="shared" si="9"/>
        <v>0</v>
      </c>
      <c r="Z39" s="51" t="s">
        <v>111</v>
      </c>
      <c r="AA39" s="52">
        <f>IF('Year 1 Results'!AA39*COUNTIF('Event Trigger'!$C:$C,'Year 2 Results'!$Z39)&gt;SUMIF('Event Trigger'!$C:$C,$Z39,D:D),0,'Year 1 Results'!AA39)</f>
        <v>500000</v>
      </c>
      <c r="AB39" s="52">
        <f>IF('Year 1 Results'!AB39*COUNTIF('Event Trigger'!$C:$C,'Year 2 Results'!$Z39)&gt;SUMIF('Event Trigger'!$C:$C,$Z39,E:E),0,'Year 1 Results'!AB39)</f>
        <v>500000</v>
      </c>
      <c r="AC39" s="52">
        <f>IF('Year 1 Results'!AC39*COUNTIF('Event Trigger'!$C:$C,'Year 2 Results'!$Z39)&gt;SUMIF('Event Trigger'!$C:$C,$Z39,F:F),0,'Year 1 Results'!AC39)</f>
        <v>500000</v>
      </c>
      <c r="AD39" s="52">
        <f>IF('Year 1 Results'!AD39*COUNTIF('Event Trigger'!$C:$C,'Year 2 Results'!$Z39)&gt;SUMIF('Event Trigger'!$C:$C,$Z39,G:G),0,'Year 1 Results'!AD39)</f>
        <v>500000</v>
      </c>
      <c r="AE39" s="52">
        <f>IF('Year 1 Results'!AE39*COUNTIF('Event Trigger'!$C:$C,'Year 2 Results'!$Z39)&gt;SUMIF('Event Trigger'!$C:$C,$Z39,H:H),0,'Year 1 Results'!AE39)</f>
        <v>500000</v>
      </c>
      <c r="AF39" s="52">
        <f>IF('Year 1 Results'!AF39*COUNTIF('Event Trigger'!$C:$C,'Year 2 Results'!$Z39)&gt;SUMIF('Event Trigger'!$C:$C,$Z39,I:I),0,'Year 1 Results'!AF39)</f>
        <v>500000</v>
      </c>
      <c r="AG39" s="52">
        <f>IF('Year 1 Results'!AG39*COUNTIF('Event Trigger'!$C:$C,'Year 2 Results'!$Z39)&gt;SUMIF('Event Trigger'!$C:$C,$Z39,J:J),0,'Year 1 Results'!AG39)</f>
        <v>500000</v>
      </c>
      <c r="AH39" s="52">
        <f>IF('Year 1 Results'!AH39*COUNTIF('Event Trigger'!$C:$C,'Year 2 Results'!$Z39)&gt;SUMIF('Event Trigger'!$C:$C,$Z39,K:K),0,'Year 1 Results'!AH39)</f>
        <v>500000</v>
      </c>
      <c r="AI39" s="52">
        <f>IF('Year 1 Results'!AI39*COUNTIF('Event Trigger'!$C:$C,'Year 2 Results'!$Z39)&gt;SUMIF('Event Trigger'!$C:$C,$Z39,L:L),0,'Year 1 Results'!AI39)</f>
        <v>500000</v>
      </c>
      <c r="AJ39" s="52">
        <f>IF('Year 1 Results'!AJ39*COUNTIF('Event Trigger'!$C:$C,'Year 2 Results'!$Z39)&gt;SUMIF('Event Trigger'!$C:$C,$Z39,M:M),0,'Year 1 Results'!AJ39)</f>
        <v>500000</v>
      </c>
    </row>
    <row r="40" spans="1:36" x14ac:dyDescent="0.25">
      <c r="A40" s="37" t="str">
        <f>'Risk Master'!B40:B173&amp;"-"&amp;'Risk Master'!D40</f>
        <v>Fire-Mumbai</v>
      </c>
      <c r="B40" s="37" t="str">
        <f>'Input Sheet year 2'!B41</f>
        <v>Fire-Mumbai</v>
      </c>
      <c r="C40" s="29" t="str">
        <f>'Risk Master'!F40</f>
        <v>A11</v>
      </c>
      <c r="D40" s="73">
        <f>'Year 1 Results'!O40*-1+('Year 1 Results'!O40*'Event Trigger'!$E41*(1-'Input Sheet year 2'!H41))</f>
        <v>0</v>
      </c>
      <c r="E40" s="73">
        <f>'Year 1 Results'!P40*-1+('Year 1 Results'!P40*'Event Trigger'!$E41*(1-'Input Sheet year 2'!I41))</f>
        <v>0</v>
      </c>
      <c r="F40" s="73">
        <f>'Year 1 Results'!Q40*-1+('Year 1 Results'!Q40*'Event Trigger'!$E41*(1-'Input Sheet year 2'!J41))</f>
        <v>0</v>
      </c>
      <c r="G40" s="73">
        <f>'Year 1 Results'!R40*-1+('Year 1 Results'!R40*'Event Trigger'!$E41*(1-'Input Sheet year 2'!K41))</f>
        <v>0</v>
      </c>
      <c r="H40" s="73">
        <f>'Year 1 Results'!S40*-1+('Year 1 Results'!S40*'Event Trigger'!$E41*(1-'Input Sheet year 2'!L41))</f>
        <v>0</v>
      </c>
      <c r="I40" s="73">
        <f>'Year 1 Results'!T40*-1+('Year 1 Results'!T40*'Event Trigger'!$E41*(1-'Input Sheet year 2'!M41))</f>
        <v>0</v>
      </c>
      <c r="J40" s="73">
        <f>'Year 1 Results'!U40*-1+('Year 1 Results'!U40*'Event Trigger'!$E41*(1-'Input Sheet year 2'!N41))</f>
        <v>0</v>
      </c>
      <c r="K40" s="73">
        <f>'Year 1 Results'!V40*-1+('Year 1 Results'!V40*'Event Trigger'!$E41*(1-'Input Sheet year 2'!O41))</f>
        <v>0</v>
      </c>
      <c r="L40" s="73">
        <f>'Year 1 Results'!W40*-1+('Year 1 Results'!W40*'Event Trigger'!$E41*(1-'Input Sheet year 2'!P41))</f>
        <v>0</v>
      </c>
      <c r="M40" s="73">
        <f>'Year 1 Results'!X40*-1+('Year 1 Results'!X40*'Event Trigger'!$E41*(1-'Input Sheet year 2'!Q41))</f>
        <v>0</v>
      </c>
      <c r="N40" s="88"/>
      <c r="O40" s="88">
        <f t="shared" si="0"/>
        <v>0</v>
      </c>
      <c r="P40" s="88">
        <f t="shared" si="1"/>
        <v>0</v>
      </c>
      <c r="Q40" s="88">
        <f t="shared" si="2"/>
        <v>0</v>
      </c>
      <c r="R40" s="88">
        <f t="shared" si="3"/>
        <v>0</v>
      </c>
      <c r="S40" s="88">
        <f t="shared" si="4"/>
        <v>0</v>
      </c>
      <c r="T40" s="88">
        <f t="shared" si="5"/>
        <v>0</v>
      </c>
      <c r="U40" s="88">
        <f t="shared" si="6"/>
        <v>0</v>
      </c>
      <c r="V40" s="88">
        <f t="shared" si="7"/>
        <v>0</v>
      </c>
      <c r="W40" s="88">
        <f t="shared" si="8"/>
        <v>0</v>
      </c>
      <c r="X40" s="88">
        <f t="shared" si="9"/>
        <v>0</v>
      </c>
      <c r="Z40" s="51" t="s">
        <v>112</v>
      </c>
      <c r="AA40" s="52">
        <f>IF('Year 1 Results'!AA40*COUNTIF('Event Trigger'!$C:$C,'Year 2 Results'!$Z40)&gt;SUMIF('Event Trigger'!$C:$C,$Z40,D:D),0,'Year 1 Results'!AA40)</f>
        <v>0</v>
      </c>
      <c r="AB40" s="52">
        <f>IF('Year 1 Results'!AB40*COUNTIF('Event Trigger'!$C:$C,'Year 2 Results'!$Z40)&gt;SUMIF('Event Trigger'!$C:$C,$Z40,E:E),0,'Year 1 Results'!AB40)</f>
        <v>0</v>
      </c>
      <c r="AC40" s="52">
        <f>IF('Year 1 Results'!AC40*COUNTIF('Event Trigger'!$C:$C,'Year 2 Results'!$Z40)&gt;SUMIF('Event Trigger'!$C:$C,$Z40,F:F),0,'Year 1 Results'!AC40)</f>
        <v>0</v>
      </c>
      <c r="AD40" s="52">
        <f>IF('Year 1 Results'!AD40*COUNTIF('Event Trigger'!$C:$C,'Year 2 Results'!$Z40)&gt;SUMIF('Event Trigger'!$C:$C,$Z40,G:G),0,'Year 1 Results'!AD40)</f>
        <v>0</v>
      </c>
      <c r="AE40" s="52">
        <f>IF('Year 1 Results'!AE40*COUNTIF('Event Trigger'!$C:$C,'Year 2 Results'!$Z40)&gt;SUMIF('Event Trigger'!$C:$C,$Z40,H:H),0,'Year 1 Results'!AE40)</f>
        <v>0</v>
      </c>
      <c r="AF40" s="52">
        <f>IF('Year 1 Results'!AF40*COUNTIF('Event Trigger'!$C:$C,'Year 2 Results'!$Z40)&gt;SUMIF('Event Trigger'!$C:$C,$Z40,I:I),0,'Year 1 Results'!AF40)</f>
        <v>0</v>
      </c>
      <c r="AG40" s="52">
        <f>IF('Year 1 Results'!AG40*COUNTIF('Event Trigger'!$C:$C,'Year 2 Results'!$Z40)&gt;SUMIF('Event Trigger'!$C:$C,$Z40,J:J),0,'Year 1 Results'!AG40)</f>
        <v>0</v>
      </c>
      <c r="AH40" s="52">
        <f>IF('Year 1 Results'!AH40*COUNTIF('Event Trigger'!$C:$C,'Year 2 Results'!$Z40)&gt;SUMIF('Event Trigger'!$C:$C,$Z40,K:K),0,'Year 1 Results'!AH40)</f>
        <v>0</v>
      </c>
      <c r="AI40" s="52">
        <f>IF('Year 1 Results'!AI40*COUNTIF('Event Trigger'!$C:$C,'Year 2 Results'!$Z40)&gt;SUMIF('Event Trigger'!$C:$C,$Z40,L:L),0,'Year 1 Results'!AI40)</f>
        <v>0</v>
      </c>
      <c r="AJ40" s="52">
        <f>IF('Year 1 Results'!AJ40*COUNTIF('Event Trigger'!$C:$C,'Year 2 Results'!$Z40)&gt;SUMIF('Event Trigger'!$C:$C,$Z40,M:M),0,'Year 1 Results'!AJ40)</f>
        <v>0</v>
      </c>
    </row>
    <row r="41" spans="1:36" x14ac:dyDescent="0.25">
      <c r="A41" s="37" t="str">
        <f>'Risk Master'!B41:B174&amp;"-"&amp;'Risk Master'!D41</f>
        <v>Typhoon-Mumbai</v>
      </c>
      <c r="B41" s="37" t="str">
        <f>'Input Sheet year 2'!B42</f>
        <v>Typhoon-Mumbai</v>
      </c>
      <c r="C41" s="29" t="str">
        <f>'Risk Master'!F41</f>
        <v>A11</v>
      </c>
      <c r="D41" s="73">
        <f>'Year 1 Results'!O41*-1+('Year 1 Results'!O41*'Event Trigger'!$E42*(1-'Input Sheet year 2'!H42))</f>
        <v>0</v>
      </c>
      <c r="E41" s="73">
        <f>'Year 1 Results'!P41*-1+('Year 1 Results'!P41*'Event Trigger'!$E42*(1-'Input Sheet year 2'!I42))</f>
        <v>0</v>
      </c>
      <c r="F41" s="73">
        <f>'Year 1 Results'!Q41*-1+('Year 1 Results'!Q41*'Event Trigger'!$E42*(1-'Input Sheet year 2'!J42))</f>
        <v>0</v>
      </c>
      <c r="G41" s="73">
        <f>'Year 1 Results'!R41*-1+('Year 1 Results'!R41*'Event Trigger'!$E42*(1-'Input Sheet year 2'!K42))</f>
        <v>0</v>
      </c>
      <c r="H41" s="73">
        <f>'Year 1 Results'!S41*-1+('Year 1 Results'!S41*'Event Trigger'!$E42*(1-'Input Sheet year 2'!L42))</f>
        <v>0</v>
      </c>
      <c r="I41" s="73">
        <f>'Year 1 Results'!T41*-1+('Year 1 Results'!T41*'Event Trigger'!$E42*(1-'Input Sheet year 2'!M42))</f>
        <v>0</v>
      </c>
      <c r="J41" s="73">
        <f>'Year 1 Results'!U41*-1+('Year 1 Results'!U41*'Event Trigger'!$E42*(1-'Input Sheet year 2'!N42))</f>
        <v>0</v>
      </c>
      <c r="K41" s="73">
        <f>'Year 1 Results'!V41*-1+('Year 1 Results'!V41*'Event Trigger'!$E42*(1-'Input Sheet year 2'!O42))</f>
        <v>0</v>
      </c>
      <c r="L41" s="73">
        <f>'Year 1 Results'!W41*-1+('Year 1 Results'!W41*'Event Trigger'!$E42*(1-'Input Sheet year 2'!P42))</f>
        <v>0</v>
      </c>
      <c r="M41" s="73">
        <f>'Year 1 Results'!X41*-1+('Year 1 Results'!X41*'Event Trigger'!$E42*(1-'Input Sheet year 2'!Q42))</f>
        <v>0</v>
      </c>
      <c r="N41" s="88"/>
      <c r="O41" s="88">
        <f t="shared" si="0"/>
        <v>0</v>
      </c>
      <c r="P41" s="88">
        <f t="shared" si="1"/>
        <v>0</v>
      </c>
      <c r="Q41" s="88">
        <f t="shared" si="2"/>
        <v>0</v>
      </c>
      <c r="R41" s="88">
        <f t="shared" si="3"/>
        <v>0</v>
      </c>
      <c r="S41" s="88">
        <f t="shared" si="4"/>
        <v>0</v>
      </c>
      <c r="T41" s="88">
        <f t="shared" si="5"/>
        <v>0</v>
      </c>
      <c r="U41" s="88">
        <f t="shared" si="6"/>
        <v>0</v>
      </c>
      <c r="V41" s="88">
        <f t="shared" si="7"/>
        <v>0</v>
      </c>
      <c r="W41" s="88">
        <f t="shared" si="8"/>
        <v>0</v>
      </c>
      <c r="X41" s="88">
        <f t="shared" si="9"/>
        <v>0</v>
      </c>
      <c r="Z41" s="51" t="s">
        <v>113</v>
      </c>
      <c r="AA41" s="52">
        <f>IF('Year 1 Results'!AA41*COUNTIF('Event Trigger'!$C:$C,'Year 2 Results'!$Z41)&gt;SUMIF('Event Trigger'!$C:$C,$Z41,D:D),0,'Year 1 Results'!AA41)</f>
        <v>0</v>
      </c>
      <c r="AB41" s="52">
        <f>IF('Year 1 Results'!AB41*COUNTIF('Event Trigger'!$C:$C,'Year 2 Results'!$Z41)&gt;SUMIF('Event Trigger'!$C:$C,$Z41,E:E),0,'Year 1 Results'!AB41)</f>
        <v>0</v>
      </c>
      <c r="AC41" s="52">
        <f>IF('Year 1 Results'!AC41*COUNTIF('Event Trigger'!$C:$C,'Year 2 Results'!$Z41)&gt;SUMIF('Event Trigger'!$C:$C,$Z41,F:F),0,'Year 1 Results'!AC41)</f>
        <v>0</v>
      </c>
      <c r="AD41" s="52">
        <f>IF('Year 1 Results'!AD41*COUNTIF('Event Trigger'!$C:$C,'Year 2 Results'!$Z41)&gt;SUMIF('Event Trigger'!$C:$C,$Z41,G:G),0,'Year 1 Results'!AD41)</f>
        <v>0</v>
      </c>
      <c r="AE41" s="52">
        <f>IF('Year 1 Results'!AE41*COUNTIF('Event Trigger'!$C:$C,'Year 2 Results'!$Z41)&gt;SUMIF('Event Trigger'!$C:$C,$Z41,H:H),0,'Year 1 Results'!AE41)</f>
        <v>0</v>
      </c>
      <c r="AF41" s="52">
        <f>IF('Year 1 Results'!AF41*COUNTIF('Event Trigger'!$C:$C,'Year 2 Results'!$Z41)&gt;SUMIF('Event Trigger'!$C:$C,$Z41,I:I),0,'Year 1 Results'!AF41)</f>
        <v>0</v>
      </c>
      <c r="AG41" s="52">
        <f>IF('Year 1 Results'!AG41*COUNTIF('Event Trigger'!$C:$C,'Year 2 Results'!$Z41)&gt;SUMIF('Event Trigger'!$C:$C,$Z41,J:J),0,'Year 1 Results'!AG41)</f>
        <v>0</v>
      </c>
      <c r="AH41" s="52">
        <f>IF('Year 1 Results'!AH41*COUNTIF('Event Trigger'!$C:$C,'Year 2 Results'!$Z41)&gt;SUMIF('Event Trigger'!$C:$C,$Z41,K:K),0,'Year 1 Results'!AH41)</f>
        <v>300000</v>
      </c>
      <c r="AI41" s="52">
        <f>IF('Year 1 Results'!AI41*COUNTIF('Event Trigger'!$C:$C,'Year 2 Results'!$Z41)&gt;SUMIF('Event Trigger'!$C:$C,$Z41,L:L),0,'Year 1 Results'!AI41)</f>
        <v>0</v>
      </c>
      <c r="AJ41" s="52">
        <f>IF('Year 1 Results'!AJ41*COUNTIF('Event Trigger'!$C:$C,'Year 2 Results'!$Z41)&gt;SUMIF('Event Trigger'!$C:$C,$Z41,M:M),0,'Year 1 Results'!AJ41)</f>
        <v>0</v>
      </c>
    </row>
    <row r="42" spans="1:36" ht="25.5" x14ac:dyDescent="0.25">
      <c r="A42" s="37" t="str">
        <f>'Risk Master'!B42:B175&amp;"-"&amp;'Risk Master'!D42</f>
        <v>Thunderstorms, Tornados &amp; Hail-Mumbai</v>
      </c>
      <c r="B42" s="37" t="str">
        <f>'Input Sheet year 2'!B43</f>
        <v>Thunderstorms, Tornados &amp; Hail-Mumbai</v>
      </c>
      <c r="C42" s="29" t="str">
        <f>'Risk Master'!F42</f>
        <v>A11</v>
      </c>
      <c r="D42" s="73">
        <f>'Year 1 Results'!O42*-1+('Year 1 Results'!O42*'Event Trigger'!$E43*(1-'Input Sheet year 2'!H43))</f>
        <v>0</v>
      </c>
      <c r="E42" s="73">
        <f>'Year 1 Results'!P42*-1+('Year 1 Results'!P42*'Event Trigger'!$E43*(1-'Input Sheet year 2'!I43))</f>
        <v>0</v>
      </c>
      <c r="F42" s="73">
        <f>'Year 1 Results'!Q42*-1+('Year 1 Results'!Q42*'Event Trigger'!$E43*(1-'Input Sheet year 2'!J43))</f>
        <v>0</v>
      </c>
      <c r="G42" s="73">
        <f>'Year 1 Results'!R42*-1+('Year 1 Results'!R42*'Event Trigger'!$E43*(1-'Input Sheet year 2'!K43))</f>
        <v>0</v>
      </c>
      <c r="H42" s="73">
        <f>'Year 1 Results'!S42*-1+('Year 1 Results'!S42*'Event Trigger'!$E43*(1-'Input Sheet year 2'!L43))</f>
        <v>0</v>
      </c>
      <c r="I42" s="73">
        <f>'Year 1 Results'!T42*-1+('Year 1 Results'!T42*'Event Trigger'!$E43*(1-'Input Sheet year 2'!M43))</f>
        <v>0</v>
      </c>
      <c r="J42" s="73">
        <f>'Year 1 Results'!U42*-1+('Year 1 Results'!U42*'Event Trigger'!$E43*(1-'Input Sheet year 2'!N43))</f>
        <v>0</v>
      </c>
      <c r="K42" s="73">
        <f>'Year 1 Results'!V42*-1+('Year 1 Results'!V42*'Event Trigger'!$E43*(1-'Input Sheet year 2'!O43))</f>
        <v>0</v>
      </c>
      <c r="L42" s="73">
        <f>'Year 1 Results'!W42*-1+('Year 1 Results'!W42*'Event Trigger'!$E43*(1-'Input Sheet year 2'!P43))</f>
        <v>0</v>
      </c>
      <c r="M42" s="73">
        <f>'Year 1 Results'!X42*-1+('Year 1 Results'!X42*'Event Trigger'!$E43*(1-'Input Sheet year 2'!Q43))</f>
        <v>0</v>
      </c>
      <c r="N42" s="88"/>
      <c r="O42" s="88">
        <f t="shared" si="0"/>
        <v>0</v>
      </c>
      <c r="P42" s="88">
        <f t="shared" si="1"/>
        <v>0</v>
      </c>
      <c r="Q42" s="88">
        <f t="shared" si="2"/>
        <v>0</v>
      </c>
      <c r="R42" s="88">
        <f t="shared" si="3"/>
        <v>0</v>
      </c>
      <c r="S42" s="88">
        <f t="shared" si="4"/>
        <v>0</v>
      </c>
      <c r="T42" s="88">
        <f t="shared" si="5"/>
        <v>0</v>
      </c>
      <c r="U42" s="88">
        <f t="shared" si="6"/>
        <v>0</v>
      </c>
      <c r="V42" s="88">
        <f t="shared" si="7"/>
        <v>0</v>
      </c>
      <c r="W42" s="88">
        <f t="shared" si="8"/>
        <v>0</v>
      </c>
      <c r="X42" s="88">
        <f t="shared" si="9"/>
        <v>0</v>
      </c>
      <c r="Z42" s="51" t="s">
        <v>205</v>
      </c>
      <c r="AA42" s="52">
        <f>IF('Year 1 Results'!AA42*COUNTIF('Event Trigger'!$C:$C,'Year 2 Results'!$Z42)&gt;SUMIF('Event Trigger'!$C:$C,$Z42,D:D),0,'Year 1 Results'!AA42)</f>
        <v>0</v>
      </c>
      <c r="AB42" s="52">
        <f>IF('Year 1 Results'!AB42*COUNTIF('Event Trigger'!$C:$C,'Year 2 Results'!$Z42)&gt;SUMIF('Event Trigger'!$C:$C,$Z42,E:E),0,'Year 1 Results'!AB42)</f>
        <v>0</v>
      </c>
      <c r="AC42" s="52">
        <f>IF('Year 1 Results'!AC42*COUNTIF('Event Trigger'!$C:$C,'Year 2 Results'!$Z42)&gt;SUMIF('Event Trigger'!$C:$C,$Z42,F:F),0,'Year 1 Results'!AC42)</f>
        <v>0</v>
      </c>
      <c r="AD42" s="52">
        <f>IF('Year 1 Results'!AD42*COUNTIF('Event Trigger'!$C:$C,'Year 2 Results'!$Z42)&gt;SUMIF('Event Trigger'!$C:$C,$Z42,G:G),0,'Year 1 Results'!AD42)</f>
        <v>0</v>
      </c>
      <c r="AE42" s="52">
        <f>IF('Year 1 Results'!AE42*COUNTIF('Event Trigger'!$C:$C,'Year 2 Results'!$Z42)&gt;SUMIF('Event Trigger'!$C:$C,$Z42,H:H),0,'Year 1 Results'!AE42)</f>
        <v>0</v>
      </c>
      <c r="AF42" s="52">
        <f>IF('Year 1 Results'!AF42*COUNTIF('Event Trigger'!$C:$C,'Year 2 Results'!$Z42)&gt;SUMIF('Event Trigger'!$C:$C,$Z42,I:I),0,'Year 1 Results'!AF42)</f>
        <v>0</v>
      </c>
      <c r="AG42" s="52">
        <f>IF('Year 1 Results'!AG42*COUNTIF('Event Trigger'!$C:$C,'Year 2 Results'!$Z42)&gt;SUMIF('Event Trigger'!$C:$C,$Z42,J:J),0,'Year 1 Results'!AG42)</f>
        <v>0</v>
      </c>
      <c r="AH42" s="52">
        <f>IF('Year 1 Results'!AH42*COUNTIF('Event Trigger'!$C:$C,'Year 2 Results'!$Z42)&gt;SUMIF('Event Trigger'!$C:$C,$Z42,K:K),0,'Year 1 Results'!AH42)</f>
        <v>0</v>
      </c>
      <c r="AI42" s="52">
        <f>IF('Year 1 Results'!AI42*COUNTIF('Event Trigger'!$C:$C,'Year 2 Results'!$Z42)&gt;SUMIF('Event Trigger'!$C:$C,$Z42,L:L),0,'Year 1 Results'!AI42)</f>
        <v>0</v>
      </c>
      <c r="AJ42" s="52">
        <f>IF('Year 1 Results'!AJ42*COUNTIF('Event Trigger'!$C:$C,'Year 2 Results'!$Z42)&gt;SUMIF('Event Trigger'!$C:$C,$Z42,M:M),0,'Year 1 Results'!AJ42)</f>
        <v>0</v>
      </c>
    </row>
    <row r="43" spans="1:36" x14ac:dyDescent="0.25">
      <c r="A43" s="37" t="str">
        <f>'Risk Master'!B43:B176&amp;"-"&amp;'Risk Master'!D43</f>
        <v>Tsunami-Mumbai</v>
      </c>
      <c r="B43" s="37" t="str">
        <f>'Input Sheet year 2'!B44</f>
        <v>Tsunami-Mumbai</v>
      </c>
      <c r="C43" s="29" t="str">
        <f>'Risk Master'!F43</f>
        <v>A11</v>
      </c>
      <c r="D43" s="73">
        <f>'Year 1 Results'!O43*-1+('Year 1 Results'!O43*'Event Trigger'!$E44*(1-'Input Sheet year 2'!H44))</f>
        <v>0</v>
      </c>
      <c r="E43" s="73">
        <f>'Year 1 Results'!P43*-1+('Year 1 Results'!P43*'Event Trigger'!$E44*(1-'Input Sheet year 2'!I44))</f>
        <v>0</v>
      </c>
      <c r="F43" s="73">
        <f>'Year 1 Results'!Q43*-1+('Year 1 Results'!Q43*'Event Trigger'!$E44*(1-'Input Sheet year 2'!J44))</f>
        <v>0</v>
      </c>
      <c r="G43" s="73">
        <f>'Year 1 Results'!R43*-1+('Year 1 Results'!R43*'Event Trigger'!$E44*(1-'Input Sheet year 2'!K44))</f>
        <v>0</v>
      </c>
      <c r="H43" s="73">
        <f>'Year 1 Results'!S43*-1+('Year 1 Results'!S43*'Event Trigger'!$E44*(1-'Input Sheet year 2'!L44))</f>
        <v>0</v>
      </c>
      <c r="I43" s="73">
        <f>'Year 1 Results'!T43*-1+('Year 1 Results'!T43*'Event Trigger'!$E44*(1-'Input Sheet year 2'!M44))</f>
        <v>0</v>
      </c>
      <c r="J43" s="73">
        <f>'Year 1 Results'!U43*-1+('Year 1 Results'!U43*'Event Trigger'!$E44*(1-'Input Sheet year 2'!N44))</f>
        <v>0</v>
      </c>
      <c r="K43" s="73">
        <f>'Year 1 Results'!V43*-1+('Year 1 Results'!V43*'Event Trigger'!$E44*(1-'Input Sheet year 2'!O44))</f>
        <v>0</v>
      </c>
      <c r="L43" s="73">
        <f>'Year 1 Results'!W43*-1+('Year 1 Results'!W43*'Event Trigger'!$E44*(1-'Input Sheet year 2'!P44))</f>
        <v>0</v>
      </c>
      <c r="M43" s="73">
        <f>'Year 1 Results'!X43*-1+('Year 1 Results'!X43*'Event Trigger'!$E44*(1-'Input Sheet year 2'!Q44))</f>
        <v>0</v>
      </c>
      <c r="N43" s="88"/>
      <c r="O43" s="88">
        <f t="shared" si="0"/>
        <v>0</v>
      </c>
      <c r="P43" s="88">
        <f t="shared" si="1"/>
        <v>0</v>
      </c>
      <c r="Q43" s="88">
        <f t="shared" si="2"/>
        <v>0</v>
      </c>
      <c r="R43" s="88">
        <f t="shared" si="3"/>
        <v>0</v>
      </c>
      <c r="S43" s="88">
        <f t="shared" si="4"/>
        <v>0</v>
      </c>
      <c r="T43" s="88">
        <f t="shared" si="5"/>
        <v>0</v>
      </c>
      <c r="U43" s="88">
        <f t="shared" si="6"/>
        <v>0</v>
      </c>
      <c r="V43" s="88">
        <f t="shared" si="7"/>
        <v>0</v>
      </c>
      <c r="W43" s="88">
        <f t="shared" si="8"/>
        <v>0</v>
      </c>
      <c r="X43" s="88">
        <f t="shared" si="9"/>
        <v>0</v>
      </c>
      <c r="Z43" s="51" t="s">
        <v>206</v>
      </c>
      <c r="AA43" s="52">
        <f>IF('Year 1 Results'!AA43*COUNTIF('Event Trigger'!$C:$C,'Year 2 Results'!$Z43)&gt;SUMIF('Event Trigger'!$C:$C,$Z43,D:D),0,'Year 1 Results'!AA43)</f>
        <v>0</v>
      </c>
      <c r="AB43" s="52">
        <f>IF('Year 1 Results'!AB43*COUNTIF('Event Trigger'!$C:$C,'Year 2 Results'!$Z43)&gt;SUMIF('Event Trigger'!$C:$C,$Z43,E:E),0,'Year 1 Results'!AB43)</f>
        <v>0</v>
      </c>
      <c r="AC43" s="52">
        <f>IF('Year 1 Results'!AC43*COUNTIF('Event Trigger'!$C:$C,'Year 2 Results'!$Z43)&gt;SUMIF('Event Trigger'!$C:$C,$Z43,F:F),0,'Year 1 Results'!AC43)</f>
        <v>0</v>
      </c>
      <c r="AD43" s="52">
        <f>IF('Year 1 Results'!AD43*COUNTIF('Event Trigger'!$C:$C,'Year 2 Results'!$Z43)&gt;SUMIF('Event Trigger'!$C:$C,$Z43,G:G),0,'Year 1 Results'!AD43)</f>
        <v>0</v>
      </c>
      <c r="AE43" s="52">
        <f>IF('Year 1 Results'!AE43*COUNTIF('Event Trigger'!$C:$C,'Year 2 Results'!$Z43)&gt;SUMIF('Event Trigger'!$C:$C,$Z43,H:H),0,'Year 1 Results'!AE43)</f>
        <v>0</v>
      </c>
      <c r="AF43" s="52">
        <f>IF('Year 1 Results'!AF43*COUNTIF('Event Trigger'!$C:$C,'Year 2 Results'!$Z43)&gt;SUMIF('Event Trigger'!$C:$C,$Z43,I:I),0,'Year 1 Results'!AF43)</f>
        <v>0</v>
      </c>
      <c r="AG43" s="52">
        <f>IF('Year 1 Results'!AG43*COUNTIF('Event Trigger'!$C:$C,'Year 2 Results'!$Z43)&gt;SUMIF('Event Trigger'!$C:$C,$Z43,J:J),0,'Year 1 Results'!AG43)</f>
        <v>0</v>
      </c>
      <c r="AH43" s="52">
        <f>IF('Year 1 Results'!AH43*COUNTIF('Event Trigger'!$C:$C,'Year 2 Results'!$Z43)&gt;SUMIF('Event Trigger'!$C:$C,$Z43,K:K),0,'Year 1 Results'!AH43)</f>
        <v>0</v>
      </c>
      <c r="AI43" s="52">
        <f>IF('Year 1 Results'!AI43*COUNTIF('Event Trigger'!$C:$C,'Year 2 Results'!$Z43)&gt;SUMIF('Event Trigger'!$C:$C,$Z43,L:L),0,'Year 1 Results'!AI43)</f>
        <v>0</v>
      </c>
      <c r="AJ43" s="52">
        <f>IF('Year 1 Results'!AJ43*COUNTIF('Event Trigger'!$C:$C,'Year 2 Results'!$Z43)&gt;SUMIF('Event Trigger'!$C:$C,$Z43,M:M),0,'Year 1 Results'!AJ43)</f>
        <v>0</v>
      </c>
    </row>
    <row r="44" spans="1:36" ht="25.5" x14ac:dyDescent="0.25">
      <c r="A44" s="37" t="str">
        <f>'Risk Master'!B44:B177&amp;"-"&amp;'Risk Master'!D44</f>
        <v>High tide and high rainfalls leading to large floods-Mumbai</v>
      </c>
      <c r="B44" s="37" t="str">
        <f>'Input Sheet year 2'!B45</f>
        <v>Flood-Mumbai</v>
      </c>
      <c r="C44" s="29" t="str">
        <f>'Risk Master'!F44</f>
        <v>A12</v>
      </c>
      <c r="D44" s="73">
        <f>'Year 1 Results'!O44*-1+('Year 1 Results'!O44*'Event Trigger'!$E45*(1-'Input Sheet year 2'!H45))</f>
        <v>0</v>
      </c>
      <c r="E44" s="73">
        <f>'Year 1 Results'!P44*-1+('Year 1 Results'!P44*'Event Trigger'!$E45*(1-'Input Sheet year 2'!I45))</f>
        <v>0</v>
      </c>
      <c r="F44" s="73">
        <f>'Year 1 Results'!Q44*-1+('Year 1 Results'!Q44*'Event Trigger'!$E45*(1-'Input Sheet year 2'!J45))</f>
        <v>0</v>
      </c>
      <c r="G44" s="73">
        <f>'Year 1 Results'!R44*-1+('Year 1 Results'!R44*'Event Trigger'!$E45*(1-'Input Sheet year 2'!K45))</f>
        <v>0</v>
      </c>
      <c r="H44" s="73">
        <f>'Year 1 Results'!S44*-1+('Year 1 Results'!S44*'Event Trigger'!$E45*(1-'Input Sheet year 2'!L45))</f>
        <v>0</v>
      </c>
      <c r="I44" s="73">
        <f>'Year 1 Results'!T44*-1+('Year 1 Results'!T44*'Event Trigger'!$E45*(1-'Input Sheet year 2'!M45))</f>
        <v>0</v>
      </c>
      <c r="J44" s="73">
        <f>'Year 1 Results'!U44*-1+('Year 1 Results'!U44*'Event Trigger'!$E45*(1-'Input Sheet year 2'!N45))</f>
        <v>0</v>
      </c>
      <c r="K44" s="73">
        <f>'Year 1 Results'!V44*-1+('Year 1 Results'!V44*'Event Trigger'!$E45*(1-'Input Sheet year 2'!O45))</f>
        <v>0</v>
      </c>
      <c r="L44" s="73">
        <f>'Year 1 Results'!W44*-1+('Year 1 Results'!W44*'Event Trigger'!$E45*(1-'Input Sheet year 2'!P45))</f>
        <v>0</v>
      </c>
      <c r="M44" s="73">
        <f>'Year 1 Results'!X44*-1+('Year 1 Results'!X44*'Event Trigger'!$E45*(1-'Input Sheet year 2'!Q45))</f>
        <v>0</v>
      </c>
      <c r="N44" s="88"/>
      <c r="O44" s="88">
        <f t="shared" si="0"/>
        <v>0</v>
      </c>
      <c r="P44" s="88">
        <f t="shared" si="1"/>
        <v>0</v>
      </c>
      <c r="Q44" s="88">
        <f t="shared" si="2"/>
        <v>0</v>
      </c>
      <c r="R44" s="88">
        <f t="shared" si="3"/>
        <v>0</v>
      </c>
      <c r="S44" s="88">
        <f t="shared" si="4"/>
        <v>0</v>
      </c>
      <c r="T44" s="88">
        <f t="shared" si="5"/>
        <v>0</v>
      </c>
      <c r="U44" s="88">
        <f t="shared" si="6"/>
        <v>0</v>
      </c>
      <c r="V44" s="88">
        <f t="shared" si="7"/>
        <v>0</v>
      </c>
      <c r="W44" s="88">
        <f t="shared" si="8"/>
        <v>0</v>
      </c>
      <c r="X44" s="88">
        <f t="shared" si="9"/>
        <v>0</v>
      </c>
      <c r="Z44" s="51" t="s">
        <v>207</v>
      </c>
      <c r="AA44" s="52">
        <f>IF('Year 1 Results'!AA44*COUNTIF('Event Trigger'!$C:$C,'Year 2 Results'!$Z44)&gt;SUMIF('Event Trigger'!$C:$C,$Z44,D:D),0,'Year 1 Results'!AA44)</f>
        <v>0</v>
      </c>
      <c r="AB44" s="52">
        <f>IF('Year 1 Results'!AB44*COUNTIF('Event Trigger'!$C:$C,'Year 2 Results'!$Z44)&gt;SUMIF('Event Trigger'!$C:$C,$Z44,E:E),0,'Year 1 Results'!AB44)</f>
        <v>0</v>
      </c>
      <c r="AC44" s="52">
        <f>IF('Year 1 Results'!AC44*COUNTIF('Event Trigger'!$C:$C,'Year 2 Results'!$Z44)&gt;SUMIF('Event Trigger'!$C:$C,$Z44,F:F),0,'Year 1 Results'!AC44)</f>
        <v>0</v>
      </c>
      <c r="AD44" s="52">
        <f>IF('Year 1 Results'!AD44*COUNTIF('Event Trigger'!$C:$C,'Year 2 Results'!$Z44)&gt;SUMIF('Event Trigger'!$C:$C,$Z44,G:G),0,'Year 1 Results'!AD44)</f>
        <v>0</v>
      </c>
      <c r="AE44" s="52">
        <f>IF('Year 1 Results'!AE44*COUNTIF('Event Trigger'!$C:$C,'Year 2 Results'!$Z44)&gt;SUMIF('Event Trigger'!$C:$C,$Z44,H:H),0,'Year 1 Results'!AE44)</f>
        <v>0</v>
      </c>
      <c r="AF44" s="52">
        <f>IF('Year 1 Results'!AF44*COUNTIF('Event Trigger'!$C:$C,'Year 2 Results'!$Z44)&gt;SUMIF('Event Trigger'!$C:$C,$Z44,I:I),0,'Year 1 Results'!AF44)</f>
        <v>0</v>
      </c>
      <c r="AG44" s="52">
        <f>IF('Year 1 Results'!AG44*COUNTIF('Event Trigger'!$C:$C,'Year 2 Results'!$Z44)&gt;SUMIF('Event Trigger'!$C:$C,$Z44,J:J),0,'Year 1 Results'!AG44)</f>
        <v>0</v>
      </c>
      <c r="AH44" s="52">
        <f>IF('Year 1 Results'!AH44*COUNTIF('Event Trigger'!$C:$C,'Year 2 Results'!$Z44)&gt;SUMIF('Event Trigger'!$C:$C,$Z44,K:K),0,'Year 1 Results'!AH44)</f>
        <v>0</v>
      </c>
      <c r="AI44" s="52">
        <f>IF('Year 1 Results'!AI44*COUNTIF('Event Trigger'!$C:$C,'Year 2 Results'!$Z44)&gt;SUMIF('Event Trigger'!$C:$C,$Z44,L:L),0,'Year 1 Results'!AI44)</f>
        <v>0</v>
      </c>
      <c r="AJ44" s="52">
        <f>IF('Year 1 Results'!AJ44*COUNTIF('Event Trigger'!$C:$C,'Year 2 Results'!$Z44)&gt;SUMIF('Event Trigger'!$C:$C,$Z44,M:M),0,'Year 1 Results'!AJ44)</f>
        <v>0</v>
      </c>
    </row>
    <row r="45" spans="1:36" x14ac:dyDescent="0.25">
      <c r="A45" s="37" t="str">
        <f>'Risk Master'!B45:B178&amp;"-"&amp;'Risk Master'!D45</f>
        <v>Earthquake-Mumbai</v>
      </c>
      <c r="B45" s="37" t="str">
        <f>'Input Sheet year 2'!B46</f>
        <v>Earthquake-Mumbai</v>
      </c>
      <c r="C45" s="29" t="str">
        <f>'Risk Master'!F45</f>
        <v>A12</v>
      </c>
      <c r="D45" s="73">
        <f>'Year 1 Results'!O45*-1+('Year 1 Results'!O45*'Event Trigger'!$E46*(1-'Input Sheet year 2'!H46))</f>
        <v>0</v>
      </c>
      <c r="E45" s="73">
        <f>'Year 1 Results'!P45*-1+('Year 1 Results'!P45*'Event Trigger'!$E46*(1-'Input Sheet year 2'!I46))</f>
        <v>0</v>
      </c>
      <c r="F45" s="73">
        <f>'Year 1 Results'!Q45*-1+('Year 1 Results'!Q45*'Event Trigger'!$E46*(1-'Input Sheet year 2'!J46))</f>
        <v>0</v>
      </c>
      <c r="G45" s="73">
        <f>'Year 1 Results'!R45*-1+('Year 1 Results'!R45*'Event Trigger'!$E46*(1-'Input Sheet year 2'!K46))</f>
        <v>0</v>
      </c>
      <c r="H45" s="73">
        <f>'Year 1 Results'!S45*-1+('Year 1 Results'!S45*'Event Trigger'!$E46*(1-'Input Sheet year 2'!L46))</f>
        <v>0</v>
      </c>
      <c r="I45" s="73">
        <f>'Year 1 Results'!T45*-1+('Year 1 Results'!T45*'Event Trigger'!$E46*(1-'Input Sheet year 2'!M46))</f>
        <v>0</v>
      </c>
      <c r="J45" s="73">
        <f>'Year 1 Results'!U45*-1+('Year 1 Results'!U45*'Event Trigger'!$E46*(1-'Input Sheet year 2'!N46))</f>
        <v>0</v>
      </c>
      <c r="K45" s="73">
        <f>'Year 1 Results'!V45*-1+('Year 1 Results'!V45*'Event Trigger'!$E46*(1-'Input Sheet year 2'!O46))</f>
        <v>0</v>
      </c>
      <c r="L45" s="73">
        <f>'Year 1 Results'!W45*-1+('Year 1 Results'!W45*'Event Trigger'!$E46*(1-'Input Sheet year 2'!P46))</f>
        <v>0</v>
      </c>
      <c r="M45" s="73">
        <f>'Year 1 Results'!X45*-1+('Year 1 Results'!X45*'Event Trigger'!$E46*(1-'Input Sheet year 2'!Q46))</f>
        <v>0</v>
      </c>
      <c r="N45" s="88"/>
      <c r="O45" s="88">
        <f t="shared" si="0"/>
        <v>0</v>
      </c>
      <c r="P45" s="88">
        <f t="shared" si="1"/>
        <v>0</v>
      </c>
      <c r="Q45" s="88">
        <f t="shared" si="2"/>
        <v>0</v>
      </c>
      <c r="R45" s="88">
        <f t="shared" si="3"/>
        <v>0</v>
      </c>
      <c r="S45" s="88">
        <f t="shared" si="4"/>
        <v>0</v>
      </c>
      <c r="T45" s="88">
        <f t="shared" si="5"/>
        <v>0</v>
      </c>
      <c r="U45" s="88">
        <f t="shared" si="6"/>
        <v>0</v>
      </c>
      <c r="V45" s="88">
        <f t="shared" si="7"/>
        <v>0</v>
      </c>
      <c r="W45" s="88">
        <f t="shared" si="8"/>
        <v>0</v>
      </c>
      <c r="X45" s="88">
        <f t="shared" si="9"/>
        <v>0</v>
      </c>
      <c r="Z45" s="51" t="s">
        <v>208</v>
      </c>
      <c r="AA45" s="52">
        <f>IF('Year 1 Results'!AA45*COUNTIF('Event Trigger'!$C:$C,'Year 2 Results'!$Z45)&gt;SUMIF('Event Trigger'!$C:$C,$Z45,D:D),0,'Year 1 Results'!AA45)</f>
        <v>0</v>
      </c>
      <c r="AB45" s="52">
        <f>IF('Year 1 Results'!AB45*COUNTIF('Event Trigger'!$C:$C,'Year 2 Results'!$Z45)&gt;SUMIF('Event Trigger'!$C:$C,$Z45,E:E),0,'Year 1 Results'!AB45)</f>
        <v>0</v>
      </c>
      <c r="AC45" s="52">
        <f>IF('Year 1 Results'!AC45*COUNTIF('Event Trigger'!$C:$C,'Year 2 Results'!$Z45)&gt;SUMIF('Event Trigger'!$C:$C,$Z45,F:F),0,'Year 1 Results'!AC45)</f>
        <v>0</v>
      </c>
      <c r="AD45" s="52">
        <f>IF('Year 1 Results'!AD45*COUNTIF('Event Trigger'!$C:$C,'Year 2 Results'!$Z45)&gt;SUMIF('Event Trigger'!$C:$C,$Z45,G:G),0,'Year 1 Results'!AD45)</f>
        <v>0</v>
      </c>
      <c r="AE45" s="52">
        <f>IF('Year 1 Results'!AE45*COUNTIF('Event Trigger'!$C:$C,'Year 2 Results'!$Z45)&gt;SUMIF('Event Trigger'!$C:$C,$Z45,H:H),0,'Year 1 Results'!AE45)</f>
        <v>0</v>
      </c>
      <c r="AF45" s="52">
        <f>IF('Year 1 Results'!AF45*COUNTIF('Event Trigger'!$C:$C,'Year 2 Results'!$Z45)&gt;SUMIF('Event Trigger'!$C:$C,$Z45,I:I),0,'Year 1 Results'!AF45)</f>
        <v>0</v>
      </c>
      <c r="AG45" s="52">
        <f>IF('Year 1 Results'!AG45*COUNTIF('Event Trigger'!$C:$C,'Year 2 Results'!$Z45)&gt;SUMIF('Event Trigger'!$C:$C,$Z45,J:J),0,'Year 1 Results'!AG45)</f>
        <v>0</v>
      </c>
      <c r="AH45" s="52">
        <f>IF('Year 1 Results'!AH45*COUNTIF('Event Trigger'!$C:$C,'Year 2 Results'!$Z45)&gt;SUMIF('Event Trigger'!$C:$C,$Z45,K:K),0,'Year 1 Results'!AH45)</f>
        <v>0</v>
      </c>
      <c r="AI45" s="52">
        <f>IF('Year 1 Results'!AI45*COUNTIF('Event Trigger'!$C:$C,'Year 2 Results'!$Z45)&gt;SUMIF('Event Trigger'!$C:$C,$Z45,L:L),0,'Year 1 Results'!AI45)</f>
        <v>0</v>
      </c>
      <c r="AJ45" s="52">
        <f>IF('Year 1 Results'!AJ45*COUNTIF('Event Trigger'!$C:$C,'Year 2 Results'!$Z45)&gt;SUMIF('Event Trigger'!$C:$C,$Z45,M:M),0,'Year 1 Results'!AJ45)</f>
        <v>0</v>
      </c>
    </row>
    <row r="46" spans="1:36" x14ac:dyDescent="0.25">
      <c r="A46" s="37" t="str">
        <f>'Risk Master'!B46:B179&amp;"-"&amp;'Risk Master'!D46</f>
        <v>Fire-Mumbai</v>
      </c>
      <c r="B46" s="37" t="str">
        <f>'Input Sheet year 2'!B47</f>
        <v>Fire-Mumbai</v>
      </c>
      <c r="C46" s="29" t="str">
        <f>'Risk Master'!F46</f>
        <v>A12</v>
      </c>
      <c r="D46" s="73">
        <f>'Year 1 Results'!O46*-1+('Year 1 Results'!O46*'Event Trigger'!$E47*(1-'Input Sheet year 2'!H47))</f>
        <v>0</v>
      </c>
      <c r="E46" s="73">
        <f>'Year 1 Results'!P46*-1+('Year 1 Results'!P46*'Event Trigger'!$E47*(1-'Input Sheet year 2'!I47))</f>
        <v>0</v>
      </c>
      <c r="F46" s="73">
        <f>'Year 1 Results'!Q46*-1+('Year 1 Results'!Q46*'Event Trigger'!$E47*(1-'Input Sheet year 2'!J47))</f>
        <v>0</v>
      </c>
      <c r="G46" s="73">
        <f>'Year 1 Results'!R46*-1+('Year 1 Results'!R46*'Event Trigger'!$E47*(1-'Input Sheet year 2'!K47))</f>
        <v>0</v>
      </c>
      <c r="H46" s="73">
        <f>'Year 1 Results'!S46*-1+('Year 1 Results'!S46*'Event Trigger'!$E47*(1-'Input Sheet year 2'!L47))</f>
        <v>0</v>
      </c>
      <c r="I46" s="73">
        <f>'Year 1 Results'!T46*-1+('Year 1 Results'!T46*'Event Trigger'!$E47*(1-'Input Sheet year 2'!M47))</f>
        <v>0</v>
      </c>
      <c r="J46" s="73">
        <f>'Year 1 Results'!U46*-1+('Year 1 Results'!U46*'Event Trigger'!$E47*(1-'Input Sheet year 2'!N47))</f>
        <v>0</v>
      </c>
      <c r="K46" s="73">
        <f>'Year 1 Results'!V46*-1+('Year 1 Results'!V46*'Event Trigger'!$E47*(1-'Input Sheet year 2'!O47))</f>
        <v>0</v>
      </c>
      <c r="L46" s="73">
        <f>'Year 1 Results'!W46*-1+('Year 1 Results'!W46*'Event Trigger'!$E47*(1-'Input Sheet year 2'!P47))</f>
        <v>0</v>
      </c>
      <c r="M46" s="73">
        <f>'Year 1 Results'!X46*-1+('Year 1 Results'!X46*'Event Trigger'!$E47*(1-'Input Sheet year 2'!Q47))</f>
        <v>0</v>
      </c>
      <c r="N46" s="88"/>
      <c r="O46" s="88">
        <f t="shared" si="0"/>
        <v>0</v>
      </c>
      <c r="P46" s="88">
        <f t="shared" si="1"/>
        <v>0</v>
      </c>
      <c r="Q46" s="88">
        <f t="shared" si="2"/>
        <v>0</v>
      </c>
      <c r="R46" s="88">
        <f t="shared" si="3"/>
        <v>0</v>
      </c>
      <c r="S46" s="88">
        <f t="shared" si="4"/>
        <v>0</v>
      </c>
      <c r="T46" s="88">
        <f t="shared" si="5"/>
        <v>0</v>
      </c>
      <c r="U46" s="88">
        <f t="shared" si="6"/>
        <v>0</v>
      </c>
      <c r="V46" s="88">
        <f t="shared" si="7"/>
        <v>0</v>
      </c>
      <c r="W46" s="88">
        <f t="shared" si="8"/>
        <v>0</v>
      </c>
      <c r="X46" s="88">
        <f t="shared" si="9"/>
        <v>0</v>
      </c>
      <c r="Z46" s="51" t="s">
        <v>209</v>
      </c>
      <c r="AA46" s="52">
        <f>IF('Year 1 Results'!AA46*COUNTIF('Event Trigger'!$C:$C,'Year 2 Results'!$Z46)&gt;SUMIF('Event Trigger'!$C:$C,$Z46,D:D),0,'Year 1 Results'!AA46)</f>
        <v>300000</v>
      </c>
      <c r="AB46" s="52">
        <f>IF('Year 1 Results'!AB46*COUNTIF('Event Trigger'!$C:$C,'Year 2 Results'!$Z46)&gt;SUMIF('Event Trigger'!$C:$C,$Z46,E:E),0,'Year 1 Results'!AB46)</f>
        <v>300000</v>
      </c>
      <c r="AC46" s="52">
        <f>IF('Year 1 Results'!AC46*COUNTIF('Event Trigger'!$C:$C,'Year 2 Results'!$Z46)&gt;SUMIF('Event Trigger'!$C:$C,$Z46,F:F),0,'Year 1 Results'!AC46)</f>
        <v>300000</v>
      </c>
      <c r="AD46" s="52">
        <f>IF('Year 1 Results'!AD46*COUNTIF('Event Trigger'!$C:$C,'Year 2 Results'!$Z46)&gt;SUMIF('Event Trigger'!$C:$C,$Z46,G:G),0,'Year 1 Results'!AD46)</f>
        <v>300000</v>
      </c>
      <c r="AE46" s="52">
        <f>IF('Year 1 Results'!AE46*COUNTIF('Event Trigger'!$C:$C,'Year 2 Results'!$Z46)&gt;SUMIF('Event Trigger'!$C:$C,$Z46,H:H),0,'Year 1 Results'!AE46)</f>
        <v>300000</v>
      </c>
      <c r="AF46" s="52">
        <f>IF('Year 1 Results'!AF46*COUNTIF('Event Trigger'!$C:$C,'Year 2 Results'!$Z46)&gt;SUMIF('Event Trigger'!$C:$C,$Z46,I:I),0,'Year 1 Results'!AF46)</f>
        <v>300000</v>
      </c>
      <c r="AG46" s="52">
        <f>IF('Year 1 Results'!AG46*COUNTIF('Event Trigger'!$C:$C,'Year 2 Results'!$Z46)&gt;SUMIF('Event Trigger'!$C:$C,$Z46,J:J),0,'Year 1 Results'!AG46)</f>
        <v>300000</v>
      </c>
      <c r="AH46" s="52">
        <f>IF('Year 1 Results'!AH46*COUNTIF('Event Trigger'!$C:$C,'Year 2 Results'!$Z46)&gt;SUMIF('Event Trigger'!$C:$C,$Z46,K:K),0,'Year 1 Results'!AH46)</f>
        <v>300000</v>
      </c>
      <c r="AI46" s="52">
        <f>IF('Year 1 Results'!AI46*COUNTIF('Event Trigger'!$C:$C,'Year 2 Results'!$Z46)&gt;SUMIF('Event Trigger'!$C:$C,$Z46,L:L),0,'Year 1 Results'!AI46)</f>
        <v>300000</v>
      </c>
      <c r="AJ46" s="52">
        <f>IF('Year 1 Results'!AJ46*COUNTIF('Event Trigger'!$C:$C,'Year 2 Results'!$Z46)&gt;SUMIF('Event Trigger'!$C:$C,$Z46,M:M),0,'Year 1 Results'!AJ46)</f>
        <v>300000</v>
      </c>
    </row>
    <row r="47" spans="1:36" x14ac:dyDescent="0.25">
      <c r="A47" s="37" t="str">
        <f>'Risk Master'!B47:B180&amp;"-"&amp;'Risk Master'!D47</f>
        <v>Typhoon-Mumbai</v>
      </c>
      <c r="B47" s="37" t="str">
        <f>'Input Sheet year 2'!B48</f>
        <v>Typhoon-Mumbai</v>
      </c>
      <c r="C47" s="29" t="str">
        <f>'Risk Master'!F47</f>
        <v>A12</v>
      </c>
      <c r="D47" s="73">
        <f>'Year 1 Results'!O47*-1+('Year 1 Results'!O47*'Event Trigger'!$E48*(1-'Input Sheet year 2'!H48))</f>
        <v>0</v>
      </c>
      <c r="E47" s="73">
        <f>'Year 1 Results'!P47*-1+('Year 1 Results'!P47*'Event Trigger'!$E48*(1-'Input Sheet year 2'!I48))</f>
        <v>0</v>
      </c>
      <c r="F47" s="73">
        <f>'Year 1 Results'!Q47*-1+('Year 1 Results'!Q47*'Event Trigger'!$E48*(1-'Input Sheet year 2'!J48))</f>
        <v>0</v>
      </c>
      <c r="G47" s="73">
        <f>'Year 1 Results'!R47*-1+('Year 1 Results'!R47*'Event Trigger'!$E48*(1-'Input Sheet year 2'!K48))</f>
        <v>0</v>
      </c>
      <c r="H47" s="73">
        <f>'Year 1 Results'!S47*-1+('Year 1 Results'!S47*'Event Trigger'!$E48*(1-'Input Sheet year 2'!L48))</f>
        <v>0</v>
      </c>
      <c r="I47" s="73">
        <f>'Year 1 Results'!T47*-1+('Year 1 Results'!T47*'Event Trigger'!$E48*(1-'Input Sheet year 2'!M48))</f>
        <v>0</v>
      </c>
      <c r="J47" s="73">
        <f>'Year 1 Results'!U47*-1+('Year 1 Results'!U47*'Event Trigger'!$E48*(1-'Input Sheet year 2'!N48))</f>
        <v>0</v>
      </c>
      <c r="K47" s="73">
        <f>'Year 1 Results'!V47*-1+('Year 1 Results'!V47*'Event Trigger'!$E48*(1-'Input Sheet year 2'!O48))</f>
        <v>0</v>
      </c>
      <c r="L47" s="73">
        <f>'Year 1 Results'!W47*-1+('Year 1 Results'!W47*'Event Trigger'!$E48*(1-'Input Sheet year 2'!P48))</f>
        <v>0</v>
      </c>
      <c r="M47" s="73">
        <f>'Year 1 Results'!X47*-1+('Year 1 Results'!X47*'Event Trigger'!$E48*(1-'Input Sheet year 2'!Q48))</f>
        <v>0</v>
      </c>
      <c r="N47" s="88"/>
      <c r="O47" s="88">
        <f t="shared" si="0"/>
        <v>0</v>
      </c>
      <c r="P47" s="88">
        <f t="shared" si="1"/>
        <v>0</v>
      </c>
      <c r="Q47" s="88">
        <f t="shared" si="2"/>
        <v>0</v>
      </c>
      <c r="R47" s="88">
        <f t="shared" si="3"/>
        <v>0</v>
      </c>
      <c r="S47" s="88">
        <f t="shared" si="4"/>
        <v>0</v>
      </c>
      <c r="T47" s="88">
        <f t="shared" si="5"/>
        <v>0</v>
      </c>
      <c r="U47" s="88">
        <f t="shared" si="6"/>
        <v>0</v>
      </c>
      <c r="V47" s="88">
        <f t="shared" si="7"/>
        <v>0</v>
      </c>
      <c r="W47" s="88">
        <f t="shared" si="8"/>
        <v>0</v>
      </c>
      <c r="X47" s="88">
        <f t="shared" si="9"/>
        <v>0</v>
      </c>
      <c r="Z47" s="51" t="s">
        <v>210</v>
      </c>
      <c r="AA47" s="52">
        <f>IF('Year 1 Results'!AA47*COUNTIF('Event Trigger'!$C:$C,'Year 2 Results'!$Z47)&gt;SUMIF('Event Trigger'!$C:$C,$Z47,D:D),0,'Year 1 Results'!AA47)</f>
        <v>0</v>
      </c>
      <c r="AB47" s="52">
        <f>IF('Year 1 Results'!AB47*COUNTIF('Event Trigger'!$C:$C,'Year 2 Results'!$Z47)&gt;SUMIF('Event Trigger'!$C:$C,$Z47,E:E),0,'Year 1 Results'!AB47)</f>
        <v>0</v>
      </c>
      <c r="AC47" s="52">
        <f>IF('Year 1 Results'!AC47*COUNTIF('Event Trigger'!$C:$C,'Year 2 Results'!$Z47)&gt;SUMIF('Event Trigger'!$C:$C,$Z47,F:F),0,'Year 1 Results'!AC47)</f>
        <v>0</v>
      </c>
      <c r="AD47" s="52">
        <f>IF('Year 1 Results'!AD47*COUNTIF('Event Trigger'!$C:$C,'Year 2 Results'!$Z47)&gt;SUMIF('Event Trigger'!$C:$C,$Z47,G:G),0,'Year 1 Results'!AD47)</f>
        <v>0</v>
      </c>
      <c r="AE47" s="52">
        <f>IF('Year 1 Results'!AE47*COUNTIF('Event Trigger'!$C:$C,'Year 2 Results'!$Z47)&gt;SUMIF('Event Trigger'!$C:$C,$Z47,H:H),0,'Year 1 Results'!AE47)</f>
        <v>0</v>
      </c>
      <c r="AF47" s="52">
        <f>IF('Year 1 Results'!AF47*COUNTIF('Event Trigger'!$C:$C,'Year 2 Results'!$Z47)&gt;SUMIF('Event Trigger'!$C:$C,$Z47,I:I),0,'Year 1 Results'!AF47)</f>
        <v>0</v>
      </c>
      <c r="AG47" s="52">
        <f>IF('Year 1 Results'!AG47*COUNTIF('Event Trigger'!$C:$C,'Year 2 Results'!$Z47)&gt;SUMIF('Event Trigger'!$C:$C,$Z47,J:J),0,'Year 1 Results'!AG47)</f>
        <v>0</v>
      </c>
      <c r="AH47" s="52">
        <f>IF('Year 1 Results'!AH47*COUNTIF('Event Trigger'!$C:$C,'Year 2 Results'!$Z47)&gt;SUMIF('Event Trigger'!$C:$C,$Z47,K:K),0,'Year 1 Results'!AH47)</f>
        <v>0</v>
      </c>
      <c r="AI47" s="52">
        <f>IF('Year 1 Results'!AI47*COUNTIF('Event Trigger'!$C:$C,'Year 2 Results'!$Z47)&gt;SUMIF('Event Trigger'!$C:$C,$Z47,L:L),0,'Year 1 Results'!AI47)</f>
        <v>0</v>
      </c>
      <c r="AJ47" s="52">
        <f>IF('Year 1 Results'!AJ47*COUNTIF('Event Trigger'!$C:$C,'Year 2 Results'!$Z47)&gt;SUMIF('Event Trigger'!$C:$C,$Z47,M:M),0,'Year 1 Results'!AJ47)</f>
        <v>0</v>
      </c>
    </row>
    <row r="48" spans="1:36" ht="25.5" x14ac:dyDescent="0.25">
      <c r="A48" s="37" t="str">
        <f>'Risk Master'!B48:B181&amp;"-"&amp;'Risk Master'!D48</f>
        <v>Thunderstorms, Tornados &amp; Hail-Mumbai</v>
      </c>
      <c r="B48" s="37" t="str">
        <f>'Input Sheet year 2'!B49</f>
        <v>Thunderstorms, Tornados &amp; Hail-Mumbai</v>
      </c>
      <c r="C48" s="29" t="str">
        <f>'Risk Master'!F48</f>
        <v>A12</v>
      </c>
      <c r="D48" s="73">
        <f>'Year 1 Results'!O48*-1+('Year 1 Results'!O48*'Event Trigger'!$E49*(1-'Input Sheet year 2'!H49))</f>
        <v>0</v>
      </c>
      <c r="E48" s="73">
        <f>'Year 1 Results'!P48*-1+('Year 1 Results'!P48*'Event Trigger'!$E49*(1-'Input Sheet year 2'!I49))</f>
        <v>0</v>
      </c>
      <c r="F48" s="73">
        <f>'Year 1 Results'!Q48*-1+('Year 1 Results'!Q48*'Event Trigger'!$E49*(1-'Input Sheet year 2'!J49))</f>
        <v>0</v>
      </c>
      <c r="G48" s="73">
        <f>'Year 1 Results'!R48*-1+('Year 1 Results'!R48*'Event Trigger'!$E49*(1-'Input Sheet year 2'!K49))</f>
        <v>0</v>
      </c>
      <c r="H48" s="73">
        <f>'Year 1 Results'!S48*-1+('Year 1 Results'!S48*'Event Trigger'!$E49*(1-'Input Sheet year 2'!L49))</f>
        <v>0</v>
      </c>
      <c r="I48" s="73">
        <f>'Year 1 Results'!T48*-1+('Year 1 Results'!T48*'Event Trigger'!$E49*(1-'Input Sheet year 2'!M49))</f>
        <v>0</v>
      </c>
      <c r="J48" s="73">
        <f>'Year 1 Results'!U48*-1+('Year 1 Results'!U48*'Event Trigger'!$E49*(1-'Input Sheet year 2'!N49))</f>
        <v>0</v>
      </c>
      <c r="K48" s="73">
        <f>'Year 1 Results'!V48*-1+('Year 1 Results'!V48*'Event Trigger'!$E49*(1-'Input Sheet year 2'!O49))</f>
        <v>0</v>
      </c>
      <c r="L48" s="73">
        <f>'Year 1 Results'!W48*-1+('Year 1 Results'!W48*'Event Trigger'!$E49*(1-'Input Sheet year 2'!P49))</f>
        <v>0</v>
      </c>
      <c r="M48" s="73">
        <f>'Year 1 Results'!X48*-1+('Year 1 Results'!X48*'Event Trigger'!$E49*(1-'Input Sheet year 2'!Q49))</f>
        <v>0</v>
      </c>
      <c r="N48" s="88"/>
      <c r="O48" s="88">
        <f t="shared" si="0"/>
        <v>0</v>
      </c>
      <c r="P48" s="88">
        <f t="shared" si="1"/>
        <v>0</v>
      </c>
      <c r="Q48" s="88">
        <f t="shared" si="2"/>
        <v>0</v>
      </c>
      <c r="R48" s="88">
        <f t="shared" si="3"/>
        <v>0</v>
      </c>
      <c r="S48" s="88">
        <f t="shared" si="4"/>
        <v>0</v>
      </c>
      <c r="T48" s="88">
        <f t="shared" si="5"/>
        <v>0</v>
      </c>
      <c r="U48" s="88">
        <f t="shared" si="6"/>
        <v>0</v>
      </c>
      <c r="V48" s="88">
        <f t="shared" si="7"/>
        <v>0</v>
      </c>
      <c r="W48" s="88">
        <f t="shared" si="8"/>
        <v>0</v>
      </c>
      <c r="X48" s="88">
        <f t="shared" si="9"/>
        <v>0</v>
      </c>
      <c r="Z48" s="51" t="s">
        <v>211</v>
      </c>
      <c r="AA48" s="52">
        <f>IF('Year 1 Results'!AA48*COUNTIF('Event Trigger'!$C:$C,'Year 2 Results'!$Z48)&gt;SUMIF('Event Trigger'!$C:$C,$Z48,D:D),0,'Year 1 Results'!AA48)</f>
        <v>600000</v>
      </c>
      <c r="AB48" s="52">
        <f>IF('Year 1 Results'!AB48*COUNTIF('Event Trigger'!$C:$C,'Year 2 Results'!$Z48)&gt;SUMIF('Event Trigger'!$C:$C,$Z48,E:E),0,'Year 1 Results'!AB48)</f>
        <v>600000</v>
      </c>
      <c r="AC48" s="52">
        <f>IF('Year 1 Results'!AC48*COUNTIF('Event Trigger'!$C:$C,'Year 2 Results'!$Z48)&gt;SUMIF('Event Trigger'!$C:$C,$Z48,F:F),0,'Year 1 Results'!AC48)</f>
        <v>600000</v>
      </c>
      <c r="AD48" s="52">
        <f>IF('Year 1 Results'!AD48*COUNTIF('Event Trigger'!$C:$C,'Year 2 Results'!$Z48)&gt;SUMIF('Event Trigger'!$C:$C,$Z48,G:G),0,'Year 1 Results'!AD48)</f>
        <v>600000</v>
      </c>
      <c r="AE48" s="52">
        <f>IF('Year 1 Results'!AE48*COUNTIF('Event Trigger'!$C:$C,'Year 2 Results'!$Z48)&gt;SUMIF('Event Trigger'!$C:$C,$Z48,H:H),0,'Year 1 Results'!AE48)</f>
        <v>600000</v>
      </c>
      <c r="AF48" s="52">
        <f>IF('Year 1 Results'!AF48*COUNTIF('Event Trigger'!$C:$C,'Year 2 Results'!$Z48)&gt;SUMIF('Event Trigger'!$C:$C,$Z48,I:I),0,'Year 1 Results'!AF48)</f>
        <v>600000</v>
      </c>
      <c r="AG48" s="52">
        <f>IF('Year 1 Results'!AG48*COUNTIF('Event Trigger'!$C:$C,'Year 2 Results'!$Z48)&gt;SUMIF('Event Trigger'!$C:$C,$Z48,J:J),0,'Year 1 Results'!AG48)</f>
        <v>600000</v>
      </c>
      <c r="AH48" s="52">
        <f>IF('Year 1 Results'!AH48*COUNTIF('Event Trigger'!$C:$C,'Year 2 Results'!$Z48)&gt;SUMIF('Event Trigger'!$C:$C,$Z48,K:K),0,'Year 1 Results'!AH48)</f>
        <v>600000</v>
      </c>
      <c r="AI48" s="52">
        <f>IF('Year 1 Results'!AI48*COUNTIF('Event Trigger'!$C:$C,'Year 2 Results'!$Z48)&gt;SUMIF('Event Trigger'!$C:$C,$Z48,L:L),0,'Year 1 Results'!AI48)</f>
        <v>600000</v>
      </c>
      <c r="AJ48" s="52">
        <f>IF('Year 1 Results'!AJ48*COUNTIF('Event Trigger'!$C:$C,'Year 2 Results'!$Z48)&gt;SUMIF('Event Trigger'!$C:$C,$Z48,M:M),0,'Year 1 Results'!AJ48)</f>
        <v>600000</v>
      </c>
    </row>
    <row r="49" spans="1:36" x14ac:dyDescent="0.25">
      <c r="A49" s="37" t="str">
        <f>'Risk Master'!B49:B182&amp;"-"&amp;'Risk Master'!D49</f>
        <v>Tsunami-Mumbai</v>
      </c>
      <c r="B49" s="37" t="str">
        <f>'Input Sheet year 2'!B50</f>
        <v>Tsunami-Mumbai</v>
      </c>
      <c r="C49" s="29" t="str">
        <f>'Risk Master'!F49</f>
        <v>A12</v>
      </c>
      <c r="D49" s="73">
        <f>'Year 1 Results'!O49*-1+('Year 1 Results'!O49*'Event Trigger'!$E50*(1-'Input Sheet year 2'!H50))</f>
        <v>0</v>
      </c>
      <c r="E49" s="73">
        <f>'Year 1 Results'!P49*-1+('Year 1 Results'!P49*'Event Trigger'!$E50*(1-'Input Sheet year 2'!I50))</f>
        <v>0</v>
      </c>
      <c r="F49" s="73">
        <f>'Year 1 Results'!Q49*-1+('Year 1 Results'!Q49*'Event Trigger'!$E50*(1-'Input Sheet year 2'!J50))</f>
        <v>0</v>
      </c>
      <c r="G49" s="73">
        <f>'Year 1 Results'!R49*-1+('Year 1 Results'!R49*'Event Trigger'!$E50*(1-'Input Sheet year 2'!K50))</f>
        <v>0</v>
      </c>
      <c r="H49" s="73">
        <f>'Year 1 Results'!S49*-1+('Year 1 Results'!S49*'Event Trigger'!$E50*(1-'Input Sheet year 2'!L50))</f>
        <v>0</v>
      </c>
      <c r="I49" s="73">
        <f>'Year 1 Results'!T49*-1+('Year 1 Results'!T49*'Event Trigger'!$E50*(1-'Input Sheet year 2'!M50))</f>
        <v>0</v>
      </c>
      <c r="J49" s="73">
        <f>'Year 1 Results'!U49*-1+('Year 1 Results'!U49*'Event Trigger'!$E50*(1-'Input Sheet year 2'!N50))</f>
        <v>0</v>
      </c>
      <c r="K49" s="73">
        <f>'Year 1 Results'!V49*-1+('Year 1 Results'!V49*'Event Trigger'!$E50*(1-'Input Sheet year 2'!O50))</f>
        <v>0</v>
      </c>
      <c r="L49" s="73">
        <f>'Year 1 Results'!W49*-1+('Year 1 Results'!W49*'Event Trigger'!$E50*(1-'Input Sheet year 2'!P50))</f>
        <v>0</v>
      </c>
      <c r="M49" s="73">
        <f>'Year 1 Results'!X49*-1+('Year 1 Results'!X49*'Event Trigger'!$E50*(1-'Input Sheet year 2'!Q50))</f>
        <v>0</v>
      </c>
      <c r="N49" s="88"/>
      <c r="O49" s="88">
        <f t="shared" si="0"/>
        <v>0</v>
      </c>
      <c r="P49" s="88">
        <f t="shared" si="1"/>
        <v>0</v>
      </c>
      <c r="Q49" s="88">
        <f t="shared" si="2"/>
        <v>0</v>
      </c>
      <c r="R49" s="88">
        <f t="shared" si="3"/>
        <v>0</v>
      </c>
      <c r="S49" s="88">
        <f t="shared" si="4"/>
        <v>0</v>
      </c>
      <c r="T49" s="88">
        <f t="shared" si="5"/>
        <v>0</v>
      </c>
      <c r="U49" s="88">
        <f t="shared" si="6"/>
        <v>0</v>
      </c>
      <c r="V49" s="88">
        <f t="shared" si="7"/>
        <v>0</v>
      </c>
      <c r="W49" s="88">
        <f t="shared" si="8"/>
        <v>0</v>
      </c>
      <c r="X49" s="88">
        <f t="shared" si="9"/>
        <v>0</v>
      </c>
      <c r="Z49" s="51" t="s">
        <v>212</v>
      </c>
      <c r="AA49" s="52">
        <f>IF('Year 1 Results'!AA49*COUNTIF('Event Trigger'!$C:$C,'Year 2 Results'!$Z49)&gt;SUMIF('Event Trigger'!$C:$C,$Z49,D:D),0,'Year 1 Results'!AA49)</f>
        <v>0</v>
      </c>
      <c r="AB49" s="52">
        <f>IF('Year 1 Results'!AB49*COUNTIF('Event Trigger'!$C:$C,'Year 2 Results'!$Z49)&gt;SUMIF('Event Trigger'!$C:$C,$Z49,E:E),0,'Year 1 Results'!AB49)</f>
        <v>0</v>
      </c>
      <c r="AC49" s="52">
        <f>IF('Year 1 Results'!AC49*COUNTIF('Event Trigger'!$C:$C,'Year 2 Results'!$Z49)&gt;SUMIF('Event Trigger'!$C:$C,$Z49,F:F),0,'Year 1 Results'!AC49)</f>
        <v>0</v>
      </c>
      <c r="AD49" s="52">
        <f>IF('Year 1 Results'!AD49*COUNTIF('Event Trigger'!$C:$C,'Year 2 Results'!$Z49)&gt;SUMIF('Event Trigger'!$C:$C,$Z49,G:G),0,'Year 1 Results'!AD49)</f>
        <v>0</v>
      </c>
      <c r="AE49" s="52">
        <f>IF('Year 1 Results'!AE49*COUNTIF('Event Trigger'!$C:$C,'Year 2 Results'!$Z49)&gt;SUMIF('Event Trigger'!$C:$C,$Z49,H:H),0,'Year 1 Results'!AE49)</f>
        <v>0</v>
      </c>
      <c r="AF49" s="52">
        <f>IF('Year 1 Results'!AF49*COUNTIF('Event Trigger'!$C:$C,'Year 2 Results'!$Z49)&gt;SUMIF('Event Trigger'!$C:$C,$Z49,I:I),0,'Year 1 Results'!AF49)</f>
        <v>0</v>
      </c>
      <c r="AG49" s="52">
        <f>IF('Year 1 Results'!AG49*COUNTIF('Event Trigger'!$C:$C,'Year 2 Results'!$Z49)&gt;SUMIF('Event Trigger'!$C:$C,$Z49,J:J),0,'Year 1 Results'!AG49)</f>
        <v>0</v>
      </c>
      <c r="AH49" s="52">
        <f>IF('Year 1 Results'!AH49*COUNTIF('Event Trigger'!$C:$C,'Year 2 Results'!$Z49)&gt;SUMIF('Event Trigger'!$C:$C,$Z49,K:K),0,'Year 1 Results'!AH49)</f>
        <v>0</v>
      </c>
      <c r="AI49" s="52">
        <f>IF('Year 1 Results'!AI49*COUNTIF('Event Trigger'!$C:$C,'Year 2 Results'!$Z49)&gt;SUMIF('Event Trigger'!$C:$C,$Z49,L:L),0,'Year 1 Results'!AI49)</f>
        <v>0</v>
      </c>
      <c r="AJ49" s="52">
        <f>IF('Year 1 Results'!AJ49*COUNTIF('Event Trigger'!$C:$C,'Year 2 Results'!$Z49)&gt;SUMIF('Event Trigger'!$C:$C,$Z49,M:M),0,'Year 1 Results'!AJ49)</f>
        <v>0</v>
      </c>
    </row>
    <row r="50" spans="1:36" ht="25.5" x14ac:dyDescent="0.25">
      <c r="A50" s="37" t="str">
        <f>'Risk Master'!B50:B183&amp;"-"&amp;'Risk Master'!D50</f>
        <v>High tide and high rainfalls leading to large floods-Mumbai</v>
      </c>
      <c r="B50" s="37" t="str">
        <f>'Input Sheet year 2'!B51</f>
        <v>Flood-Mumbai</v>
      </c>
      <c r="C50" s="29" t="str">
        <f>'Risk Master'!F50</f>
        <v>A13</v>
      </c>
      <c r="D50" s="73">
        <f>'Year 1 Results'!O50*-1+('Year 1 Results'!O50*'Event Trigger'!$E51*(1-'Input Sheet year 2'!H51))</f>
        <v>0</v>
      </c>
      <c r="E50" s="73">
        <f>'Year 1 Results'!P50*-1+('Year 1 Results'!P50*'Event Trigger'!$E51*(1-'Input Sheet year 2'!I51))</f>
        <v>200000</v>
      </c>
      <c r="F50" s="73">
        <f>'Year 1 Results'!Q50*-1+('Year 1 Results'!Q50*'Event Trigger'!$E51*(1-'Input Sheet year 2'!J51))</f>
        <v>200000</v>
      </c>
      <c r="G50" s="73">
        <f>'Year 1 Results'!R50*-1+('Year 1 Results'!R50*'Event Trigger'!$E51*(1-'Input Sheet year 2'!K51))</f>
        <v>0</v>
      </c>
      <c r="H50" s="73">
        <f>'Year 1 Results'!S50*-1+('Year 1 Results'!S50*'Event Trigger'!$E51*(1-'Input Sheet year 2'!L51))</f>
        <v>0</v>
      </c>
      <c r="I50" s="73">
        <f>'Year 1 Results'!T50*-1+('Year 1 Results'!T50*'Event Trigger'!$E51*(1-'Input Sheet year 2'!M51))</f>
        <v>0</v>
      </c>
      <c r="J50" s="73">
        <f>'Year 1 Results'!U50*-1+('Year 1 Results'!U50*'Event Trigger'!$E51*(1-'Input Sheet year 2'!N51))</f>
        <v>0</v>
      </c>
      <c r="K50" s="73">
        <f>'Year 1 Results'!V50*-1+('Year 1 Results'!V50*'Event Trigger'!$E51*(1-'Input Sheet year 2'!O51))</f>
        <v>200000</v>
      </c>
      <c r="L50" s="73">
        <f>'Year 1 Results'!W50*-1+('Year 1 Results'!W50*'Event Trigger'!$E51*(1-'Input Sheet year 2'!P51))</f>
        <v>0</v>
      </c>
      <c r="M50" s="73">
        <f>'Year 1 Results'!X50*-1+('Year 1 Results'!X50*'Event Trigger'!$E51*(1-'Input Sheet year 2'!Q51))</f>
        <v>0</v>
      </c>
      <c r="N50" s="88"/>
      <c r="O50" s="88">
        <f t="shared" si="0"/>
        <v>0</v>
      </c>
      <c r="P50" s="88">
        <f t="shared" si="1"/>
        <v>0</v>
      </c>
      <c r="Q50" s="88">
        <f t="shared" si="2"/>
        <v>0</v>
      </c>
      <c r="R50" s="88">
        <f t="shared" si="3"/>
        <v>0</v>
      </c>
      <c r="S50" s="88">
        <f t="shared" si="4"/>
        <v>0</v>
      </c>
      <c r="T50" s="88">
        <f t="shared" si="5"/>
        <v>0</v>
      </c>
      <c r="U50" s="88">
        <f t="shared" si="6"/>
        <v>0</v>
      </c>
      <c r="V50" s="88">
        <f t="shared" si="7"/>
        <v>0</v>
      </c>
      <c r="W50" s="88">
        <f t="shared" si="8"/>
        <v>0</v>
      </c>
      <c r="X50" s="88">
        <f t="shared" si="9"/>
        <v>0</v>
      </c>
      <c r="Z50" s="51" t="s">
        <v>213</v>
      </c>
      <c r="AA50" s="52">
        <f>IF('Year 1 Results'!AA50*COUNTIF('Event Trigger'!$C:$C,'Year 2 Results'!$Z50)&gt;SUMIF('Event Trigger'!$C:$C,$Z50,D:D),0,'Year 1 Results'!AA50)</f>
        <v>800000</v>
      </c>
      <c r="AB50" s="52">
        <f>IF('Year 1 Results'!AB50*COUNTIF('Event Trigger'!$C:$C,'Year 2 Results'!$Z50)&gt;SUMIF('Event Trigger'!$C:$C,$Z50,E:E),0,'Year 1 Results'!AB50)</f>
        <v>800000</v>
      </c>
      <c r="AC50" s="52">
        <f>IF('Year 1 Results'!AC50*COUNTIF('Event Trigger'!$C:$C,'Year 2 Results'!$Z50)&gt;SUMIF('Event Trigger'!$C:$C,$Z50,F:F),0,'Year 1 Results'!AC50)</f>
        <v>800000</v>
      </c>
      <c r="AD50" s="52">
        <f>IF('Year 1 Results'!AD50*COUNTIF('Event Trigger'!$C:$C,'Year 2 Results'!$Z50)&gt;SUMIF('Event Trigger'!$C:$C,$Z50,G:G),0,'Year 1 Results'!AD50)</f>
        <v>800000</v>
      </c>
      <c r="AE50" s="52">
        <f>IF('Year 1 Results'!AE50*COUNTIF('Event Trigger'!$C:$C,'Year 2 Results'!$Z50)&gt;SUMIF('Event Trigger'!$C:$C,$Z50,H:H),0,'Year 1 Results'!AE50)</f>
        <v>800000</v>
      </c>
      <c r="AF50" s="52">
        <f>IF('Year 1 Results'!AF50*COUNTIF('Event Trigger'!$C:$C,'Year 2 Results'!$Z50)&gt;SUMIF('Event Trigger'!$C:$C,$Z50,I:I),0,'Year 1 Results'!AF50)</f>
        <v>800000</v>
      </c>
      <c r="AG50" s="52">
        <f>IF('Year 1 Results'!AG50*COUNTIF('Event Trigger'!$C:$C,'Year 2 Results'!$Z50)&gt;SUMIF('Event Trigger'!$C:$C,$Z50,J:J),0,'Year 1 Results'!AG50)</f>
        <v>800000</v>
      </c>
      <c r="AH50" s="52">
        <f>IF('Year 1 Results'!AH50*COUNTIF('Event Trigger'!$C:$C,'Year 2 Results'!$Z50)&gt;SUMIF('Event Trigger'!$C:$C,$Z50,K:K),0,'Year 1 Results'!AH50)</f>
        <v>800000</v>
      </c>
      <c r="AI50" s="52">
        <f>IF('Year 1 Results'!AI50*COUNTIF('Event Trigger'!$C:$C,'Year 2 Results'!$Z50)&gt;SUMIF('Event Trigger'!$C:$C,$Z50,L:L),0,'Year 1 Results'!AI50)</f>
        <v>800000</v>
      </c>
      <c r="AJ50" s="52">
        <f>IF('Year 1 Results'!AJ50*COUNTIF('Event Trigger'!$C:$C,'Year 2 Results'!$Z50)&gt;SUMIF('Event Trigger'!$C:$C,$Z50,M:M),0,'Year 1 Results'!AJ50)</f>
        <v>800000</v>
      </c>
    </row>
    <row r="51" spans="1:36" x14ac:dyDescent="0.25">
      <c r="A51" s="37" t="str">
        <f>'Risk Master'!B51:B183&amp;"-"&amp;'Risk Master'!D51</f>
        <v>Earthquake-Mumbai</v>
      </c>
      <c r="B51" s="37" t="str">
        <f>'Input Sheet year 2'!B52</f>
        <v>Earthquake-Mumbai</v>
      </c>
      <c r="C51" s="29" t="str">
        <f>'Risk Master'!F51</f>
        <v>A13</v>
      </c>
      <c r="D51" s="73">
        <f>'Year 1 Results'!O51*-1+('Year 1 Results'!O51*'Event Trigger'!$E52*(1-'Input Sheet year 2'!H52))</f>
        <v>0</v>
      </c>
      <c r="E51" s="73">
        <f>'Year 1 Results'!P51*-1+('Year 1 Results'!P51*'Event Trigger'!$E52*(1-'Input Sheet year 2'!I52))</f>
        <v>200000</v>
      </c>
      <c r="F51" s="73">
        <f>'Year 1 Results'!Q51*-1+('Year 1 Results'!Q51*'Event Trigger'!$E52*(1-'Input Sheet year 2'!J52))</f>
        <v>200000</v>
      </c>
      <c r="G51" s="73">
        <f>'Year 1 Results'!R51*-1+('Year 1 Results'!R51*'Event Trigger'!$E52*(1-'Input Sheet year 2'!K52))</f>
        <v>0</v>
      </c>
      <c r="H51" s="73">
        <f>'Year 1 Results'!S51*-1+('Year 1 Results'!S51*'Event Trigger'!$E52*(1-'Input Sheet year 2'!L52))</f>
        <v>0</v>
      </c>
      <c r="I51" s="73">
        <f>'Year 1 Results'!T51*-1+('Year 1 Results'!T51*'Event Trigger'!$E52*(1-'Input Sheet year 2'!M52))</f>
        <v>0</v>
      </c>
      <c r="J51" s="73">
        <f>'Year 1 Results'!U51*-1+('Year 1 Results'!U51*'Event Trigger'!$E52*(1-'Input Sheet year 2'!N52))</f>
        <v>0</v>
      </c>
      <c r="K51" s="73">
        <f>'Year 1 Results'!V51*-1+('Year 1 Results'!V51*'Event Trigger'!$E52*(1-'Input Sheet year 2'!O52))</f>
        <v>200000</v>
      </c>
      <c r="L51" s="73">
        <f>'Year 1 Results'!W51*-1+('Year 1 Results'!W51*'Event Trigger'!$E52*(1-'Input Sheet year 2'!P52))</f>
        <v>0</v>
      </c>
      <c r="M51" s="73">
        <f>'Year 1 Results'!X51*-1+('Year 1 Results'!X51*'Event Trigger'!$E52*(1-'Input Sheet year 2'!Q52))</f>
        <v>0</v>
      </c>
      <c r="N51" s="88"/>
      <c r="O51" s="88">
        <f t="shared" si="0"/>
        <v>0</v>
      </c>
      <c r="P51" s="88">
        <f t="shared" si="1"/>
        <v>0</v>
      </c>
      <c r="Q51" s="88">
        <f t="shared" si="2"/>
        <v>0</v>
      </c>
      <c r="R51" s="88">
        <f t="shared" si="3"/>
        <v>0</v>
      </c>
      <c r="S51" s="88">
        <f t="shared" si="4"/>
        <v>0</v>
      </c>
      <c r="T51" s="88">
        <f t="shared" si="5"/>
        <v>0</v>
      </c>
      <c r="U51" s="88">
        <f t="shared" si="6"/>
        <v>0</v>
      </c>
      <c r="V51" s="88">
        <f t="shared" si="7"/>
        <v>0</v>
      </c>
      <c r="W51" s="88">
        <f t="shared" si="8"/>
        <v>0</v>
      </c>
      <c r="X51" s="88">
        <f t="shared" si="9"/>
        <v>0</v>
      </c>
      <c r="Z51" s="51" t="s">
        <v>214</v>
      </c>
      <c r="AA51" s="52">
        <f>IF('Year 1 Results'!AA51*COUNTIF('Event Trigger'!$C:$C,'Year 2 Results'!$Z51)&gt;SUMIF('Event Trigger'!$C:$C,$Z51,D:D),0,'Year 1 Results'!AA51)</f>
        <v>0</v>
      </c>
      <c r="AB51" s="52">
        <f>IF('Year 1 Results'!AB51*COUNTIF('Event Trigger'!$C:$C,'Year 2 Results'!$Z51)&gt;SUMIF('Event Trigger'!$C:$C,$Z51,E:E),0,'Year 1 Results'!AB51)</f>
        <v>0</v>
      </c>
      <c r="AC51" s="52">
        <f>IF('Year 1 Results'!AC51*COUNTIF('Event Trigger'!$C:$C,'Year 2 Results'!$Z51)&gt;SUMIF('Event Trigger'!$C:$C,$Z51,F:F),0,'Year 1 Results'!AC51)</f>
        <v>0</v>
      </c>
      <c r="AD51" s="52">
        <f>IF('Year 1 Results'!AD51*COUNTIF('Event Trigger'!$C:$C,'Year 2 Results'!$Z51)&gt;SUMIF('Event Trigger'!$C:$C,$Z51,G:G),0,'Year 1 Results'!AD51)</f>
        <v>0</v>
      </c>
      <c r="AE51" s="52">
        <f>IF('Year 1 Results'!AE51*COUNTIF('Event Trigger'!$C:$C,'Year 2 Results'!$Z51)&gt;SUMIF('Event Trigger'!$C:$C,$Z51,H:H),0,'Year 1 Results'!AE51)</f>
        <v>0</v>
      </c>
      <c r="AF51" s="52">
        <f>IF('Year 1 Results'!AF51*COUNTIF('Event Trigger'!$C:$C,'Year 2 Results'!$Z51)&gt;SUMIF('Event Trigger'!$C:$C,$Z51,I:I),0,'Year 1 Results'!AF51)</f>
        <v>0</v>
      </c>
      <c r="AG51" s="52">
        <f>IF('Year 1 Results'!AG51*COUNTIF('Event Trigger'!$C:$C,'Year 2 Results'!$Z51)&gt;SUMIF('Event Trigger'!$C:$C,$Z51,J:J),0,'Year 1 Results'!AG51)</f>
        <v>0</v>
      </c>
      <c r="AH51" s="52">
        <f>IF('Year 1 Results'!AH51*COUNTIF('Event Trigger'!$C:$C,'Year 2 Results'!$Z51)&gt;SUMIF('Event Trigger'!$C:$C,$Z51,K:K),0,'Year 1 Results'!AH51)</f>
        <v>0</v>
      </c>
      <c r="AI51" s="52">
        <f>IF('Year 1 Results'!AI51*COUNTIF('Event Trigger'!$C:$C,'Year 2 Results'!$Z51)&gt;SUMIF('Event Trigger'!$C:$C,$Z51,L:L),0,'Year 1 Results'!AI51)</f>
        <v>0</v>
      </c>
      <c r="AJ51" s="52">
        <f>IF('Year 1 Results'!AJ51*COUNTIF('Event Trigger'!$C:$C,'Year 2 Results'!$Z51)&gt;SUMIF('Event Trigger'!$C:$C,$Z51,M:M),0,'Year 1 Results'!AJ51)</f>
        <v>0</v>
      </c>
    </row>
    <row r="52" spans="1:36" x14ac:dyDescent="0.25">
      <c r="A52" s="37" t="str">
        <f>'Risk Master'!B52:B183&amp;"-"&amp;'Risk Master'!D52</f>
        <v>Fire-Mumbai</v>
      </c>
      <c r="B52" s="37" t="str">
        <f>'Input Sheet year 2'!B53</f>
        <v>Fire-Mumbai</v>
      </c>
      <c r="C52" s="29" t="str">
        <f>'Risk Master'!F52</f>
        <v>A13</v>
      </c>
      <c r="D52" s="73">
        <f>'Year 1 Results'!O52*-1+('Year 1 Results'!O52*'Event Trigger'!$E53*(1-'Input Sheet year 2'!H53))</f>
        <v>0</v>
      </c>
      <c r="E52" s="73">
        <f>'Year 1 Results'!P52*-1+('Year 1 Results'!P52*'Event Trigger'!$E53*(1-'Input Sheet year 2'!I53))</f>
        <v>200000</v>
      </c>
      <c r="F52" s="73">
        <f>'Year 1 Results'!Q52*-1+('Year 1 Results'!Q52*'Event Trigger'!$E53*(1-'Input Sheet year 2'!J53))</f>
        <v>200000</v>
      </c>
      <c r="G52" s="73">
        <f>'Year 1 Results'!R52*-1+('Year 1 Results'!R52*'Event Trigger'!$E53*(1-'Input Sheet year 2'!K53))</f>
        <v>0</v>
      </c>
      <c r="H52" s="73">
        <f>'Year 1 Results'!S52*-1+('Year 1 Results'!S52*'Event Trigger'!$E53*(1-'Input Sheet year 2'!L53))</f>
        <v>0</v>
      </c>
      <c r="I52" s="73">
        <f>'Year 1 Results'!T52*-1+('Year 1 Results'!T52*'Event Trigger'!$E53*(1-'Input Sheet year 2'!M53))</f>
        <v>0</v>
      </c>
      <c r="J52" s="73">
        <f>'Year 1 Results'!U52*-1+('Year 1 Results'!U52*'Event Trigger'!$E53*(1-'Input Sheet year 2'!N53))</f>
        <v>0</v>
      </c>
      <c r="K52" s="73">
        <f>'Year 1 Results'!V52*-1+('Year 1 Results'!V52*'Event Trigger'!$E53*(1-'Input Sheet year 2'!O53))</f>
        <v>200000</v>
      </c>
      <c r="L52" s="73">
        <f>'Year 1 Results'!W52*-1+('Year 1 Results'!W52*'Event Trigger'!$E53*(1-'Input Sheet year 2'!P53))</f>
        <v>0</v>
      </c>
      <c r="M52" s="73">
        <f>'Year 1 Results'!X52*-1+('Year 1 Results'!X52*'Event Trigger'!$E53*(1-'Input Sheet year 2'!Q53))</f>
        <v>0</v>
      </c>
      <c r="N52" s="88"/>
      <c r="O52" s="88">
        <f t="shared" si="0"/>
        <v>0</v>
      </c>
      <c r="P52" s="88">
        <f t="shared" si="1"/>
        <v>0</v>
      </c>
      <c r="Q52" s="88">
        <f t="shared" si="2"/>
        <v>0</v>
      </c>
      <c r="R52" s="88">
        <f t="shared" si="3"/>
        <v>0</v>
      </c>
      <c r="S52" s="88">
        <f t="shared" si="4"/>
        <v>0</v>
      </c>
      <c r="T52" s="88">
        <f t="shared" si="5"/>
        <v>0</v>
      </c>
      <c r="U52" s="88">
        <f t="shared" si="6"/>
        <v>0</v>
      </c>
      <c r="V52" s="88">
        <f t="shared" si="7"/>
        <v>0</v>
      </c>
      <c r="W52" s="88">
        <f t="shared" si="8"/>
        <v>0</v>
      </c>
      <c r="X52" s="88">
        <f t="shared" si="9"/>
        <v>0</v>
      </c>
      <c r="Z52" s="51" t="s">
        <v>215</v>
      </c>
      <c r="AA52" s="52">
        <f>IF('Year 1 Results'!AA52*COUNTIF('Event Trigger'!$C:$C,'Year 2 Results'!$Z52)&gt;SUMIF('Event Trigger'!$C:$C,$Z52,D:D),0,'Year 1 Results'!AA52)</f>
        <v>0</v>
      </c>
      <c r="AB52" s="52">
        <f>IF('Year 1 Results'!AB52*COUNTIF('Event Trigger'!$C:$C,'Year 2 Results'!$Z52)&gt;SUMIF('Event Trigger'!$C:$C,$Z52,E:E),0,'Year 1 Results'!AB52)</f>
        <v>0</v>
      </c>
      <c r="AC52" s="52">
        <f>IF('Year 1 Results'!AC52*COUNTIF('Event Trigger'!$C:$C,'Year 2 Results'!$Z52)&gt;SUMIF('Event Trigger'!$C:$C,$Z52,F:F),0,'Year 1 Results'!AC52)</f>
        <v>0</v>
      </c>
      <c r="AD52" s="52">
        <f>IF('Year 1 Results'!AD52*COUNTIF('Event Trigger'!$C:$C,'Year 2 Results'!$Z52)&gt;SUMIF('Event Trigger'!$C:$C,$Z52,G:G),0,'Year 1 Results'!AD52)</f>
        <v>0</v>
      </c>
      <c r="AE52" s="52">
        <f>IF('Year 1 Results'!AE52*COUNTIF('Event Trigger'!$C:$C,'Year 2 Results'!$Z52)&gt;SUMIF('Event Trigger'!$C:$C,$Z52,H:H),0,'Year 1 Results'!AE52)</f>
        <v>0</v>
      </c>
      <c r="AF52" s="52">
        <f>IF('Year 1 Results'!AF52*COUNTIF('Event Trigger'!$C:$C,'Year 2 Results'!$Z52)&gt;SUMIF('Event Trigger'!$C:$C,$Z52,I:I),0,'Year 1 Results'!AF52)</f>
        <v>0</v>
      </c>
      <c r="AG52" s="52">
        <f>IF('Year 1 Results'!AG52*COUNTIF('Event Trigger'!$C:$C,'Year 2 Results'!$Z52)&gt;SUMIF('Event Trigger'!$C:$C,$Z52,J:J),0,'Year 1 Results'!AG52)</f>
        <v>0</v>
      </c>
      <c r="AH52" s="52">
        <f>IF('Year 1 Results'!AH52*COUNTIF('Event Trigger'!$C:$C,'Year 2 Results'!$Z52)&gt;SUMIF('Event Trigger'!$C:$C,$Z52,K:K),0,'Year 1 Results'!AH52)</f>
        <v>0</v>
      </c>
      <c r="AI52" s="52">
        <f>IF('Year 1 Results'!AI52*COUNTIF('Event Trigger'!$C:$C,'Year 2 Results'!$Z52)&gt;SUMIF('Event Trigger'!$C:$C,$Z52,L:L),0,'Year 1 Results'!AI52)</f>
        <v>0</v>
      </c>
      <c r="AJ52" s="52">
        <f>IF('Year 1 Results'!AJ52*COUNTIF('Event Trigger'!$C:$C,'Year 2 Results'!$Z52)&gt;SUMIF('Event Trigger'!$C:$C,$Z52,M:M),0,'Year 1 Results'!AJ52)</f>
        <v>0</v>
      </c>
    </row>
    <row r="53" spans="1:36" x14ac:dyDescent="0.25">
      <c r="A53" s="37" t="str">
        <f>'Risk Master'!B53:B183&amp;"-"&amp;'Risk Master'!D53</f>
        <v>Typhoon-Mumbai</v>
      </c>
      <c r="B53" s="37" t="str">
        <f>'Input Sheet year 2'!B54</f>
        <v>Typhoon-Mumbai</v>
      </c>
      <c r="C53" s="29" t="str">
        <f>'Risk Master'!F53</f>
        <v>A13</v>
      </c>
      <c r="D53" s="73">
        <f>'Year 1 Results'!O53*-1+('Year 1 Results'!O53*'Event Trigger'!$E54*(1-'Input Sheet year 2'!H54))</f>
        <v>0</v>
      </c>
      <c r="E53" s="73">
        <f>'Year 1 Results'!P53*-1+('Year 1 Results'!P53*'Event Trigger'!$E54*(1-'Input Sheet year 2'!I54))</f>
        <v>200000</v>
      </c>
      <c r="F53" s="73">
        <f>'Year 1 Results'!Q53*-1+('Year 1 Results'!Q53*'Event Trigger'!$E54*(1-'Input Sheet year 2'!J54))</f>
        <v>200000</v>
      </c>
      <c r="G53" s="73">
        <f>'Year 1 Results'!R53*-1+('Year 1 Results'!R53*'Event Trigger'!$E54*(1-'Input Sheet year 2'!K54))</f>
        <v>0</v>
      </c>
      <c r="H53" s="73">
        <f>'Year 1 Results'!S53*-1+('Year 1 Results'!S53*'Event Trigger'!$E54*(1-'Input Sheet year 2'!L54))</f>
        <v>0</v>
      </c>
      <c r="I53" s="73">
        <f>'Year 1 Results'!T53*-1+('Year 1 Results'!T53*'Event Trigger'!$E54*(1-'Input Sheet year 2'!M54))</f>
        <v>0</v>
      </c>
      <c r="J53" s="73">
        <f>'Year 1 Results'!U53*-1+('Year 1 Results'!U53*'Event Trigger'!$E54*(1-'Input Sheet year 2'!N54))</f>
        <v>0</v>
      </c>
      <c r="K53" s="73">
        <f>'Year 1 Results'!V53*-1+('Year 1 Results'!V53*'Event Trigger'!$E54*(1-'Input Sheet year 2'!O54))</f>
        <v>200000</v>
      </c>
      <c r="L53" s="73">
        <f>'Year 1 Results'!W53*-1+('Year 1 Results'!W53*'Event Trigger'!$E54*(1-'Input Sheet year 2'!P54))</f>
        <v>0</v>
      </c>
      <c r="M53" s="73">
        <f>'Year 1 Results'!X53*-1+('Year 1 Results'!X53*'Event Trigger'!$E54*(1-'Input Sheet year 2'!Q54))</f>
        <v>0</v>
      </c>
      <c r="N53" s="88"/>
      <c r="O53" s="88">
        <f t="shared" si="0"/>
        <v>0</v>
      </c>
      <c r="P53" s="88">
        <f t="shared" si="1"/>
        <v>0</v>
      </c>
      <c r="Q53" s="88">
        <f t="shared" si="2"/>
        <v>0</v>
      </c>
      <c r="R53" s="88">
        <f t="shared" si="3"/>
        <v>0</v>
      </c>
      <c r="S53" s="88">
        <f t="shared" si="4"/>
        <v>0</v>
      </c>
      <c r="T53" s="88">
        <f t="shared" si="5"/>
        <v>0</v>
      </c>
      <c r="U53" s="88">
        <f t="shared" si="6"/>
        <v>0</v>
      </c>
      <c r="V53" s="88">
        <f t="shared" si="7"/>
        <v>0</v>
      </c>
      <c r="W53" s="88">
        <f t="shared" si="8"/>
        <v>0</v>
      </c>
      <c r="X53" s="88">
        <f t="shared" si="9"/>
        <v>0</v>
      </c>
      <c r="Z53" s="51" t="s">
        <v>216</v>
      </c>
      <c r="AA53" s="52">
        <f>IF('Year 1 Results'!AA53*COUNTIF('Event Trigger'!$C:$C,'Year 2 Results'!$Z53)&gt;SUMIF('Event Trigger'!$C:$C,$Z53,D:D),0,'Year 1 Results'!AA53)</f>
        <v>0</v>
      </c>
      <c r="AB53" s="52">
        <f>IF('Year 1 Results'!AB53*COUNTIF('Event Trigger'!$C:$C,'Year 2 Results'!$Z53)&gt;SUMIF('Event Trigger'!$C:$C,$Z53,E:E),0,'Year 1 Results'!AB53)</f>
        <v>0</v>
      </c>
      <c r="AC53" s="52">
        <f>IF('Year 1 Results'!AC53*COUNTIF('Event Trigger'!$C:$C,'Year 2 Results'!$Z53)&gt;SUMIF('Event Trigger'!$C:$C,$Z53,F:F),0,'Year 1 Results'!AC53)</f>
        <v>0</v>
      </c>
      <c r="AD53" s="52">
        <f>IF('Year 1 Results'!AD53*COUNTIF('Event Trigger'!$C:$C,'Year 2 Results'!$Z53)&gt;SUMIF('Event Trigger'!$C:$C,$Z53,G:G),0,'Year 1 Results'!AD53)</f>
        <v>0</v>
      </c>
      <c r="AE53" s="52">
        <f>IF('Year 1 Results'!AE53*COUNTIF('Event Trigger'!$C:$C,'Year 2 Results'!$Z53)&gt;SUMIF('Event Trigger'!$C:$C,$Z53,H:H),0,'Year 1 Results'!AE53)</f>
        <v>0</v>
      </c>
      <c r="AF53" s="52">
        <f>IF('Year 1 Results'!AF53*COUNTIF('Event Trigger'!$C:$C,'Year 2 Results'!$Z53)&gt;SUMIF('Event Trigger'!$C:$C,$Z53,I:I),0,'Year 1 Results'!AF53)</f>
        <v>0</v>
      </c>
      <c r="AG53" s="52">
        <f>IF('Year 1 Results'!AG53*COUNTIF('Event Trigger'!$C:$C,'Year 2 Results'!$Z53)&gt;SUMIF('Event Trigger'!$C:$C,$Z53,J:J),0,'Year 1 Results'!AG53)</f>
        <v>0</v>
      </c>
      <c r="AH53" s="52">
        <f>IF('Year 1 Results'!AH53*COUNTIF('Event Trigger'!$C:$C,'Year 2 Results'!$Z53)&gt;SUMIF('Event Trigger'!$C:$C,$Z53,K:K),0,'Year 1 Results'!AH53)</f>
        <v>0</v>
      </c>
      <c r="AI53" s="52">
        <f>IF('Year 1 Results'!AI53*COUNTIF('Event Trigger'!$C:$C,'Year 2 Results'!$Z53)&gt;SUMIF('Event Trigger'!$C:$C,$Z53,L:L),0,'Year 1 Results'!AI53)</f>
        <v>0</v>
      </c>
      <c r="AJ53" s="52">
        <f>IF('Year 1 Results'!AJ53*COUNTIF('Event Trigger'!$C:$C,'Year 2 Results'!$Z53)&gt;SUMIF('Event Trigger'!$C:$C,$Z53,M:M),0,'Year 1 Results'!AJ53)</f>
        <v>0</v>
      </c>
    </row>
    <row r="54" spans="1:36" ht="25.5" x14ac:dyDescent="0.25">
      <c r="A54" s="37" t="str">
        <f>'Risk Master'!B54:B183&amp;"-"&amp;'Risk Master'!D54</f>
        <v>Thunderstorms, Tornados &amp; Hail-Mumbai</v>
      </c>
      <c r="B54" s="37" t="str">
        <f>'Input Sheet year 2'!B55</f>
        <v>Thunderstorms, Tornados &amp; Hail-Mumbai</v>
      </c>
      <c r="C54" s="29" t="str">
        <f>'Risk Master'!F54</f>
        <v>A13</v>
      </c>
      <c r="D54" s="73">
        <f>'Year 1 Results'!O54*-1+('Year 1 Results'!O54*'Event Trigger'!$E55*(1-'Input Sheet year 2'!H55))</f>
        <v>0</v>
      </c>
      <c r="E54" s="73">
        <f>'Year 1 Results'!P54*-1+('Year 1 Results'!P54*'Event Trigger'!$E55*(1-'Input Sheet year 2'!I55))</f>
        <v>0</v>
      </c>
      <c r="F54" s="73">
        <f>'Year 1 Results'!Q54*-1+('Year 1 Results'!Q54*'Event Trigger'!$E55*(1-'Input Sheet year 2'!J55))</f>
        <v>0</v>
      </c>
      <c r="G54" s="73">
        <f>'Year 1 Results'!R54*-1+('Year 1 Results'!R54*'Event Trigger'!$E55*(1-'Input Sheet year 2'!K55))</f>
        <v>0</v>
      </c>
      <c r="H54" s="73">
        <f>'Year 1 Results'!S54*-1+('Year 1 Results'!S54*'Event Trigger'!$E55*(1-'Input Sheet year 2'!L55))</f>
        <v>0</v>
      </c>
      <c r="I54" s="73">
        <f>'Year 1 Results'!T54*-1+('Year 1 Results'!T54*'Event Trigger'!$E55*(1-'Input Sheet year 2'!M55))</f>
        <v>0</v>
      </c>
      <c r="J54" s="73">
        <f>'Year 1 Results'!U54*-1+('Year 1 Results'!U54*'Event Trigger'!$E55*(1-'Input Sheet year 2'!N55))</f>
        <v>0</v>
      </c>
      <c r="K54" s="73">
        <f>'Year 1 Results'!V54*-1+('Year 1 Results'!V54*'Event Trigger'!$E55*(1-'Input Sheet year 2'!O55))</f>
        <v>0</v>
      </c>
      <c r="L54" s="73">
        <f>'Year 1 Results'!W54*-1+('Year 1 Results'!W54*'Event Trigger'!$E55*(1-'Input Sheet year 2'!P55))</f>
        <v>0</v>
      </c>
      <c r="M54" s="73">
        <f>'Year 1 Results'!X54*-1+('Year 1 Results'!X54*'Event Trigger'!$E55*(1-'Input Sheet year 2'!Q55))</f>
        <v>0</v>
      </c>
      <c r="N54" s="88"/>
      <c r="O54" s="88">
        <f t="shared" si="0"/>
        <v>0</v>
      </c>
      <c r="P54" s="88">
        <f t="shared" si="1"/>
        <v>0</v>
      </c>
      <c r="Q54" s="88">
        <f t="shared" si="2"/>
        <v>0</v>
      </c>
      <c r="R54" s="88">
        <f t="shared" si="3"/>
        <v>0</v>
      </c>
      <c r="S54" s="88">
        <f t="shared" si="4"/>
        <v>0</v>
      </c>
      <c r="T54" s="88">
        <f t="shared" si="5"/>
        <v>0</v>
      </c>
      <c r="U54" s="88">
        <f t="shared" si="6"/>
        <v>0</v>
      </c>
      <c r="V54" s="88">
        <f t="shared" si="7"/>
        <v>0</v>
      </c>
      <c r="W54" s="88">
        <f t="shared" si="8"/>
        <v>0</v>
      </c>
      <c r="X54" s="88">
        <f t="shared" si="9"/>
        <v>0</v>
      </c>
      <c r="Z54" s="51" t="s">
        <v>217</v>
      </c>
      <c r="AA54" s="52">
        <f>IF('Year 1 Results'!AA54*COUNTIF('Event Trigger'!$C:$C,'Year 2 Results'!$Z54)&gt;SUMIF('Event Trigger'!$C:$C,$Z54,D:D),0,'Year 1 Results'!AA54)</f>
        <v>500000</v>
      </c>
      <c r="AB54" s="52">
        <f>IF('Year 1 Results'!AB54*COUNTIF('Event Trigger'!$C:$C,'Year 2 Results'!$Z54)&gt;SUMIF('Event Trigger'!$C:$C,$Z54,E:E),0,'Year 1 Results'!AB54)</f>
        <v>500000</v>
      </c>
      <c r="AC54" s="52">
        <f>IF('Year 1 Results'!AC54*COUNTIF('Event Trigger'!$C:$C,'Year 2 Results'!$Z54)&gt;SUMIF('Event Trigger'!$C:$C,$Z54,F:F),0,'Year 1 Results'!AC54)</f>
        <v>500000</v>
      </c>
      <c r="AD54" s="52">
        <f>IF('Year 1 Results'!AD54*COUNTIF('Event Trigger'!$C:$C,'Year 2 Results'!$Z54)&gt;SUMIF('Event Trigger'!$C:$C,$Z54,G:G),0,'Year 1 Results'!AD54)</f>
        <v>500000</v>
      </c>
      <c r="AE54" s="52">
        <f>IF('Year 1 Results'!AE54*COUNTIF('Event Trigger'!$C:$C,'Year 2 Results'!$Z54)&gt;SUMIF('Event Trigger'!$C:$C,$Z54,H:H),0,'Year 1 Results'!AE54)</f>
        <v>500000</v>
      </c>
      <c r="AF54" s="52">
        <f>IF('Year 1 Results'!AF54*COUNTIF('Event Trigger'!$C:$C,'Year 2 Results'!$Z54)&gt;SUMIF('Event Trigger'!$C:$C,$Z54,I:I),0,'Year 1 Results'!AF54)</f>
        <v>500000</v>
      </c>
      <c r="AG54" s="52">
        <f>IF('Year 1 Results'!AG54*COUNTIF('Event Trigger'!$C:$C,'Year 2 Results'!$Z54)&gt;SUMIF('Event Trigger'!$C:$C,$Z54,J:J),0,'Year 1 Results'!AG54)</f>
        <v>500000</v>
      </c>
      <c r="AH54" s="52">
        <f>IF('Year 1 Results'!AH54*COUNTIF('Event Trigger'!$C:$C,'Year 2 Results'!$Z54)&gt;SUMIF('Event Trigger'!$C:$C,$Z54,K:K),0,'Year 1 Results'!AH54)</f>
        <v>500000</v>
      </c>
      <c r="AI54" s="52">
        <f>IF('Year 1 Results'!AI54*COUNTIF('Event Trigger'!$C:$C,'Year 2 Results'!$Z54)&gt;SUMIF('Event Trigger'!$C:$C,$Z54,L:L),0,'Year 1 Results'!AI54)</f>
        <v>500000</v>
      </c>
      <c r="AJ54" s="52">
        <f>IF('Year 1 Results'!AJ54*COUNTIF('Event Trigger'!$C:$C,'Year 2 Results'!$Z54)&gt;SUMIF('Event Trigger'!$C:$C,$Z54,M:M),0,'Year 1 Results'!AJ54)</f>
        <v>500000</v>
      </c>
    </row>
    <row r="55" spans="1:36" x14ac:dyDescent="0.25">
      <c r="A55" s="37" t="str">
        <f>'Risk Master'!B55:B183&amp;"-"&amp;'Risk Master'!D55</f>
        <v>Tsunami-Mumbai</v>
      </c>
      <c r="B55" s="37" t="str">
        <f>'Input Sheet year 2'!B56</f>
        <v>Tsunami-Mumbai</v>
      </c>
      <c r="C55" s="29" t="str">
        <f>'Risk Master'!F55</f>
        <v>A13</v>
      </c>
      <c r="D55" s="73">
        <f>'Year 1 Results'!O55*-1+('Year 1 Results'!O55*'Event Trigger'!$E56*(1-'Input Sheet year 2'!H56))</f>
        <v>0</v>
      </c>
      <c r="E55" s="73">
        <f>'Year 1 Results'!P55*-1+('Year 1 Results'!P55*'Event Trigger'!$E56*(1-'Input Sheet year 2'!I56))</f>
        <v>200000</v>
      </c>
      <c r="F55" s="73">
        <f>'Year 1 Results'!Q55*-1+('Year 1 Results'!Q55*'Event Trigger'!$E56*(1-'Input Sheet year 2'!J56))</f>
        <v>200000</v>
      </c>
      <c r="G55" s="73">
        <f>'Year 1 Results'!R55*-1+('Year 1 Results'!R55*'Event Trigger'!$E56*(1-'Input Sheet year 2'!K56))</f>
        <v>0</v>
      </c>
      <c r="H55" s="73">
        <f>'Year 1 Results'!S55*-1+('Year 1 Results'!S55*'Event Trigger'!$E56*(1-'Input Sheet year 2'!L56))</f>
        <v>0</v>
      </c>
      <c r="I55" s="73">
        <f>'Year 1 Results'!T55*-1+('Year 1 Results'!T55*'Event Trigger'!$E56*(1-'Input Sheet year 2'!M56))</f>
        <v>0</v>
      </c>
      <c r="J55" s="73">
        <f>'Year 1 Results'!U55*-1+('Year 1 Results'!U55*'Event Trigger'!$E56*(1-'Input Sheet year 2'!N56))</f>
        <v>0</v>
      </c>
      <c r="K55" s="73">
        <f>'Year 1 Results'!V55*-1+('Year 1 Results'!V55*'Event Trigger'!$E56*(1-'Input Sheet year 2'!O56))</f>
        <v>200000</v>
      </c>
      <c r="L55" s="73">
        <f>'Year 1 Results'!W55*-1+('Year 1 Results'!W55*'Event Trigger'!$E56*(1-'Input Sheet year 2'!P56))</f>
        <v>0</v>
      </c>
      <c r="M55" s="73">
        <f>'Year 1 Results'!X55*-1+('Year 1 Results'!X55*'Event Trigger'!$E56*(1-'Input Sheet year 2'!Q56))</f>
        <v>0</v>
      </c>
      <c r="N55" s="88"/>
      <c r="O55" s="88">
        <f t="shared" si="0"/>
        <v>0</v>
      </c>
      <c r="P55" s="88">
        <f t="shared" si="1"/>
        <v>0</v>
      </c>
      <c r="Q55" s="88">
        <f t="shared" si="2"/>
        <v>0</v>
      </c>
      <c r="R55" s="88">
        <f t="shared" si="3"/>
        <v>0</v>
      </c>
      <c r="S55" s="88">
        <f t="shared" si="4"/>
        <v>0</v>
      </c>
      <c r="T55" s="88">
        <f t="shared" si="5"/>
        <v>0</v>
      </c>
      <c r="U55" s="88">
        <f t="shared" si="6"/>
        <v>0</v>
      </c>
      <c r="V55" s="88">
        <f t="shared" si="7"/>
        <v>0</v>
      </c>
      <c r="W55" s="88">
        <f t="shared" si="8"/>
        <v>0</v>
      </c>
      <c r="X55" s="88">
        <f t="shared" si="9"/>
        <v>0</v>
      </c>
      <c r="Z55" s="51" t="s">
        <v>218</v>
      </c>
      <c r="AA55" s="52">
        <f>IF('Year 1 Results'!AA55*COUNTIF('Event Trigger'!$C:$C,'Year 2 Results'!$Z55)&gt;SUMIF('Event Trigger'!$C:$C,$Z55,D:D),0,'Year 1 Results'!AA55)</f>
        <v>300000</v>
      </c>
      <c r="AB55" s="52">
        <f>IF('Year 1 Results'!AB55*COUNTIF('Event Trigger'!$C:$C,'Year 2 Results'!$Z55)&gt;SUMIF('Event Trigger'!$C:$C,$Z55,E:E),0,'Year 1 Results'!AB55)</f>
        <v>300000</v>
      </c>
      <c r="AC55" s="52">
        <f>IF('Year 1 Results'!AC55*COUNTIF('Event Trigger'!$C:$C,'Year 2 Results'!$Z55)&gt;SUMIF('Event Trigger'!$C:$C,$Z55,F:F),0,'Year 1 Results'!AC55)</f>
        <v>300000</v>
      </c>
      <c r="AD55" s="52">
        <f>IF('Year 1 Results'!AD55*COUNTIF('Event Trigger'!$C:$C,'Year 2 Results'!$Z55)&gt;SUMIF('Event Trigger'!$C:$C,$Z55,G:G),0,'Year 1 Results'!AD55)</f>
        <v>300000</v>
      </c>
      <c r="AE55" s="52">
        <f>IF('Year 1 Results'!AE55*COUNTIF('Event Trigger'!$C:$C,'Year 2 Results'!$Z55)&gt;SUMIF('Event Trigger'!$C:$C,$Z55,H:H),0,'Year 1 Results'!AE55)</f>
        <v>300000</v>
      </c>
      <c r="AF55" s="52">
        <f>IF('Year 1 Results'!AF55*COUNTIF('Event Trigger'!$C:$C,'Year 2 Results'!$Z55)&gt;SUMIF('Event Trigger'!$C:$C,$Z55,I:I),0,'Year 1 Results'!AF55)</f>
        <v>300000</v>
      </c>
      <c r="AG55" s="52">
        <f>IF('Year 1 Results'!AG55*COUNTIF('Event Trigger'!$C:$C,'Year 2 Results'!$Z55)&gt;SUMIF('Event Trigger'!$C:$C,$Z55,J:J),0,'Year 1 Results'!AG55)</f>
        <v>300000</v>
      </c>
      <c r="AH55" s="52">
        <f>IF('Year 1 Results'!AH55*COUNTIF('Event Trigger'!$C:$C,'Year 2 Results'!$Z55)&gt;SUMIF('Event Trigger'!$C:$C,$Z55,K:K),0,'Year 1 Results'!AH55)</f>
        <v>300000</v>
      </c>
      <c r="AI55" s="52">
        <f>IF('Year 1 Results'!AI55*COUNTIF('Event Trigger'!$C:$C,'Year 2 Results'!$Z55)&gt;SUMIF('Event Trigger'!$C:$C,$Z55,L:L),0,'Year 1 Results'!AI55)</f>
        <v>300000</v>
      </c>
      <c r="AJ55" s="52">
        <f>IF('Year 1 Results'!AJ55*COUNTIF('Event Trigger'!$C:$C,'Year 2 Results'!$Z55)&gt;SUMIF('Event Trigger'!$C:$C,$Z55,M:M),0,'Year 1 Results'!AJ55)</f>
        <v>300000</v>
      </c>
    </row>
    <row r="56" spans="1:36" ht="25.5" x14ac:dyDescent="0.25">
      <c r="A56" s="37" t="str">
        <f>'Risk Master'!B56:B183&amp;"-"&amp;'Risk Master'!D56</f>
        <v>High tide and high rainfalls leading to large floods-Mumbai</v>
      </c>
      <c r="B56" s="37" t="str">
        <f>'Input Sheet year 2'!B57</f>
        <v>Flood-Mumbai</v>
      </c>
      <c r="C56" s="29" t="str">
        <f>'Risk Master'!F56</f>
        <v>A14</v>
      </c>
      <c r="D56" s="73">
        <f>'Year 1 Results'!O56*-1+('Year 1 Results'!O56*'Event Trigger'!$E57*(1-'Input Sheet year 2'!H57))</f>
        <v>0</v>
      </c>
      <c r="E56" s="73">
        <f>'Year 1 Results'!P56*-1+('Year 1 Results'!P56*'Event Trigger'!$E57*(1-'Input Sheet year 2'!I57))</f>
        <v>0</v>
      </c>
      <c r="F56" s="73">
        <f>'Year 1 Results'!Q56*-1+('Year 1 Results'!Q56*'Event Trigger'!$E57*(1-'Input Sheet year 2'!J57))</f>
        <v>300000</v>
      </c>
      <c r="G56" s="73">
        <f>'Year 1 Results'!R56*-1+('Year 1 Results'!R56*'Event Trigger'!$E57*(1-'Input Sheet year 2'!K57))</f>
        <v>0</v>
      </c>
      <c r="H56" s="73">
        <f>'Year 1 Results'!S56*-1+('Year 1 Results'!S56*'Event Trigger'!$E57*(1-'Input Sheet year 2'!L57))</f>
        <v>0</v>
      </c>
      <c r="I56" s="73">
        <f>'Year 1 Results'!T56*-1+('Year 1 Results'!T56*'Event Trigger'!$E57*(1-'Input Sheet year 2'!M57))</f>
        <v>0</v>
      </c>
      <c r="J56" s="73">
        <f>'Year 1 Results'!U56*-1+('Year 1 Results'!U56*'Event Trigger'!$E57*(1-'Input Sheet year 2'!N57))</f>
        <v>0</v>
      </c>
      <c r="K56" s="73">
        <f>'Year 1 Results'!V56*-1+('Year 1 Results'!V56*'Event Trigger'!$E57*(1-'Input Sheet year 2'!O57))</f>
        <v>0</v>
      </c>
      <c r="L56" s="73">
        <f>'Year 1 Results'!W56*-1+('Year 1 Results'!W56*'Event Trigger'!$E57*(1-'Input Sheet year 2'!P57))</f>
        <v>0</v>
      </c>
      <c r="M56" s="73">
        <f>'Year 1 Results'!X56*-1+('Year 1 Results'!X56*'Event Trigger'!$E57*(1-'Input Sheet year 2'!Q57))</f>
        <v>0</v>
      </c>
      <c r="N56" s="88"/>
      <c r="O56" s="88">
        <f t="shared" si="0"/>
        <v>0</v>
      </c>
      <c r="P56" s="88">
        <f t="shared" si="1"/>
        <v>0</v>
      </c>
      <c r="Q56" s="88">
        <f t="shared" si="2"/>
        <v>0</v>
      </c>
      <c r="R56" s="88">
        <f t="shared" si="3"/>
        <v>0</v>
      </c>
      <c r="S56" s="88">
        <f t="shared" si="4"/>
        <v>0</v>
      </c>
      <c r="T56" s="88">
        <f t="shared" si="5"/>
        <v>0</v>
      </c>
      <c r="U56" s="88">
        <f t="shared" si="6"/>
        <v>0</v>
      </c>
      <c r="V56" s="88">
        <f t="shared" si="7"/>
        <v>0</v>
      </c>
      <c r="W56" s="88">
        <f t="shared" si="8"/>
        <v>0</v>
      </c>
      <c r="X56" s="88">
        <f t="shared" si="9"/>
        <v>0</v>
      </c>
      <c r="Z56" s="51" t="s">
        <v>219</v>
      </c>
      <c r="AA56" s="52">
        <f>IF('Year 1 Results'!AA56*COUNTIF('Event Trigger'!$C:$C,'Year 2 Results'!$Z56)&gt;SUMIF('Event Trigger'!$C:$C,$Z56,D:D),0,'Year 1 Results'!AA56)</f>
        <v>500000</v>
      </c>
      <c r="AB56" s="52">
        <f>IF('Year 1 Results'!AB56*COUNTIF('Event Trigger'!$C:$C,'Year 2 Results'!$Z56)&gt;SUMIF('Event Trigger'!$C:$C,$Z56,E:E),0,'Year 1 Results'!AB56)</f>
        <v>500000</v>
      </c>
      <c r="AC56" s="52">
        <f>IF('Year 1 Results'!AC56*COUNTIF('Event Trigger'!$C:$C,'Year 2 Results'!$Z56)&gt;SUMIF('Event Trigger'!$C:$C,$Z56,F:F),0,'Year 1 Results'!AC56)</f>
        <v>500000</v>
      </c>
      <c r="AD56" s="52">
        <f>IF('Year 1 Results'!AD56*COUNTIF('Event Trigger'!$C:$C,'Year 2 Results'!$Z56)&gt;SUMIF('Event Trigger'!$C:$C,$Z56,G:G),0,'Year 1 Results'!AD56)</f>
        <v>500000</v>
      </c>
      <c r="AE56" s="52">
        <f>IF('Year 1 Results'!AE56*COUNTIF('Event Trigger'!$C:$C,'Year 2 Results'!$Z56)&gt;SUMIF('Event Trigger'!$C:$C,$Z56,H:H),0,'Year 1 Results'!AE56)</f>
        <v>500000</v>
      </c>
      <c r="AF56" s="52">
        <f>IF('Year 1 Results'!AF56*COUNTIF('Event Trigger'!$C:$C,'Year 2 Results'!$Z56)&gt;SUMIF('Event Trigger'!$C:$C,$Z56,I:I),0,'Year 1 Results'!AF56)</f>
        <v>500000</v>
      </c>
      <c r="AG56" s="52">
        <f>IF('Year 1 Results'!AG56*COUNTIF('Event Trigger'!$C:$C,'Year 2 Results'!$Z56)&gt;SUMIF('Event Trigger'!$C:$C,$Z56,J:J),0,'Year 1 Results'!AG56)</f>
        <v>500000</v>
      </c>
      <c r="AH56" s="52">
        <f>IF('Year 1 Results'!AH56*COUNTIF('Event Trigger'!$C:$C,'Year 2 Results'!$Z56)&gt;SUMIF('Event Trigger'!$C:$C,$Z56,K:K),0,'Year 1 Results'!AH56)</f>
        <v>500000</v>
      </c>
      <c r="AI56" s="52">
        <f>IF('Year 1 Results'!AI56*COUNTIF('Event Trigger'!$C:$C,'Year 2 Results'!$Z56)&gt;SUMIF('Event Trigger'!$C:$C,$Z56,L:L),0,'Year 1 Results'!AI56)</f>
        <v>500000</v>
      </c>
      <c r="AJ56" s="52">
        <f>IF('Year 1 Results'!AJ56*COUNTIF('Event Trigger'!$C:$C,'Year 2 Results'!$Z56)&gt;SUMIF('Event Trigger'!$C:$C,$Z56,M:M),0,'Year 1 Results'!AJ56)</f>
        <v>500000</v>
      </c>
    </row>
    <row r="57" spans="1:36" x14ac:dyDescent="0.25">
      <c r="A57" s="37" t="str">
        <f>'Risk Master'!B57:B183&amp;"-"&amp;'Risk Master'!D57</f>
        <v>Earthquake-Mumbai</v>
      </c>
      <c r="B57" s="37" t="str">
        <f>'Input Sheet year 2'!B58</f>
        <v>Earthquake-Mumbai</v>
      </c>
      <c r="C57" s="29" t="str">
        <f>'Risk Master'!F57</f>
        <v>A14</v>
      </c>
      <c r="D57" s="73">
        <f>'Year 1 Results'!O57*-1+('Year 1 Results'!O57*'Event Trigger'!$E58*(1-'Input Sheet year 2'!H58))</f>
        <v>0</v>
      </c>
      <c r="E57" s="73">
        <f>'Year 1 Results'!P57*-1+('Year 1 Results'!P57*'Event Trigger'!$E58*(1-'Input Sheet year 2'!I58))</f>
        <v>0</v>
      </c>
      <c r="F57" s="73">
        <f>'Year 1 Results'!Q57*-1+('Year 1 Results'!Q57*'Event Trigger'!$E58*(1-'Input Sheet year 2'!J58))</f>
        <v>300000</v>
      </c>
      <c r="G57" s="73">
        <f>'Year 1 Results'!R57*-1+('Year 1 Results'!R57*'Event Trigger'!$E58*(1-'Input Sheet year 2'!K58))</f>
        <v>0</v>
      </c>
      <c r="H57" s="73">
        <f>'Year 1 Results'!S57*-1+('Year 1 Results'!S57*'Event Trigger'!$E58*(1-'Input Sheet year 2'!L58))</f>
        <v>0</v>
      </c>
      <c r="I57" s="73">
        <f>'Year 1 Results'!T57*-1+('Year 1 Results'!T57*'Event Trigger'!$E58*(1-'Input Sheet year 2'!M58))</f>
        <v>0</v>
      </c>
      <c r="J57" s="73">
        <f>'Year 1 Results'!U57*-1+('Year 1 Results'!U57*'Event Trigger'!$E58*(1-'Input Sheet year 2'!N58))</f>
        <v>0</v>
      </c>
      <c r="K57" s="73">
        <f>'Year 1 Results'!V57*-1+('Year 1 Results'!V57*'Event Trigger'!$E58*(1-'Input Sheet year 2'!O58))</f>
        <v>0</v>
      </c>
      <c r="L57" s="73">
        <f>'Year 1 Results'!W57*-1+('Year 1 Results'!W57*'Event Trigger'!$E58*(1-'Input Sheet year 2'!P58))</f>
        <v>0</v>
      </c>
      <c r="M57" s="73">
        <f>'Year 1 Results'!X57*-1+('Year 1 Results'!X57*'Event Trigger'!$E58*(1-'Input Sheet year 2'!Q58))</f>
        <v>0</v>
      </c>
      <c r="N57" s="88"/>
      <c r="O57" s="88">
        <f t="shared" si="0"/>
        <v>0</v>
      </c>
      <c r="P57" s="88">
        <f t="shared" si="1"/>
        <v>0</v>
      </c>
      <c r="Q57" s="88">
        <f t="shared" si="2"/>
        <v>0</v>
      </c>
      <c r="R57" s="88">
        <f t="shared" si="3"/>
        <v>0</v>
      </c>
      <c r="S57" s="88">
        <f t="shared" si="4"/>
        <v>0</v>
      </c>
      <c r="T57" s="88">
        <f t="shared" si="5"/>
        <v>0</v>
      </c>
      <c r="U57" s="88">
        <f t="shared" si="6"/>
        <v>0</v>
      </c>
      <c r="V57" s="88">
        <f t="shared" si="7"/>
        <v>0</v>
      </c>
      <c r="W57" s="88">
        <f t="shared" si="8"/>
        <v>0</v>
      </c>
      <c r="X57" s="88">
        <f t="shared" si="9"/>
        <v>0</v>
      </c>
      <c r="Z57" s="51" t="s">
        <v>220</v>
      </c>
      <c r="AA57" s="52">
        <f>IF('Year 1 Results'!AA57*COUNTIF('Event Trigger'!$C:$C,'Year 2 Results'!$Z57)&gt;SUMIF('Event Trigger'!$C:$C,$Z57,D:D),0,'Year 1 Results'!AA57)</f>
        <v>0</v>
      </c>
      <c r="AB57" s="52">
        <f>IF('Year 1 Results'!AB57*COUNTIF('Event Trigger'!$C:$C,'Year 2 Results'!$Z57)&gt;SUMIF('Event Trigger'!$C:$C,$Z57,E:E),0,'Year 1 Results'!AB57)</f>
        <v>0</v>
      </c>
      <c r="AC57" s="52">
        <f>IF('Year 1 Results'!AC57*COUNTIF('Event Trigger'!$C:$C,'Year 2 Results'!$Z57)&gt;SUMIF('Event Trigger'!$C:$C,$Z57,F:F),0,'Year 1 Results'!AC57)</f>
        <v>0</v>
      </c>
      <c r="AD57" s="52">
        <f>IF('Year 1 Results'!AD57*COUNTIF('Event Trigger'!$C:$C,'Year 2 Results'!$Z57)&gt;SUMIF('Event Trigger'!$C:$C,$Z57,G:G),0,'Year 1 Results'!AD57)</f>
        <v>0</v>
      </c>
      <c r="AE57" s="52">
        <f>IF('Year 1 Results'!AE57*COUNTIF('Event Trigger'!$C:$C,'Year 2 Results'!$Z57)&gt;SUMIF('Event Trigger'!$C:$C,$Z57,H:H),0,'Year 1 Results'!AE57)</f>
        <v>0</v>
      </c>
      <c r="AF57" s="52">
        <f>IF('Year 1 Results'!AF57*COUNTIF('Event Trigger'!$C:$C,'Year 2 Results'!$Z57)&gt;SUMIF('Event Trigger'!$C:$C,$Z57,I:I),0,'Year 1 Results'!AF57)</f>
        <v>0</v>
      </c>
      <c r="AG57" s="52">
        <f>IF('Year 1 Results'!AG57*COUNTIF('Event Trigger'!$C:$C,'Year 2 Results'!$Z57)&gt;SUMIF('Event Trigger'!$C:$C,$Z57,J:J),0,'Year 1 Results'!AG57)</f>
        <v>0</v>
      </c>
      <c r="AH57" s="52">
        <f>IF('Year 1 Results'!AH57*COUNTIF('Event Trigger'!$C:$C,'Year 2 Results'!$Z57)&gt;SUMIF('Event Trigger'!$C:$C,$Z57,K:K),0,'Year 1 Results'!AH57)</f>
        <v>0</v>
      </c>
      <c r="AI57" s="52">
        <f>IF('Year 1 Results'!AI57*COUNTIF('Event Trigger'!$C:$C,'Year 2 Results'!$Z57)&gt;SUMIF('Event Trigger'!$C:$C,$Z57,L:L),0,'Year 1 Results'!AI57)</f>
        <v>0</v>
      </c>
      <c r="AJ57" s="52">
        <f>IF('Year 1 Results'!AJ57*COUNTIF('Event Trigger'!$C:$C,'Year 2 Results'!$Z57)&gt;SUMIF('Event Trigger'!$C:$C,$Z57,M:M),0,'Year 1 Results'!AJ57)</f>
        <v>0</v>
      </c>
    </row>
    <row r="58" spans="1:36" x14ac:dyDescent="0.25">
      <c r="A58" s="37" t="str">
        <f>'Risk Master'!B58:B183&amp;"-"&amp;'Risk Master'!D58</f>
        <v>Fire-Mumbai</v>
      </c>
      <c r="B58" s="37" t="str">
        <f>'Input Sheet year 2'!B59</f>
        <v>Fire-Mumbai</v>
      </c>
      <c r="C58" s="29" t="str">
        <f>'Risk Master'!F58</f>
        <v>A14</v>
      </c>
      <c r="D58" s="73">
        <f>'Year 1 Results'!O58*-1+('Year 1 Results'!O58*'Event Trigger'!$E59*(1-'Input Sheet year 2'!H59))</f>
        <v>0</v>
      </c>
      <c r="E58" s="73">
        <f>'Year 1 Results'!P58*-1+('Year 1 Results'!P58*'Event Trigger'!$E59*(1-'Input Sheet year 2'!I59))</f>
        <v>0</v>
      </c>
      <c r="F58" s="73">
        <f>'Year 1 Results'!Q58*-1+('Year 1 Results'!Q58*'Event Trigger'!$E59*(1-'Input Sheet year 2'!J59))</f>
        <v>300000</v>
      </c>
      <c r="G58" s="73">
        <f>'Year 1 Results'!R58*-1+('Year 1 Results'!R58*'Event Trigger'!$E59*(1-'Input Sheet year 2'!K59))</f>
        <v>0</v>
      </c>
      <c r="H58" s="73">
        <f>'Year 1 Results'!S58*-1+('Year 1 Results'!S58*'Event Trigger'!$E59*(1-'Input Sheet year 2'!L59))</f>
        <v>0</v>
      </c>
      <c r="I58" s="73">
        <f>'Year 1 Results'!T58*-1+('Year 1 Results'!T58*'Event Trigger'!$E59*(1-'Input Sheet year 2'!M59))</f>
        <v>0</v>
      </c>
      <c r="J58" s="73">
        <f>'Year 1 Results'!U58*-1+('Year 1 Results'!U58*'Event Trigger'!$E59*(1-'Input Sheet year 2'!N59))</f>
        <v>0</v>
      </c>
      <c r="K58" s="73">
        <f>'Year 1 Results'!V58*-1+('Year 1 Results'!V58*'Event Trigger'!$E59*(1-'Input Sheet year 2'!O59))</f>
        <v>0</v>
      </c>
      <c r="L58" s="73">
        <f>'Year 1 Results'!W58*-1+('Year 1 Results'!W58*'Event Trigger'!$E59*(1-'Input Sheet year 2'!P59))</f>
        <v>0</v>
      </c>
      <c r="M58" s="73">
        <f>'Year 1 Results'!X58*-1+('Year 1 Results'!X58*'Event Trigger'!$E59*(1-'Input Sheet year 2'!Q59))</f>
        <v>0</v>
      </c>
      <c r="N58" s="88"/>
      <c r="O58" s="88">
        <f t="shared" si="0"/>
        <v>0</v>
      </c>
      <c r="P58" s="88">
        <f t="shared" si="1"/>
        <v>0</v>
      </c>
      <c r="Q58" s="88">
        <f t="shared" si="2"/>
        <v>0</v>
      </c>
      <c r="R58" s="88">
        <f t="shared" si="3"/>
        <v>0</v>
      </c>
      <c r="S58" s="88">
        <f t="shared" si="4"/>
        <v>0</v>
      </c>
      <c r="T58" s="88">
        <f t="shared" si="5"/>
        <v>0</v>
      </c>
      <c r="U58" s="88">
        <f t="shared" si="6"/>
        <v>0</v>
      </c>
      <c r="V58" s="88">
        <f t="shared" si="7"/>
        <v>0</v>
      </c>
      <c r="W58" s="88">
        <f t="shared" si="8"/>
        <v>0</v>
      </c>
      <c r="X58" s="88">
        <f t="shared" si="9"/>
        <v>0</v>
      </c>
      <c r="Z58" s="51" t="s">
        <v>221</v>
      </c>
      <c r="AA58" s="52">
        <f>IF('Year 1 Results'!AA58*COUNTIF('Event Trigger'!$C:$C,'Year 2 Results'!$Z58)&gt;SUMIF('Event Trigger'!$C:$C,$Z58,D:D),0,'Year 1 Results'!AA58)</f>
        <v>0</v>
      </c>
      <c r="AB58" s="52">
        <f>IF('Year 1 Results'!AB58*COUNTIF('Event Trigger'!$C:$C,'Year 2 Results'!$Z58)&gt;SUMIF('Event Trigger'!$C:$C,$Z58,E:E),0,'Year 1 Results'!AB58)</f>
        <v>0</v>
      </c>
      <c r="AC58" s="52">
        <f>IF('Year 1 Results'!AC58*COUNTIF('Event Trigger'!$C:$C,'Year 2 Results'!$Z58)&gt;SUMIF('Event Trigger'!$C:$C,$Z58,F:F),0,'Year 1 Results'!AC58)</f>
        <v>0</v>
      </c>
      <c r="AD58" s="52">
        <f>IF('Year 1 Results'!AD58*COUNTIF('Event Trigger'!$C:$C,'Year 2 Results'!$Z58)&gt;SUMIF('Event Trigger'!$C:$C,$Z58,G:G),0,'Year 1 Results'!AD58)</f>
        <v>0</v>
      </c>
      <c r="AE58" s="52">
        <f>IF('Year 1 Results'!AE58*COUNTIF('Event Trigger'!$C:$C,'Year 2 Results'!$Z58)&gt;SUMIF('Event Trigger'!$C:$C,$Z58,H:H),0,'Year 1 Results'!AE58)</f>
        <v>0</v>
      </c>
      <c r="AF58" s="52">
        <f>IF('Year 1 Results'!AF58*COUNTIF('Event Trigger'!$C:$C,'Year 2 Results'!$Z58)&gt;SUMIF('Event Trigger'!$C:$C,$Z58,I:I),0,'Year 1 Results'!AF58)</f>
        <v>0</v>
      </c>
      <c r="AG58" s="52">
        <f>IF('Year 1 Results'!AG58*COUNTIF('Event Trigger'!$C:$C,'Year 2 Results'!$Z58)&gt;SUMIF('Event Trigger'!$C:$C,$Z58,J:J),0,'Year 1 Results'!AG58)</f>
        <v>0</v>
      </c>
      <c r="AH58" s="52">
        <f>IF('Year 1 Results'!AH58*COUNTIF('Event Trigger'!$C:$C,'Year 2 Results'!$Z58)&gt;SUMIF('Event Trigger'!$C:$C,$Z58,K:K),0,'Year 1 Results'!AH58)</f>
        <v>0</v>
      </c>
      <c r="AI58" s="52">
        <f>IF('Year 1 Results'!AI58*COUNTIF('Event Trigger'!$C:$C,'Year 2 Results'!$Z58)&gt;SUMIF('Event Trigger'!$C:$C,$Z58,L:L),0,'Year 1 Results'!AI58)</f>
        <v>0</v>
      </c>
      <c r="AJ58" s="52">
        <f>IF('Year 1 Results'!AJ58*COUNTIF('Event Trigger'!$C:$C,'Year 2 Results'!$Z58)&gt;SUMIF('Event Trigger'!$C:$C,$Z58,M:M),0,'Year 1 Results'!AJ58)</f>
        <v>0</v>
      </c>
    </row>
    <row r="59" spans="1:36" x14ac:dyDescent="0.25">
      <c r="A59" s="37" t="str">
        <f>'Risk Master'!B59:B183&amp;"-"&amp;'Risk Master'!D59</f>
        <v>Typhoon-Mumbai</v>
      </c>
      <c r="B59" s="37" t="str">
        <f>'Input Sheet year 2'!B60</f>
        <v>Typhoon-Mumbai</v>
      </c>
      <c r="C59" s="29" t="str">
        <f>'Risk Master'!F59</f>
        <v>A14</v>
      </c>
      <c r="D59" s="73">
        <f>'Year 1 Results'!O59*-1+('Year 1 Results'!O59*'Event Trigger'!$E60*(1-'Input Sheet year 2'!H60))</f>
        <v>0</v>
      </c>
      <c r="E59" s="73">
        <f>'Year 1 Results'!P59*-1+('Year 1 Results'!P59*'Event Trigger'!$E60*(1-'Input Sheet year 2'!I60))</f>
        <v>0</v>
      </c>
      <c r="F59" s="73">
        <f>'Year 1 Results'!Q59*-1+('Year 1 Results'!Q59*'Event Trigger'!$E60*(1-'Input Sheet year 2'!J60))</f>
        <v>300000</v>
      </c>
      <c r="G59" s="73">
        <f>'Year 1 Results'!R59*-1+('Year 1 Results'!R59*'Event Trigger'!$E60*(1-'Input Sheet year 2'!K60))</f>
        <v>0</v>
      </c>
      <c r="H59" s="73">
        <f>'Year 1 Results'!S59*-1+('Year 1 Results'!S59*'Event Trigger'!$E60*(1-'Input Sheet year 2'!L60))</f>
        <v>0</v>
      </c>
      <c r="I59" s="73">
        <f>'Year 1 Results'!T59*-1+('Year 1 Results'!T59*'Event Trigger'!$E60*(1-'Input Sheet year 2'!M60))</f>
        <v>0</v>
      </c>
      <c r="J59" s="73">
        <f>'Year 1 Results'!U59*-1+('Year 1 Results'!U59*'Event Trigger'!$E60*(1-'Input Sheet year 2'!N60))</f>
        <v>0</v>
      </c>
      <c r="K59" s="73">
        <f>'Year 1 Results'!V59*-1+('Year 1 Results'!V59*'Event Trigger'!$E60*(1-'Input Sheet year 2'!O60))</f>
        <v>0</v>
      </c>
      <c r="L59" s="73">
        <f>'Year 1 Results'!W59*-1+('Year 1 Results'!W59*'Event Trigger'!$E60*(1-'Input Sheet year 2'!P60))</f>
        <v>0</v>
      </c>
      <c r="M59" s="73">
        <f>'Year 1 Results'!X59*-1+('Year 1 Results'!X59*'Event Trigger'!$E60*(1-'Input Sheet year 2'!Q60))</f>
        <v>0</v>
      </c>
      <c r="N59" s="88"/>
      <c r="O59" s="88">
        <f t="shared" si="0"/>
        <v>0</v>
      </c>
      <c r="P59" s="88">
        <f t="shared" si="1"/>
        <v>0</v>
      </c>
      <c r="Q59" s="88">
        <f t="shared" si="2"/>
        <v>0</v>
      </c>
      <c r="R59" s="88">
        <f t="shared" si="3"/>
        <v>0</v>
      </c>
      <c r="S59" s="88">
        <f t="shared" si="4"/>
        <v>0</v>
      </c>
      <c r="T59" s="88">
        <f t="shared" si="5"/>
        <v>0</v>
      </c>
      <c r="U59" s="88">
        <f t="shared" si="6"/>
        <v>0</v>
      </c>
      <c r="V59" s="88">
        <f t="shared" si="7"/>
        <v>0</v>
      </c>
      <c r="W59" s="88">
        <f t="shared" si="8"/>
        <v>0</v>
      </c>
      <c r="X59" s="88">
        <f t="shared" si="9"/>
        <v>0</v>
      </c>
      <c r="Z59" s="51" t="s">
        <v>222</v>
      </c>
      <c r="AA59" s="52">
        <f>IF('Year 1 Results'!AA59*COUNTIF('Event Trigger'!$C:$C,'Year 2 Results'!$Z59)&gt;SUMIF('Event Trigger'!$C:$C,$Z59,D:D),0,'Year 1 Results'!AA59)</f>
        <v>0</v>
      </c>
      <c r="AB59" s="52">
        <f>IF('Year 1 Results'!AB59*COUNTIF('Event Trigger'!$C:$C,'Year 2 Results'!$Z59)&gt;SUMIF('Event Trigger'!$C:$C,$Z59,E:E),0,'Year 1 Results'!AB59)</f>
        <v>0</v>
      </c>
      <c r="AC59" s="52">
        <f>IF('Year 1 Results'!AC59*COUNTIF('Event Trigger'!$C:$C,'Year 2 Results'!$Z59)&gt;SUMIF('Event Trigger'!$C:$C,$Z59,F:F),0,'Year 1 Results'!AC59)</f>
        <v>0</v>
      </c>
      <c r="AD59" s="52">
        <f>IF('Year 1 Results'!AD59*COUNTIF('Event Trigger'!$C:$C,'Year 2 Results'!$Z59)&gt;SUMIF('Event Trigger'!$C:$C,$Z59,G:G),0,'Year 1 Results'!AD59)</f>
        <v>0</v>
      </c>
      <c r="AE59" s="52">
        <f>IF('Year 1 Results'!AE59*COUNTIF('Event Trigger'!$C:$C,'Year 2 Results'!$Z59)&gt;SUMIF('Event Trigger'!$C:$C,$Z59,H:H),0,'Year 1 Results'!AE59)</f>
        <v>200000</v>
      </c>
      <c r="AF59" s="52">
        <f>IF('Year 1 Results'!AF59*COUNTIF('Event Trigger'!$C:$C,'Year 2 Results'!$Z59)&gt;SUMIF('Event Trigger'!$C:$C,$Z59,I:I),0,'Year 1 Results'!AF59)</f>
        <v>0</v>
      </c>
      <c r="AG59" s="52">
        <f>IF('Year 1 Results'!AG59*COUNTIF('Event Trigger'!$C:$C,'Year 2 Results'!$Z59)&gt;SUMIF('Event Trigger'!$C:$C,$Z59,J:J),0,'Year 1 Results'!AG59)</f>
        <v>200000</v>
      </c>
      <c r="AH59" s="52">
        <f>IF('Year 1 Results'!AH59*COUNTIF('Event Trigger'!$C:$C,'Year 2 Results'!$Z59)&gt;SUMIF('Event Trigger'!$C:$C,$Z59,K:K),0,'Year 1 Results'!AH59)</f>
        <v>0</v>
      </c>
      <c r="AI59" s="52">
        <f>IF('Year 1 Results'!AI59*COUNTIF('Event Trigger'!$C:$C,'Year 2 Results'!$Z59)&gt;SUMIF('Event Trigger'!$C:$C,$Z59,L:L),0,'Year 1 Results'!AI59)</f>
        <v>200000</v>
      </c>
      <c r="AJ59" s="52">
        <f>IF('Year 1 Results'!AJ59*COUNTIF('Event Trigger'!$C:$C,'Year 2 Results'!$Z59)&gt;SUMIF('Event Trigger'!$C:$C,$Z59,M:M),0,'Year 1 Results'!AJ59)</f>
        <v>0</v>
      </c>
    </row>
    <row r="60" spans="1:36" ht="25.5" x14ac:dyDescent="0.25">
      <c r="A60" s="37" t="str">
        <f>'Risk Master'!B60:B183&amp;"-"&amp;'Risk Master'!D60</f>
        <v>Thunderstorms, Tornados &amp; Hail-Mumbai</v>
      </c>
      <c r="B60" s="37" t="str">
        <f>'Input Sheet year 2'!B61</f>
        <v>Thunderstorms, Tornados &amp; Hail-Mumbai</v>
      </c>
      <c r="C60" s="29" t="str">
        <f>'Risk Master'!F60</f>
        <v>A14</v>
      </c>
      <c r="D60" s="73">
        <f>'Year 1 Results'!O60*-1+('Year 1 Results'!O60*'Event Trigger'!$E61*(1-'Input Sheet year 2'!H61))</f>
        <v>0</v>
      </c>
      <c r="E60" s="73">
        <f>'Year 1 Results'!P60*-1+('Year 1 Results'!P60*'Event Trigger'!$E61*(1-'Input Sheet year 2'!I61))</f>
        <v>0</v>
      </c>
      <c r="F60" s="73">
        <f>'Year 1 Results'!Q60*-1+('Year 1 Results'!Q60*'Event Trigger'!$E61*(1-'Input Sheet year 2'!J61))</f>
        <v>0</v>
      </c>
      <c r="G60" s="73">
        <f>'Year 1 Results'!R60*-1+('Year 1 Results'!R60*'Event Trigger'!$E61*(1-'Input Sheet year 2'!K61))</f>
        <v>0</v>
      </c>
      <c r="H60" s="73">
        <f>'Year 1 Results'!S60*-1+('Year 1 Results'!S60*'Event Trigger'!$E61*(1-'Input Sheet year 2'!L61))</f>
        <v>0</v>
      </c>
      <c r="I60" s="73">
        <f>'Year 1 Results'!T60*-1+('Year 1 Results'!T60*'Event Trigger'!$E61*(1-'Input Sheet year 2'!M61))</f>
        <v>0</v>
      </c>
      <c r="J60" s="73">
        <f>'Year 1 Results'!U60*-1+('Year 1 Results'!U60*'Event Trigger'!$E61*(1-'Input Sheet year 2'!N61))</f>
        <v>0</v>
      </c>
      <c r="K60" s="73">
        <f>'Year 1 Results'!V60*-1+('Year 1 Results'!V60*'Event Trigger'!$E61*(1-'Input Sheet year 2'!O61))</f>
        <v>0</v>
      </c>
      <c r="L60" s="73">
        <f>'Year 1 Results'!W60*-1+('Year 1 Results'!W60*'Event Trigger'!$E61*(1-'Input Sheet year 2'!P61))</f>
        <v>0</v>
      </c>
      <c r="M60" s="73">
        <f>'Year 1 Results'!X60*-1+('Year 1 Results'!X60*'Event Trigger'!$E61*(1-'Input Sheet year 2'!Q61))</f>
        <v>0</v>
      </c>
      <c r="N60" s="88"/>
      <c r="O60" s="88">
        <f t="shared" si="0"/>
        <v>0</v>
      </c>
      <c r="P60" s="88">
        <f t="shared" si="1"/>
        <v>0</v>
      </c>
      <c r="Q60" s="88">
        <f t="shared" si="2"/>
        <v>0</v>
      </c>
      <c r="R60" s="88">
        <f t="shared" si="3"/>
        <v>0</v>
      </c>
      <c r="S60" s="88">
        <f t="shared" si="4"/>
        <v>0</v>
      </c>
      <c r="T60" s="88">
        <f t="shared" si="5"/>
        <v>0</v>
      </c>
      <c r="U60" s="88">
        <f t="shared" si="6"/>
        <v>0</v>
      </c>
      <c r="V60" s="88">
        <f t="shared" si="7"/>
        <v>0</v>
      </c>
      <c r="W60" s="88">
        <f t="shared" si="8"/>
        <v>0</v>
      </c>
      <c r="X60" s="88">
        <f t="shared" si="9"/>
        <v>0</v>
      </c>
      <c r="Z60" s="51" t="s">
        <v>223</v>
      </c>
      <c r="AA60" s="52">
        <f>IF('Year 1 Results'!AA60*COUNTIF('Event Trigger'!$C:$C,'Year 2 Results'!$Z60)&gt;SUMIF('Event Trigger'!$C:$C,$Z60,D:D),0,'Year 1 Results'!AA60)</f>
        <v>0</v>
      </c>
      <c r="AB60" s="52">
        <f>IF('Year 1 Results'!AB60*COUNTIF('Event Trigger'!$C:$C,'Year 2 Results'!$Z60)&gt;SUMIF('Event Trigger'!$C:$C,$Z60,E:E),0,'Year 1 Results'!AB60)</f>
        <v>0</v>
      </c>
      <c r="AC60" s="52">
        <f>IF('Year 1 Results'!AC60*COUNTIF('Event Trigger'!$C:$C,'Year 2 Results'!$Z60)&gt;SUMIF('Event Trigger'!$C:$C,$Z60,F:F),0,'Year 1 Results'!AC60)</f>
        <v>0</v>
      </c>
      <c r="AD60" s="52">
        <f>IF('Year 1 Results'!AD60*COUNTIF('Event Trigger'!$C:$C,'Year 2 Results'!$Z60)&gt;SUMIF('Event Trigger'!$C:$C,$Z60,G:G),0,'Year 1 Results'!AD60)</f>
        <v>0</v>
      </c>
      <c r="AE60" s="52">
        <f>IF('Year 1 Results'!AE60*COUNTIF('Event Trigger'!$C:$C,'Year 2 Results'!$Z60)&gt;SUMIF('Event Trigger'!$C:$C,$Z60,H:H),0,'Year 1 Results'!AE60)</f>
        <v>0</v>
      </c>
      <c r="AF60" s="52">
        <f>IF('Year 1 Results'!AF60*COUNTIF('Event Trigger'!$C:$C,'Year 2 Results'!$Z60)&gt;SUMIF('Event Trigger'!$C:$C,$Z60,I:I),0,'Year 1 Results'!AF60)</f>
        <v>0</v>
      </c>
      <c r="AG60" s="52">
        <f>IF('Year 1 Results'!AG60*COUNTIF('Event Trigger'!$C:$C,'Year 2 Results'!$Z60)&gt;SUMIF('Event Trigger'!$C:$C,$Z60,J:J),0,'Year 1 Results'!AG60)</f>
        <v>0</v>
      </c>
      <c r="AH60" s="52">
        <f>IF('Year 1 Results'!AH60*COUNTIF('Event Trigger'!$C:$C,'Year 2 Results'!$Z60)&gt;SUMIF('Event Trigger'!$C:$C,$Z60,K:K),0,'Year 1 Results'!AH60)</f>
        <v>0</v>
      </c>
      <c r="AI60" s="52">
        <f>IF('Year 1 Results'!AI60*COUNTIF('Event Trigger'!$C:$C,'Year 2 Results'!$Z60)&gt;SUMIF('Event Trigger'!$C:$C,$Z60,L:L),0,'Year 1 Results'!AI60)</f>
        <v>0</v>
      </c>
      <c r="AJ60" s="52">
        <f>IF('Year 1 Results'!AJ60*COUNTIF('Event Trigger'!$C:$C,'Year 2 Results'!$Z60)&gt;SUMIF('Event Trigger'!$C:$C,$Z60,M:M),0,'Year 1 Results'!AJ60)</f>
        <v>0</v>
      </c>
    </row>
    <row r="61" spans="1:36" x14ac:dyDescent="0.25">
      <c r="A61" s="37" t="str">
        <f>'Risk Master'!B61:B183&amp;"-"&amp;'Risk Master'!D61</f>
        <v>Tsunami-Mumbai</v>
      </c>
      <c r="B61" s="37" t="str">
        <f>'Input Sheet year 2'!B62</f>
        <v>Tsunami-Mumbai</v>
      </c>
      <c r="C61" s="29" t="str">
        <f>'Risk Master'!F61</f>
        <v>A14</v>
      </c>
      <c r="D61" s="73">
        <f>'Year 1 Results'!O61*-1+('Year 1 Results'!O61*'Event Trigger'!$E62*(1-'Input Sheet year 2'!H62))</f>
        <v>0</v>
      </c>
      <c r="E61" s="73">
        <f>'Year 1 Results'!P61*-1+('Year 1 Results'!P61*'Event Trigger'!$E62*(1-'Input Sheet year 2'!I62))</f>
        <v>0</v>
      </c>
      <c r="F61" s="73">
        <f>'Year 1 Results'!Q61*-1+('Year 1 Results'!Q61*'Event Trigger'!$E62*(1-'Input Sheet year 2'!J62))</f>
        <v>300000</v>
      </c>
      <c r="G61" s="73">
        <f>'Year 1 Results'!R61*-1+('Year 1 Results'!R61*'Event Trigger'!$E62*(1-'Input Sheet year 2'!K62))</f>
        <v>0</v>
      </c>
      <c r="H61" s="73">
        <f>'Year 1 Results'!S61*-1+('Year 1 Results'!S61*'Event Trigger'!$E62*(1-'Input Sheet year 2'!L62))</f>
        <v>0</v>
      </c>
      <c r="I61" s="73">
        <f>'Year 1 Results'!T61*-1+('Year 1 Results'!T61*'Event Trigger'!$E62*(1-'Input Sheet year 2'!M62))</f>
        <v>0</v>
      </c>
      <c r="J61" s="73">
        <f>'Year 1 Results'!U61*-1+('Year 1 Results'!U61*'Event Trigger'!$E62*(1-'Input Sheet year 2'!N62))</f>
        <v>0</v>
      </c>
      <c r="K61" s="73">
        <f>'Year 1 Results'!V61*-1+('Year 1 Results'!V61*'Event Trigger'!$E62*(1-'Input Sheet year 2'!O62))</f>
        <v>0</v>
      </c>
      <c r="L61" s="73">
        <f>'Year 1 Results'!W61*-1+('Year 1 Results'!W61*'Event Trigger'!$E62*(1-'Input Sheet year 2'!P62))</f>
        <v>0</v>
      </c>
      <c r="M61" s="73">
        <f>'Year 1 Results'!X61*-1+('Year 1 Results'!X61*'Event Trigger'!$E62*(1-'Input Sheet year 2'!Q62))</f>
        <v>0</v>
      </c>
      <c r="N61" s="88"/>
      <c r="O61" s="88">
        <f t="shared" si="0"/>
        <v>0</v>
      </c>
      <c r="P61" s="88">
        <f t="shared" si="1"/>
        <v>0</v>
      </c>
      <c r="Q61" s="88">
        <f t="shared" si="2"/>
        <v>0</v>
      </c>
      <c r="R61" s="88">
        <f t="shared" si="3"/>
        <v>0</v>
      </c>
      <c r="S61" s="88">
        <f t="shared" si="4"/>
        <v>0</v>
      </c>
      <c r="T61" s="88">
        <f t="shared" si="5"/>
        <v>0</v>
      </c>
      <c r="U61" s="88">
        <f t="shared" si="6"/>
        <v>0</v>
      </c>
      <c r="V61" s="88">
        <f t="shared" si="7"/>
        <v>0</v>
      </c>
      <c r="W61" s="88">
        <f t="shared" si="8"/>
        <v>0</v>
      </c>
      <c r="X61" s="88">
        <f t="shared" si="9"/>
        <v>0</v>
      </c>
      <c r="Z61" s="51" t="s">
        <v>224</v>
      </c>
      <c r="AA61" s="52">
        <f>IF('Year 1 Results'!AA61*COUNTIF('Event Trigger'!$C:$C,'Year 2 Results'!$Z61)&gt;SUMIF('Event Trigger'!$C:$C,$Z61,D:D),0,'Year 1 Results'!AA61)</f>
        <v>400000</v>
      </c>
      <c r="AB61" s="52">
        <f>IF('Year 1 Results'!AB61*COUNTIF('Event Trigger'!$C:$C,'Year 2 Results'!$Z61)&gt;SUMIF('Event Trigger'!$C:$C,$Z61,E:E),0,'Year 1 Results'!AB61)</f>
        <v>400000</v>
      </c>
      <c r="AC61" s="52">
        <f>IF('Year 1 Results'!AC61*COUNTIF('Event Trigger'!$C:$C,'Year 2 Results'!$Z61)&gt;SUMIF('Event Trigger'!$C:$C,$Z61,F:F),0,'Year 1 Results'!AC61)</f>
        <v>400000</v>
      </c>
      <c r="AD61" s="52">
        <f>IF('Year 1 Results'!AD61*COUNTIF('Event Trigger'!$C:$C,'Year 2 Results'!$Z61)&gt;SUMIF('Event Trigger'!$C:$C,$Z61,G:G),0,'Year 1 Results'!AD61)</f>
        <v>400000</v>
      </c>
      <c r="AE61" s="52">
        <f>IF('Year 1 Results'!AE61*COUNTIF('Event Trigger'!$C:$C,'Year 2 Results'!$Z61)&gt;SUMIF('Event Trigger'!$C:$C,$Z61,H:H),0,'Year 1 Results'!AE61)</f>
        <v>400000</v>
      </c>
      <c r="AF61" s="52">
        <f>IF('Year 1 Results'!AF61*COUNTIF('Event Trigger'!$C:$C,'Year 2 Results'!$Z61)&gt;SUMIF('Event Trigger'!$C:$C,$Z61,I:I),0,'Year 1 Results'!AF61)</f>
        <v>400000</v>
      </c>
      <c r="AG61" s="52">
        <f>IF('Year 1 Results'!AG61*COUNTIF('Event Trigger'!$C:$C,'Year 2 Results'!$Z61)&gt;SUMIF('Event Trigger'!$C:$C,$Z61,J:J),0,'Year 1 Results'!AG61)</f>
        <v>400000</v>
      </c>
      <c r="AH61" s="52">
        <f>IF('Year 1 Results'!AH61*COUNTIF('Event Trigger'!$C:$C,'Year 2 Results'!$Z61)&gt;SUMIF('Event Trigger'!$C:$C,$Z61,K:K),0,'Year 1 Results'!AH61)</f>
        <v>400000</v>
      </c>
      <c r="AI61" s="52">
        <f>IF('Year 1 Results'!AI61*COUNTIF('Event Trigger'!$C:$C,'Year 2 Results'!$Z61)&gt;SUMIF('Event Trigger'!$C:$C,$Z61,L:L),0,'Year 1 Results'!AI61)</f>
        <v>400000</v>
      </c>
      <c r="AJ61" s="52">
        <f>IF('Year 1 Results'!AJ61*COUNTIF('Event Trigger'!$C:$C,'Year 2 Results'!$Z61)&gt;SUMIF('Event Trigger'!$C:$C,$Z61,M:M),0,'Year 1 Results'!AJ61)</f>
        <v>400000</v>
      </c>
    </row>
    <row r="62" spans="1:36" ht="25.5" x14ac:dyDescent="0.25">
      <c r="A62" s="37" t="str">
        <f>'Risk Master'!B62:B183&amp;"-"&amp;'Risk Master'!D62</f>
        <v>High tide and high rainfalls leading to large floods-Mumbai</v>
      </c>
      <c r="B62" s="37" t="str">
        <f>'Input Sheet year 2'!B63</f>
        <v>Flood-Mumbai</v>
      </c>
      <c r="C62" s="29" t="str">
        <f>'Risk Master'!F62</f>
        <v>A15</v>
      </c>
      <c r="D62" s="73">
        <f>'Year 1 Results'!O62*-1+('Year 1 Results'!O62*'Event Trigger'!$E63*(1-'Input Sheet year 2'!H63))</f>
        <v>0</v>
      </c>
      <c r="E62" s="73">
        <f>'Year 1 Results'!P62*-1+('Year 1 Results'!P62*'Event Trigger'!$E63*(1-'Input Sheet year 2'!I63))</f>
        <v>0</v>
      </c>
      <c r="F62" s="73">
        <f>'Year 1 Results'!Q62*-1+('Year 1 Results'!Q62*'Event Trigger'!$E63*(1-'Input Sheet year 2'!J63))</f>
        <v>0</v>
      </c>
      <c r="G62" s="73">
        <f>'Year 1 Results'!R62*-1+('Year 1 Results'!R62*'Event Trigger'!$E63*(1-'Input Sheet year 2'!K63))</f>
        <v>0</v>
      </c>
      <c r="H62" s="73">
        <f>'Year 1 Results'!S62*-1+('Year 1 Results'!S62*'Event Trigger'!$E63*(1-'Input Sheet year 2'!L63))</f>
        <v>0</v>
      </c>
      <c r="I62" s="73">
        <f>'Year 1 Results'!T62*-1+('Year 1 Results'!T62*'Event Trigger'!$E63*(1-'Input Sheet year 2'!M63))</f>
        <v>0</v>
      </c>
      <c r="J62" s="73">
        <f>'Year 1 Results'!U62*-1+('Year 1 Results'!U62*'Event Trigger'!$E63*(1-'Input Sheet year 2'!N63))</f>
        <v>0</v>
      </c>
      <c r="K62" s="73">
        <f>'Year 1 Results'!V62*-1+('Year 1 Results'!V62*'Event Trigger'!$E63*(1-'Input Sheet year 2'!O63))</f>
        <v>0</v>
      </c>
      <c r="L62" s="73">
        <f>'Year 1 Results'!W62*-1+('Year 1 Results'!W62*'Event Trigger'!$E63*(1-'Input Sheet year 2'!P63))</f>
        <v>0</v>
      </c>
      <c r="M62" s="73">
        <f>'Year 1 Results'!X62*-1+('Year 1 Results'!X62*'Event Trigger'!$E63*(1-'Input Sheet year 2'!Q63))</f>
        <v>0</v>
      </c>
      <c r="N62" s="88"/>
      <c r="O62" s="88">
        <f t="shared" si="0"/>
        <v>0</v>
      </c>
      <c r="P62" s="88">
        <f t="shared" si="1"/>
        <v>0</v>
      </c>
      <c r="Q62" s="88">
        <f t="shared" si="2"/>
        <v>0</v>
      </c>
      <c r="R62" s="88">
        <f t="shared" si="3"/>
        <v>0</v>
      </c>
      <c r="S62" s="88">
        <f t="shared" si="4"/>
        <v>0</v>
      </c>
      <c r="T62" s="88">
        <f t="shared" si="5"/>
        <v>0</v>
      </c>
      <c r="U62" s="88">
        <f t="shared" si="6"/>
        <v>0</v>
      </c>
      <c r="V62" s="88">
        <f t="shared" si="7"/>
        <v>0</v>
      </c>
      <c r="W62" s="88">
        <f t="shared" si="8"/>
        <v>0</v>
      </c>
      <c r="X62" s="88">
        <f t="shared" si="9"/>
        <v>0</v>
      </c>
      <c r="Z62" s="51" t="s">
        <v>225</v>
      </c>
      <c r="AA62" s="52">
        <f>IF('Year 1 Results'!AA62*COUNTIF('Event Trigger'!$C:$C,'Year 2 Results'!$Z62)&gt;SUMIF('Event Trigger'!$C:$C,$Z62,D:D),0,'Year 1 Results'!AA62)</f>
        <v>0</v>
      </c>
      <c r="AB62" s="52">
        <f>IF('Year 1 Results'!AB62*COUNTIF('Event Trigger'!$C:$C,'Year 2 Results'!$Z62)&gt;SUMIF('Event Trigger'!$C:$C,$Z62,E:E),0,'Year 1 Results'!AB62)</f>
        <v>0</v>
      </c>
      <c r="AC62" s="52">
        <f>IF('Year 1 Results'!AC62*COUNTIF('Event Trigger'!$C:$C,'Year 2 Results'!$Z62)&gt;SUMIF('Event Trigger'!$C:$C,$Z62,F:F),0,'Year 1 Results'!AC62)</f>
        <v>0</v>
      </c>
      <c r="AD62" s="52">
        <f>IF('Year 1 Results'!AD62*COUNTIF('Event Trigger'!$C:$C,'Year 2 Results'!$Z62)&gt;SUMIF('Event Trigger'!$C:$C,$Z62,G:G),0,'Year 1 Results'!AD62)</f>
        <v>0</v>
      </c>
      <c r="AE62" s="52">
        <f>IF('Year 1 Results'!AE62*COUNTIF('Event Trigger'!$C:$C,'Year 2 Results'!$Z62)&gt;SUMIF('Event Trigger'!$C:$C,$Z62,H:H),0,'Year 1 Results'!AE62)</f>
        <v>0</v>
      </c>
      <c r="AF62" s="52">
        <f>IF('Year 1 Results'!AF62*COUNTIF('Event Trigger'!$C:$C,'Year 2 Results'!$Z62)&gt;SUMIF('Event Trigger'!$C:$C,$Z62,I:I),0,'Year 1 Results'!AF62)</f>
        <v>0</v>
      </c>
      <c r="AG62" s="52">
        <f>IF('Year 1 Results'!AG62*COUNTIF('Event Trigger'!$C:$C,'Year 2 Results'!$Z62)&gt;SUMIF('Event Trigger'!$C:$C,$Z62,J:J),0,'Year 1 Results'!AG62)</f>
        <v>0</v>
      </c>
      <c r="AH62" s="52">
        <f>IF('Year 1 Results'!AH62*COUNTIF('Event Trigger'!$C:$C,'Year 2 Results'!$Z62)&gt;SUMIF('Event Trigger'!$C:$C,$Z62,K:K),0,'Year 1 Results'!AH62)</f>
        <v>0</v>
      </c>
      <c r="AI62" s="52">
        <f>IF('Year 1 Results'!AI62*COUNTIF('Event Trigger'!$C:$C,'Year 2 Results'!$Z62)&gt;SUMIF('Event Trigger'!$C:$C,$Z62,L:L),0,'Year 1 Results'!AI62)</f>
        <v>0</v>
      </c>
      <c r="AJ62" s="52">
        <f>IF('Year 1 Results'!AJ62*COUNTIF('Event Trigger'!$C:$C,'Year 2 Results'!$Z62)&gt;SUMIF('Event Trigger'!$C:$C,$Z62,M:M),0,'Year 1 Results'!AJ62)</f>
        <v>0</v>
      </c>
    </row>
    <row r="63" spans="1:36" x14ac:dyDescent="0.25">
      <c r="A63" s="37" t="str">
        <f>'Risk Master'!B63:B183&amp;"-"&amp;'Risk Master'!D63</f>
        <v>Earthquake-Mumbai</v>
      </c>
      <c r="B63" s="37" t="str">
        <f>'Input Sheet year 2'!B64</f>
        <v>Earthquake-Mumbai</v>
      </c>
      <c r="C63" s="29" t="str">
        <f>'Risk Master'!F63</f>
        <v>A15</v>
      </c>
      <c r="D63" s="73">
        <f>'Year 1 Results'!O63*-1+('Year 1 Results'!O63*'Event Trigger'!$E64*(1-'Input Sheet year 2'!H64))</f>
        <v>0</v>
      </c>
      <c r="E63" s="73">
        <f>'Year 1 Results'!P63*-1+('Year 1 Results'!P63*'Event Trigger'!$E64*(1-'Input Sheet year 2'!I64))</f>
        <v>0</v>
      </c>
      <c r="F63" s="73">
        <f>'Year 1 Results'!Q63*-1+('Year 1 Results'!Q63*'Event Trigger'!$E64*(1-'Input Sheet year 2'!J64))</f>
        <v>0</v>
      </c>
      <c r="G63" s="73">
        <f>'Year 1 Results'!R63*-1+('Year 1 Results'!R63*'Event Trigger'!$E64*(1-'Input Sheet year 2'!K64))</f>
        <v>0</v>
      </c>
      <c r="H63" s="73">
        <f>'Year 1 Results'!S63*-1+('Year 1 Results'!S63*'Event Trigger'!$E64*(1-'Input Sheet year 2'!L64))</f>
        <v>0</v>
      </c>
      <c r="I63" s="73">
        <f>'Year 1 Results'!T63*-1+('Year 1 Results'!T63*'Event Trigger'!$E64*(1-'Input Sheet year 2'!M64))</f>
        <v>0</v>
      </c>
      <c r="J63" s="73">
        <f>'Year 1 Results'!U63*-1+('Year 1 Results'!U63*'Event Trigger'!$E64*(1-'Input Sheet year 2'!N64))</f>
        <v>0</v>
      </c>
      <c r="K63" s="73">
        <f>'Year 1 Results'!V63*-1+('Year 1 Results'!V63*'Event Trigger'!$E64*(1-'Input Sheet year 2'!O64))</f>
        <v>0</v>
      </c>
      <c r="L63" s="73">
        <f>'Year 1 Results'!W63*-1+('Year 1 Results'!W63*'Event Trigger'!$E64*(1-'Input Sheet year 2'!P64))</f>
        <v>0</v>
      </c>
      <c r="M63" s="73">
        <f>'Year 1 Results'!X63*-1+('Year 1 Results'!X63*'Event Trigger'!$E64*(1-'Input Sheet year 2'!Q64))</f>
        <v>0</v>
      </c>
      <c r="N63" s="88"/>
      <c r="O63" s="88">
        <f t="shared" si="0"/>
        <v>0</v>
      </c>
      <c r="P63" s="88">
        <f t="shared" si="1"/>
        <v>0</v>
      </c>
      <c r="Q63" s="88">
        <f t="shared" si="2"/>
        <v>0</v>
      </c>
      <c r="R63" s="88">
        <f t="shared" si="3"/>
        <v>0</v>
      </c>
      <c r="S63" s="88">
        <f t="shared" si="4"/>
        <v>0</v>
      </c>
      <c r="T63" s="88">
        <f t="shared" si="5"/>
        <v>0</v>
      </c>
      <c r="U63" s="88">
        <f t="shared" si="6"/>
        <v>0</v>
      </c>
      <c r="V63" s="88">
        <f t="shared" si="7"/>
        <v>0</v>
      </c>
      <c r="W63" s="88">
        <f t="shared" si="8"/>
        <v>0</v>
      </c>
      <c r="X63" s="88">
        <f t="shared" si="9"/>
        <v>0</v>
      </c>
      <c r="Z63" s="51" t="s">
        <v>226</v>
      </c>
      <c r="AA63" s="52">
        <f>IF('Year 1 Results'!AA63*COUNTIF('Event Trigger'!$C:$C,'Year 2 Results'!$Z63)&gt;SUMIF('Event Trigger'!$C:$C,$Z63,D:D),0,'Year 1 Results'!AA63)</f>
        <v>0</v>
      </c>
      <c r="AB63" s="52">
        <f>IF('Year 1 Results'!AB63*COUNTIF('Event Trigger'!$C:$C,'Year 2 Results'!$Z63)&gt;SUMIF('Event Trigger'!$C:$C,$Z63,E:E),0,'Year 1 Results'!AB63)</f>
        <v>0</v>
      </c>
      <c r="AC63" s="52">
        <f>IF('Year 1 Results'!AC63*COUNTIF('Event Trigger'!$C:$C,'Year 2 Results'!$Z63)&gt;SUMIF('Event Trigger'!$C:$C,$Z63,F:F),0,'Year 1 Results'!AC63)</f>
        <v>0</v>
      </c>
      <c r="AD63" s="52">
        <f>IF('Year 1 Results'!AD63*COUNTIF('Event Trigger'!$C:$C,'Year 2 Results'!$Z63)&gt;SUMIF('Event Trigger'!$C:$C,$Z63,G:G),0,'Year 1 Results'!AD63)</f>
        <v>0</v>
      </c>
      <c r="AE63" s="52">
        <f>IF('Year 1 Results'!AE63*COUNTIF('Event Trigger'!$C:$C,'Year 2 Results'!$Z63)&gt;SUMIF('Event Trigger'!$C:$C,$Z63,H:H),0,'Year 1 Results'!AE63)</f>
        <v>0</v>
      </c>
      <c r="AF63" s="52">
        <f>IF('Year 1 Results'!AF63*COUNTIF('Event Trigger'!$C:$C,'Year 2 Results'!$Z63)&gt;SUMIF('Event Trigger'!$C:$C,$Z63,I:I),0,'Year 1 Results'!AF63)</f>
        <v>0</v>
      </c>
      <c r="AG63" s="52">
        <f>IF('Year 1 Results'!AG63*COUNTIF('Event Trigger'!$C:$C,'Year 2 Results'!$Z63)&gt;SUMIF('Event Trigger'!$C:$C,$Z63,J:J),0,'Year 1 Results'!AG63)</f>
        <v>0</v>
      </c>
      <c r="AH63" s="52">
        <f>IF('Year 1 Results'!AH63*COUNTIF('Event Trigger'!$C:$C,'Year 2 Results'!$Z63)&gt;SUMIF('Event Trigger'!$C:$C,$Z63,K:K),0,'Year 1 Results'!AH63)</f>
        <v>0</v>
      </c>
      <c r="AI63" s="52">
        <f>IF('Year 1 Results'!AI63*COUNTIF('Event Trigger'!$C:$C,'Year 2 Results'!$Z63)&gt;SUMIF('Event Trigger'!$C:$C,$Z63,L:L),0,'Year 1 Results'!AI63)</f>
        <v>0</v>
      </c>
      <c r="AJ63" s="52">
        <f>IF('Year 1 Results'!AJ63*COUNTIF('Event Trigger'!$C:$C,'Year 2 Results'!$Z63)&gt;SUMIF('Event Trigger'!$C:$C,$Z63,M:M),0,'Year 1 Results'!AJ63)</f>
        <v>0</v>
      </c>
    </row>
    <row r="64" spans="1:36" x14ac:dyDescent="0.25">
      <c r="A64" s="37" t="str">
        <f>'Risk Master'!B64:B183&amp;"-"&amp;'Risk Master'!D64</f>
        <v>Fire-Mumbai</v>
      </c>
      <c r="B64" s="37" t="str">
        <f>'Input Sheet year 2'!B65</f>
        <v>Fire-Mumbai</v>
      </c>
      <c r="C64" s="29" t="str">
        <f>'Risk Master'!F64</f>
        <v>A15</v>
      </c>
      <c r="D64" s="73">
        <f>'Year 1 Results'!O64*-1+('Year 1 Results'!O64*'Event Trigger'!$E65*(1-'Input Sheet year 2'!H65))</f>
        <v>0</v>
      </c>
      <c r="E64" s="73">
        <f>'Year 1 Results'!P64*-1+('Year 1 Results'!P64*'Event Trigger'!$E65*(1-'Input Sheet year 2'!I65))</f>
        <v>0</v>
      </c>
      <c r="F64" s="73">
        <f>'Year 1 Results'!Q64*-1+('Year 1 Results'!Q64*'Event Trigger'!$E65*(1-'Input Sheet year 2'!J65))</f>
        <v>0</v>
      </c>
      <c r="G64" s="73">
        <f>'Year 1 Results'!R64*-1+('Year 1 Results'!R64*'Event Trigger'!$E65*(1-'Input Sheet year 2'!K65))</f>
        <v>0</v>
      </c>
      <c r="H64" s="73">
        <f>'Year 1 Results'!S64*-1+('Year 1 Results'!S64*'Event Trigger'!$E65*(1-'Input Sheet year 2'!L65))</f>
        <v>0</v>
      </c>
      <c r="I64" s="73">
        <f>'Year 1 Results'!T64*-1+('Year 1 Results'!T64*'Event Trigger'!$E65*(1-'Input Sheet year 2'!M65))</f>
        <v>0</v>
      </c>
      <c r="J64" s="73">
        <f>'Year 1 Results'!U64*-1+('Year 1 Results'!U64*'Event Trigger'!$E65*(1-'Input Sheet year 2'!N65))</f>
        <v>0</v>
      </c>
      <c r="K64" s="73">
        <f>'Year 1 Results'!V64*-1+('Year 1 Results'!V64*'Event Trigger'!$E65*(1-'Input Sheet year 2'!O65))</f>
        <v>0</v>
      </c>
      <c r="L64" s="73">
        <f>'Year 1 Results'!W64*-1+('Year 1 Results'!W64*'Event Trigger'!$E65*(1-'Input Sheet year 2'!P65))</f>
        <v>0</v>
      </c>
      <c r="M64" s="73">
        <f>'Year 1 Results'!X64*-1+('Year 1 Results'!X64*'Event Trigger'!$E65*(1-'Input Sheet year 2'!Q65))</f>
        <v>0</v>
      </c>
      <c r="N64" s="88"/>
      <c r="O64" s="88">
        <f t="shared" si="0"/>
        <v>0</v>
      </c>
      <c r="P64" s="88">
        <f t="shared" si="1"/>
        <v>0</v>
      </c>
      <c r="Q64" s="88">
        <f t="shared" si="2"/>
        <v>0</v>
      </c>
      <c r="R64" s="88">
        <f t="shared" si="3"/>
        <v>0</v>
      </c>
      <c r="S64" s="88">
        <f t="shared" si="4"/>
        <v>0</v>
      </c>
      <c r="T64" s="88">
        <f t="shared" si="5"/>
        <v>0</v>
      </c>
      <c r="U64" s="88">
        <f t="shared" si="6"/>
        <v>0</v>
      </c>
      <c r="V64" s="88">
        <f t="shared" si="7"/>
        <v>0</v>
      </c>
      <c r="W64" s="88">
        <f t="shared" si="8"/>
        <v>0</v>
      </c>
      <c r="X64" s="88">
        <f t="shared" si="9"/>
        <v>0</v>
      </c>
      <c r="Z64" s="51" t="s">
        <v>227</v>
      </c>
      <c r="AA64" s="52">
        <f>IF('Year 1 Results'!AA64*COUNTIF('Event Trigger'!$C:$C,'Year 2 Results'!$Z64)&gt;SUMIF('Event Trigger'!$C:$C,$Z64,D:D),0,'Year 1 Results'!AA64)</f>
        <v>0</v>
      </c>
      <c r="AB64" s="52">
        <f>IF('Year 1 Results'!AB64*COUNTIF('Event Trigger'!$C:$C,'Year 2 Results'!$Z64)&gt;SUMIF('Event Trigger'!$C:$C,$Z64,E:E),0,'Year 1 Results'!AB64)</f>
        <v>0</v>
      </c>
      <c r="AC64" s="52">
        <f>IF('Year 1 Results'!AC64*COUNTIF('Event Trigger'!$C:$C,'Year 2 Results'!$Z64)&gt;SUMIF('Event Trigger'!$C:$C,$Z64,F:F),0,'Year 1 Results'!AC64)</f>
        <v>0</v>
      </c>
      <c r="AD64" s="52">
        <f>IF('Year 1 Results'!AD64*COUNTIF('Event Trigger'!$C:$C,'Year 2 Results'!$Z64)&gt;SUMIF('Event Trigger'!$C:$C,$Z64,G:G),0,'Year 1 Results'!AD64)</f>
        <v>0</v>
      </c>
      <c r="AE64" s="52">
        <f>IF('Year 1 Results'!AE64*COUNTIF('Event Trigger'!$C:$C,'Year 2 Results'!$Z64)&gt;SUMIF('Event Trigger'!$C:$C,$Z64,H:H),0,'Year 1 Results'!AE64)</f>
        <v>0</v>
      </c>
      <c r="AF64" s="52">
        <f>IF('Year 1 Results'!AF64*COUNTIF('Event Trigger'!$C:$C,'Year 2 Results'!$Z64)&gt;SUMIF('Event Trigger'!$C:$C,$Z64,I:I),0,'Year 1 Results'!AF64)</f>
        <v>0</v>
      </c>
      <c r="AG64" s="52">
        <f>IF('Year 1 Results'!AG64*COUNTIF('Event Trigger'!$C:$C,'Year 2 Results'!$Z64)&gt;SUMIF('Event Trigger'!$C:$C,$Z64,J:J),0,'Year 1 Results'!AG64)</f>
        <v>0</v>
      </c>
      <c r="AH64" s="52">
        <f>IF('Year 1 Results'!AH64*COUNTIF('Event Trigger'!$C:$C,'Year 2 Results'!$Z64)&gt;SUMIF('Event Trigger'!$C:$C,$Z64,K:K),0,'Year 1 Results'!AH64)</f>
        <v>0</v>
      </c>
      <c r="AI64" s="52">
        <f>IF('Year 1 Results'!AI64*COUNTIF('Event Trigger'!$C:$C,'Year 2 Results'!$Z64)&gt;SUMIF('Event Trigger'!$C:$C,$Z64,L:L),0,'Year 1 Results'!AI64)</f>
        <v>0</v>
      </c>
      <c r="AJ64" s="52">
        <f>IF('Year 1 Results'!AJ64*COUNTIF('Event Trigger'!$C:$C,'Year 2 Results'!$Z64)&gt;SUMIF('Event Trigger'!$C:$C,$Z64,M:M),0,'Year 1 Results'!AJ64)</f>
        <v>0</v>
      </c>
    </row>
    <row r="65" spans="1:36" x14ac:dyDescent="0.25">
      <c r="A65" s="37" t="str">
        <f>'Risk Master'!B65:B183&amp;"-"&amp;'Risk Master'!D65</f>
        <v>Typhoon-Mumbai</v>
      </c>
      <c r="B65" s="37" t="str">
        <f>'Input Sheet year 2'!B66</f>
        <v>Typhoon-Mumbai</v>
      </c>
      <c r="C65" s="29" t="str">
        <f>'Risk Master'!F65</f>
        <v>A15</v>
      </c>
      <c r="D65" s="73">
        <f>'Year 1 Results'!O65*-1+('Year 1 Results'!O65*'Event Trigger'!$E66*(1-'Input Sheet year 2'!H66))</f>
        <v>0</v>
      </c>
      <c r="E65" s="73">
        <f>'Year 1 Results'!P65*-1+('Year 1 Results'!P65*'Event Trigger'!$E66*(1-'Input Sheet year 2'!I66))</f>
        <v>0</v>
      </c>
      <c r="F65" s="73">
        <f>'Year 1 Results'!Q65*-1+('Year 1 Results'!Q65*'Event Trigger'!$E66*(1-'Input Sheet year 2'!J66))</f>
        <v>0</v>
      </c>
      <c r="G65" s="73">
        <f>'Year 1 Results'!R65*-1+('Year 1 Results'!R65*'Event Trigger'!$E66*(1-'Input Sheet year 2'!K66))</f>
        <v>0</v>
      </c>
      <c r="H65" s="73">
        <f>'Year 1 Results'!S65*-1+('Year 1 Results'!S65*'Event Trigger'!$E66*(1-'Input Sheet year 2'!L66))</f>
        <v>0</v>
      </c>
      <c r="I65" s="73">
        <f>'Year 1 Results'!T65*-1+('Year 1 Results'!T65*'Event Trigger'!$E66*(1-'Input Sheet year 2'!M66))</f>
        <v>0</v>
      </c>
      <c r="J65" s="73">
        <f>'Year 1 Results'!U65*-1+('Year 1 Results'!U65*'Event Trigger'!$E66*(1-'Input Sheet year 2'!N66))</f>
        <v>0</v>
      </c>
      <c r="K65" s="73">
        <f>'Year 1 Results'!V65*-1+('Year 1 Results'!V65*'Event Trigger'!$E66*(1-'Input Sheet year 2'!O66))</f>
        <v>0</v>
      </c>
      <c r="L65" s="73">
        <f>'Year 1 Results'!W65*-1+('Year 1 Results'!W65*'Event Trigger'!$E66*(1-'Input Sheet year 2'!P66))</f>
        <v>0</v>
      </c>
      <c r="M65" s="73">
        <f>'Year 1 Results'!X65*-1+('Year 1 Results'!X65*'Event Trigger'!$E66*(1-'Input Sheet year 2'!Q66))</f>
        <v>0</v>
      </c>
      <c r="N65" s="88"/>
      <c r="O65" s="88">
        <f t="shared" si="0"/>
        <v>0</v>
      </c>
      <c r="P65" s="88">
        <f t="shared" si="1"/>
        <v>0</v>
      </c>
      <c r="Q65" s="88">
        <f t="shared" si="2"/>
        <v>0</v>
      </c>
      <c r="R65" s="88">
        <f t="shared" si="3"/>
        <v>0</v>
      </c>
      <c r="S65" s="88">
        <f t="shared" si="4"/>
        <v>0</v>
      </c>
      <c r="T65" s="88">
        <f t="shared" si="5"/>
        <v>0</v>
      </c>
      <c r="U65" s="88">
        <f t="shared" si="6"/>
        <v>0</v>
      </c>
      <c r="V65" s="88">
        <f t="shared" si="7"/>
        <v>0</v>
      </c>
      <c r="W65" s="88">
        <f t="shared" si="8"/>
        <v>0</v>
      </c>
      <c r="X65" s="88">
        <f t="shared" si="9"/>
        <v>0</v>
      </c>
      <c r="Z65" s="51" t="s">
        <v>228</v>
      </c>
      <c r="AA65" s="52">
        <f>IF('Year 1 Results'!AA65*COUNTIF('Event Trigger'!$C:$C,'Year 2 Results'!$Z65)&gt;SUMIF('Event Trigger'!$C:$C,$Z65,D:D),0,'Year 1 Results'!AA65)</f>
        <v>0</v>
      </c>
      <c r="AB65" s="52">
        <f>IF('Year 1 Results'!AB65*COUNTIF('Event Trigger'!$C:$C,'Year 2 Results'!$Z65)&gt;SUMIF('Event Trigger'!$C:$C,$Z65,E:E),0,'Year 1 Results'!AB65)</f>
        <v>0</v>
      </c>
      <c r="AC65" s="52">
        <f>IF('Year 1 Results'!AC65*COUNTIF('Event Trigger'!$C:$C,'Year 2 Results'!$Z65)&gt;SUMIF('Event Trigger'!$C:$C,$Z65,F:F),0,'Year 1 Results'!AC65)</f>
        <v>0</v>
      </c>
      <c r="AD65" s="52">
        <f>IF('Year 1 Results'!AD65*COUNTIF('Event Trigger'!$C:$C,'Year 2 Results'!$Z65)&gt;SUMIF('Event Trigger'!$C:$C,$Z65,G:G),0,'Year 1 Results'!AD65)</f>
        <v>0</v>
      </c>
      <c r="AE65" s="52">
        <f>IF('Year 1 Results'!AE65*COUNTIF('Event Trigger'!$C:$C,'Year 2 Results'!$Z65)&gt;SUMIF('Event Trigger'!$C:$C,$Z65,H:H),0,'Year 1 Results'!AE65)</f>
        <v>0</v>
      </c>
      <c r="AF65" s="52">
        <f>IF('Year 1 Results'!AF65*COUNTIF('Event Trigger'!$C:$C,'Year 2 Results'!$Z65)&gt;SUMIF('Event Trigger'!$C:$C,$Z65,I:I),0,'Year 1 Results'!AF65)</f>
        <v>0</v>
      </c>
      <c r="AG65" s="52">
        <f>IF('Year 1 Results'!AG65*COUNTIF('Event Trigger'!$C:$C,'Year 2 Results'!$Z65)&gt;SUMIF('Event Trigger'!$C:$C,$Z65,J:J),0,'Year 1 Results'!AG65)</f>
        <v>0</v>
      </c>
      <c r="AH65" s="52">
        <f>IF('Year 1 Results'!AH65*COUNTIF('Event Trigger'!$C:$C,'Year 2 Results'!$Z65)&gt;SUMIF('Event Trigger'!$C:$C,$Z65,K:K),0,'Year 1 Results'!AH65)</f>
        <v>0</v>
      </c>
      <c r="AI65" s="52">
        <f>IF('Year 1 Results'!AI65*COUNTIF('Event Trigger'!$C:$C,'Year 2 Results'!$Z65)&gt;SUMIF('Event Trigger'!$C:$C,$Z65,L:L),0,'Year 1 Results'!AI65)</f>
        <v>0</v>
      </c>
      <c r="AJ65" s="52">
        <f>IF('Year 1 Results'!AJ65*COUNTIF('Event Trigger'!$C:$C,'Year 2 Results'!$Z65)&gt;SUMIF('Event Trigger'!$C:$C,$Z65,M:M),0,'Year 1 Results'!AJ65)</f>
        <v>0</v>
      </c>
    </row>
    <row r="66" spans="1:36" ht="25.5" x14ac:dyDescent="0.25">
      <c r="A66" s="37" t="str">
        <f>'Risk Master'!B66:B183&amp;"-"&amp;'Risk Master'!D66</f>
        <v>Thunderstorms, Tornados &amp; Hail-Mumbai</v>
      </c>
      <c r="B66" s="37" t="str">
        <f>'Input Sheet year 2'!B67</f>
        <v>Thunderstorms, Tornados &amp; Hail-Mumbai</v>
      </c>
      <c r="C66" s="29" t="str">
        <f>'Risk Master'!F66</f>
        <v>A15</v>
      </c>
      <c r="D66" s="73">
        <f>'Year 1 Results'!O66*-1+('Year 1 Results'!O66*'Event Trigger'!$E67*(1-'Input Sheet year 2'!H67))</f>
        <v>0</v>
      </c>
      <c r="E66" s="73">
        <f>'Year 1 Results'!P66*-1+('Year 1 Results'!P66*'Event Trigger'!$E67*(1-'Input Sheet year 2'!I67))</f>
        <v>0</v>
      </c>
      <c r="F66" s="73">
        <f>'Year 1 Results'!Q66*-1+('Year 1 Results'!Q66*'Event Trigger'!$E67*(1-'Input Sheet year 2'!J67))</f>
        <v>0</v>
      </c>
      <c r="G66" s="73">
        <f>'Year 1 Results'!R66*-1+('Year 1 Results'!R66*'Event Trigger'!$E67*(1-'Input Sheet year 2'!K67))</f>
        <v>0</v>
      </c>
      <c r="H66" s="73">
        <f>'Year 1 Results'!S66*-1+('Year 1 Results'!S66*'Event Trigger'!$E67*(1-'Input Sheet year 2'!L67))</f>
        <v>0</v>
      </c>
      <c r="I66" s="73">
        <f>'Year 1 Results'!T66*-1+('Year 1 Results'!T66*'Event Trigger'!$E67*(1-'Input Sheet year 2'!M67))</f>
        <v>0</v>
      </c>
      <c r="J66" s="73">
        <f>'Year 1 Results'!U66*-1+('Year 1 Results'!U66*'Event Trigger'!$E67*(1-'Input Sheet year 2'!N67))</f>
        <v>0</v>
      </c>
      <c r="K66" s="73">
        <f>'Year 1 Results'!V66*-1+('Year 1 Results'!V66*'Event Trigger'!$E67*(1-'Input Sheet year 2'!O67))</f>
        <v>0</v>
      </c>
      <c r="L66" s="73">
        <f>'Year 1 Results'!W66*-1+('Year 1 Results'!W66*'Event Trigger'!$E67*(1-'Input Sheet year 2'!P67))</f>
        <v>0</v>
      </c>
      <c r="M66" s="73">
        <f>'Year 1 Results'!X66*-1+('Year 1 Results'!X66*'Event Trigger'!$E67*(1-'Input Sheet year 2'!Q67))</f>
        <v>0</v>
      </c>
      <c r="N66" s="88"/>
      <c r="O66" s="88">
        <f t="shared" si="0"/>
        <v>0</v>
      </c>
      <c r="P66" s="88">
        <f t="shared" si="1"/>
        <v>0</v>
      </c>
      <c r="Q66" s="88">
        <f t="shared" si="2"/>
        <v>0</v>
      </c>
      <c r="R66" s="88">
        <f t="shared" si="3"/>
        <v>0</v>
      </c>
      <c r="S66" s="88">
        <f t="shared" si="4"/>
        <v>0</v>
      </c>
      <c r="T66" s="88">
        <f t="shared" si="5"/>
        <v>0</v>
      </c>
      <c r="U66" s="88">
        <f t="shared" si="6"/>
        <v>0</v>
      </c>
      <c r="V66" s="88">
        <f t="shared" si="7"/>
        <v>0</v>
      </c>
      <c r="W66" s="88">
        <f t="shared" si="8"/>
        <v>0</v>
      </c>
      <c r="X66" s="88">
        <f t="shared" si="9"/>
        <v>0</v>
      </c>
      <c r="Z66" s="51" t="s">
        <v>229</v>
      </c>
      <c r="AA66" s="52">
        <f>IF('Year 1 Results'!AA66*COUNTIF('Event Trigger'!$C:$C,'Year 2 Results'!$Z66)&gt;SUMIF('Event Trigger'!$C:$C,$Z66,D:D),0,'Year 1 Results'!AA66)</f>
        <v>0</v>
      </c>
      <c r="AB66" s="52">
        <f>IF('Year 1 Results'!AB66*COUNTIF('Event Trigger'!$C:$C,'Year 2 Results'!$Z66)&gt;SUMIF('Event Trigger'!$C:$C,$Z66,E:E),0,'Year 1 Results'!AB66)</f>
        <v>0</v>
      </c>
      <c r="AC66" s="52">
        <f>IF('Year 1 Results'!AC66*COUNTIF('Event Trigger'!$C:$C,'Year 2 Results'!$Z66)&gt;SUMIF('Event Trigger'!$C:$C,$Z66,F:F),0,'Year 1 Results'!AC66)</f>
        <v>0</v>
      </c>
      <c r="AD66" s="52">
        <f>IF('Year 1 Results'!AD66*COUNTIF('Event Trigger'!$C:$C,'Year 2 Results'!$Z66)&gt;SUMIF('Event Trigger'!$C:$C,$Z66,G:G),0,'Year 1 Results'!AD66)</f>
        <v>0</v>
      </c>
      <c r="AE66" s="52">
        <f>IF('Year 1 Results'!AE66*COUNTIF('Event Trigger'!$C:$C,'Year 2 Results'!$Z66)&gt;SUMIF('Event Trigger'!$C:$C,$Z66,H:H),0,'Year 1 Results'!AE66)</f>
        <v>0</v>
      </c>
      <c r="AF66" s="52">
        <f>IF('Year 1 Results'!AF66*COUNTIF('Event Trigger'!$C:$C,'Year 2 Results'!$Z66)&gt;SUMIF('Event Trigger'!$C:$C,$Z66,I:I),0,'Year 1 Results'!AF66)</f>
        <v>0</v>
      </c>
      <c r="AG66" s="52">
        <f>IF('Year 1 Results'!AG66*COUNTIF('Event Trigger'!$C:$C,'Year 2 Results'!$Z66)&gt;SUMIF('Event Trigger'!$C:$C,$Z66,J:J),0,'Year 1 Results'!AG66)</f>
        <v>0</v>
      </c>
      <c r="AH66" s="52">
        <f>IF('Year 1 Results'!AH66*COUNTIF('Event Trigger'!$C:$C,'Year 2 Results'!$Z66)&gt;SUMIF('Event Trigger'!$C:$C,$Z66,K:K),0,'Year 1 Results'!AH66)</f>
        <v>0</v>
      </c>
      <c r="AI66" s="52">
        <f>IF('Year 1 Results'!AI66*COUNTIF('Event Trigger'!$C:$C,'Year 2 Results'!$Z66)&gt;SUMIF('Event Trigger'!$C:$C,$Z66,L:L),0,'Year 1 Results'!AI66)</f>
        <v>0</v>
      </c>
      <c r="AJ66" s="52">
        <f>IF('Year 1 Results'!AJ66*COUNTIF('Event Trigger'!$C:$C,'Year 2 Results'!$Z66)&gt;SUMIF('Event Trigger'!$C:$C,$Z66,M:M),0,'Year 1 Results'!AJ66)</f>
        <v>0</v>
      </c>
    </row>
    <row r="67" spans="1:36" x14ac:dyDescent="0.25">
      <c r="A67" s="37" t="str">
        <f>'Risk Master'!B67:B183&amp;"-"&amp;'Risk Master'!D67</f>
        <v>Tsunami-Mumbai</v>
      </c>
      <c r="B67" s="37" t="str">
        <f>'Input Sheet year 2'!B68</f>
        <v>Tsunami-Mumbai</v>
      </c>
      <c r="C67" s="29" t="str">
        <f>'Risk Master'!F67</f>
        <v>A15</v>
      </c>
      <c r="D67" s="73">
        <f>'Year 1 Results'!O67*-1+('Year 1 Results'!O67*'Event Trigger'!$E68*(1-'Input Sheet year 2'!H68))</f>
        <v>0</v>
      </c>
      <c r="E67" s="73">
        <f>'Year 1 Results'!P67*-1+('Year 1 Results'!P67*'Event Trigger'!$E68*(1-'Input Sheet year 2'!I68))</f>
        <v>0</v>
      </c>
      <c r="F67" s="73">
        <f>'Year 1 Results'!Q67*-1+('Year 1 Results'!Q67*'Event Trigger'!$E68*(1-'Input Sheet year 2'!J68))</f>
        <v>0</v>
      </c>
      <c r="G67" s="73">
        <f>'Year 1 Results'!R67*-1+('Year 1 Results'!R67*'Event Trigger'!$E68*(1-'Input Sheet year 2'!K68))</f>
        <v>0</v>
      </c>
      <c r="H67" s="73">
        <f>'Year 1 Results'!S67*-1+('Year 1 Results'!S67*'Event Trigger'!$E68*(1-'Input Sheet year 2'!L68))</f>
        <v>0</v>
      </c>
      <c r="I67" s="73">
        <f>'Year 1 Results'!T67*-1+('Year 1 Results'!T67*'Event Trigger'!$E68*(1-'Input Sheet year 2'!M68))</f>
        <v>0</v>
      </c>
      <c r="J67" s="73">
        <f>'Year 1 Results'!U67*-1+('Year 1 Results'!U67*'Event Trigger'!$E68*(1-'Input Sheet year 2'!N68))</f>
        <v>0</v>
      </c>
      <c r="K67" s="73">
        <f>'Year 1 Results'!V67*-1+('Year 1 Results'!V67*'Event Trigger'!$E68*(1-'Input Sheet year 2'!O68))</f>
        <v>0</v>
      </c>
      <c r="L67" s="73">
        <f>'Year 1 Results'!W67*-1+('Year 1 Results'!W67*'Event Trigger'!$E68*(1-'Input Sheet year 2'!P68))</f>
        <v>0</v>
      </c>
      <c r="M67" s="73">
        <f>'Year 1 Results'!X67*-1+('Year 1 Results'!X67*'Event Trigger'!$E68*(1-'Input Sheet year 2'!Q68))</f>
        <v>0</v>
      </c>
      <c r="N67" s="88"/>
      <c r="O67" s="88">
        <f t="shared" ref="O67:O130" si="10">VLOOKUP($C67,$Z:$AJ,2,FALSE)*-1</f>
        <v>0</v>
      </c>
      <c r="P67" s="88">
        <f t="shared" ref="P67:P130" si="11">VLOOKUP($C67,$Z:$AJ,3,FALSE)*-1</f>
        <v>0</v>
      </c>
      <c r="Q67" s="88">
        <f t="shared" ref="Q67:Q130" si="12">VLOOKUP($C67,$Z:$AJ,4,FALSE)*-1</f>
        <v>0</v>
      </c>
      <c r="R67" s="88">
        <f t="shared" ref="R67:R130" si="13">VLOOKUP($C67,$Z:$AJ,5,FALSE)*-1</f>
        <v>0</v>
      </c>
      <c r="S67" s="88">
        <f t="shared" ref="S67:S130" si="14">VLOOKUP($C67,$Z:$AJ,6,FALSE)*-1</f>
        <v>0</v>
      </c>
      <c r="T67" s="88">
        <f t="shared" ref="T67:T130" si="15">VLOOKUP($C67,$Z:$AJ,7,FALSE)*-1</f>
        <v>0</v>
      </c>
      <c r="U67" s="88">
        <f t="shared" ref="U67:U130" si="16">VLOOKUP($C67,$Z:$AJ,8,FALSE)*-1</f>
        <v>0</v>
      </c>
      <c r="V67" s="88">
        <f t="shared" ref="V67:V130" si="17">VLOOKUP($C67,$Z:$AJ,9,FALSE)*-1</f>
        <v>0</v>
      </c>
      <c r="W67" s="88">
        <f t="shared" ref="W67:W130" si="18">VLOOKUP($C67,$Z:$AJ,10,FALSE)*-1</f>
        <v>0</v>
      </c>
      <c r="X67" s="88">
        <f t="shared" ref="X67:X130" si="19">VLOOKUP($C67,$Z:$AJ,11,FALSE)*-1</f>
        <v>0</v>
      </c>
      <c r="Z67" s="51" t="s">
        <v>230</v>
      </c>
      <c r="AA67" s="52">
        <f>IF('Year 1 Results'!AA67*COUNTIF('Event Trigger'!$C:$C,'Year 2 Results'!$Z67)&gt;SUMIF('Event Trigger'!$C:$C,$Z67,D:D),0,'Year 1 Results'!AA67)</f>
        <v>0</v>
      </c>
      <c r="AB67" s="52">
        <f>IF('Year 1 Results'!AB67*COUNTIF('Event Trigger'!$C:$C,'Year 2 Results'!$Z67)&gt;SUMIF('Event Trigger'!$C:$C,$Z67,E:E),0,'Year 1 Results'!AB67)</f>
        <v>0</v>
      </c>
      <c r="AC67" s="52">
        <f>IF('Year 1 Results'!AC67*COUNTIF('Event Trigger'!$C:$C,'Year 2 Results'!$Z67)&gt;SUMIF('Event Trigger'!$C:$C,$Z67,F:F),0,'Year 1 Results'!AC67)</f>
        <v>0</v>
      </c>
      <c r="AD67" s="52">
        <f>IF('Year 1 Results'!AD67*COUNTIF('Event Trigger'!$C:$C,'Year 2 Results'!$Z67)&gt;SUMIF('Event Trigger'!$C:$C,$Z67,G:G),0,'Year 1 Results'!AD67)</f>
        <v>0</v>
      </c>
      <c r="AE67" s="52">
        <f>IF('Year 1 Results'!AE67*COUNTIF('Event Trigger'!$C:$C,'Year 2 Results'!$Z67)&gt;SUMIF('Event Trigger'!$C:$C,$Z67,H:H),0,'Year 1 Results'!AE67)</f>
        <v>0</v>
      </c>
      <c r="AF67" s="52">
        <f>IF('Year 1 Results'!AF67*COUNTIF('Event Trigger'!$C:$C,'Year 2 Results'!$Z67)&gt;SUMIF('Event Trigger'!$C:$C,$Z67,I:I),0,'Year 1 Results'!AF67)</f>
        <v>0</v>
      </c>
      <c r="AG67" s="52">
        <f>IF('Year 1 Results'!AG67*COUNTIF('Event Trigger'!$C:$C,'Year 2 Results'!$Z67)&gt;SUMIF('Event Trigger'!$C:$C,$Z67,J:J),0,'Year 1 Results'!AG67)</f>
        <v>0</v>
      </c>
      <c r="AH67" s="52">
        <f>IF('Year 1 Results'!AH67*COUNTIF('Event Trigger'!$C:$C,'Year 2 Results'!$Z67)&gt;SUMIF('Event Trigger'!$C:$C,$Z67,K:K),0,'Year 1 Results'!AH67)</f>
        <v>0</v>
      </c>
      <c r="AI67" s="52">
        <f>IF('Year 1 Results'!AI67*COUNTIF('Event Trigger'!$C:$C,'Year 2 Results'!$Z67)&gt;SUMIF('Event Trigger'!$C:$C,$Z67,L:L),0,'Year 1 Results'!AI67)</f>
        <v>0</v>
      </c>
      <c r="AJ67" s="52">
        <f>IF('Year 1 Results'!AJ67*COUNTIF('Event Trigger'!$C:$C,'Year 2 Results'!$Z67)&gt;SUMIF('Event Trigger'!$C:$C,$Z67,M:M),0,'Year 1 Results'!AJ67)</f>
        <v>0</v>
      </c>
    </row>
    <row r="68" spans="1:36" x14ac:dyDescent="0.25">
      <c r="A68" s="37" t="str">
        <f>'Risk Master'!B68:B183&amp;"-"&amp;'Risk Master'!D68</f>
        <v>Hurricane-Typhoon -Germany</v>
      </c>
      <c r="B68" s="37" t="str">
        <f>'Input Sheet year 2'!B69</f>
        <v>Hurricane-Typhoon -Germany</v>
      </c>
      <c r="C68" s="29" t="str">
        <f>'Risk Master'!F68</f>
        <v>A16</v>
      </c>
      <c r="D68" s="73">
        <f>'Year 1 Results'!O68*-1+('Year 1 Results'!O68*'Event Trigger'!$E69*(1-'Input Sheet year 2'!H69))</f>
        <v>300000</v>
      </c>
      <c r="E68" s="73">
        <f>'Year 1 Results'!P68*-1+('Year 1 Results'!P68*'Event Trigger'!$E69*(1-'Input Sheet year 2'!I69))</f>
        <v>300000</v>
      </c>
      <c r="F68" s="73">
        <f>'Year 1 Results'!Q68*-1+('Year 1 Results'!Q68*'Event Trigger'!$E69*(1-'Input Sheet year 2'!J69))</f>
        <v>300000</v>
      </c>
      <c r="G68" s="73">
        <f>'Year 1 Results'!R68*-1+('Year 1 Results'!R68*'Event Trigger'!$E69*(1-'Input Sheet year 2'!K69))</f>
        <v>300000</v>
      </c>
      <c r="H68" s="73">
        <f>'Year 1 Results'!S68*-1+('Year 1 Results'!S68*'Event Trigger'!$E69*(1-'Input Sheet year 2'!L69))</f>
        <v>300000</v>
      </c>
      <c r="I68" s="73">
        <f>'Year 1 Results'!T68*-1+('Year 1 Results'!T68*'Event Trigger'!$E69*(1-'Input Sheet year 2'!M69))</f>
        <v>300000</v>
      </c>
      <c r="J68" s="73">
        <f>'Year 1 Results'!U68*-1+('Year 1 Results'!U68*'Event Trigger'!$E69*(1-'Input Sheet year 2'!N69))</f>
        <v>300000</v>
      </c>
      <c r="K68" s="73">
        <f>'Year 1 Results'!V68*-1+('Year 1 Results'!V68*'Event Trigger'!$E69*(1-'Input Sheet year 2'!O69))</f>
        <v>300000</v>
      </c>
      <c r="L68" s="73">
        <f>'Year 1 Results'!W68*-1+('Year 1 Results'!W68*'Event Trigger'!$E69*(1-'Input Sheet year 2'!P69))</f>
        <v>300000</v>
      </c>
      <c r="M68" s="73">
        <f>'Year 1 Results'!X68*-1+('Year 1 Results'!X68*'Event Trigger'!$E69*(1-'Input Sheet year 2'!Q69))</f>
        <v>300000</v>
      </c>
      <c r="N68" s="88"/>
      <c r="O68" s="88">
        <f t="shared" si="10"/>
        <v>0</v>
      </c>
      <c r="P68" s="88">
        <f t="shared" si="11"/>
        <v>0</v>
      </c>
      <c r="Q68" s="88">
        <f t="shared" si="12"/>
        <v>0</v>
      </c>
      <c r="R68" s="88">
        <f t="shared" si="13"/>
        <v>0</v>
      </c>
      <c r="S68" s="88">
        <f t="shared" si="14"/>
        <v>0</v>
      </c>
      <c r="T68" s="88">
        <f t="shared" si="15"/>
        <v>0</v>
      </c>
      <c r="U68" s="88">
        <f t="shared" si="16"/>
        <v>0</v>
      </c>
      <c r="V68" s="88">
        <f t="shared" si="17"/>
        <v>0</v>
      </c>
      <c r="W68" s="88">
        <f t="shared" si="18"/>
        <v>0</v>
      </c>
      <c r="X68" s="88">
        <f t="shared" si="19"/>
        <v>0</v>
      </c>
      <c r="Z68" s="51" t="s">
        <v>231</v>
      </c>
      <c r="AA68" s="52">
        <f>IF('Year 1 Results'!AA68*COUNTIF('Event Trigger'!$C:$C,'Year 2 Results'!$Z68)&gt;SUMIF('Event Trigger'!$C:$C,$Z68,D:D),0,'Year 1 Results'!AA68)</f>
        <v>1100000</v>
      </c>
      <c r="AB68" s="52">
        <f>IF('Year 1 Results'!AB68*COUNTIF('Event Trigger'!$C:$C,'Year 2 Results'!$Z68)&gt;SUMIF('Event Trigger'!$C:$C,$Z68,E:E),0,'Year 1 Results'!AB68)</f>
        <v>0</v>
      </c>
      <c r="AC68" s="52">
        <f>IF('Year 1 Results'!AC68*COUNTIF('Event Trigger'!$C:$C,'Year 2 Results'!$Z68)&gt;SUMIF('Event Trigger'!$C:$C,$Z68,F:F),0,'Year 1 Results'!AC68)</f>
        <v>0</v>
      </c>
      <c r="AD68" s="52">
        <f>IF('Year 1 Results'!AD68*COUNTIF('Event Trigger'!$C:$C,'Year 2 Results'!$Z68)&gt;SUMIF('Event Trigger'!$C:$C,$Z68,G:G),0,'Year 1 Results'!AD68)</f>
        <v>1100000</v>
      </c>
      <c r="AE68" s="52">
        <f>IF('Year 1 Results'!AE68*COUNTIF('Event Trigger'!$C:$C,'Year 2 Results'!$Z68)&gt;SUMIF('Event Trigger'!$C:$C,$Z68,H:H),0,'Year 1 Results'!AE68)</f>
        <v>0</v>
      </c>
      <c r="AF68" s="52">
        <f>IF('Year 1 Results'!AF68*COUNTIF('Event Trigger'!$C:$C,'Year 2 Results'!$Z68)&gt;SUMIF('Event Trigger'!$C:$C,$Z68,I:I),0,'Year 1 Results'!AF68)</f>
        <v>0</v>
      </c>
      <c r="AG68" s="52">
        <f>IF('Year 1 Results'!AG68*COUNTIF('Event Trigger'!$C:$C,'Year 2 Results'!$Z68)&gt;SUMIF('Event Trigger'!$C:$C,$Z68,J:J),0,'Year 1 Results'!AG68)</f>
        <v>0</v>
      </c>
      <c r="AH68" s="52">
        <f>IF('Year 1 Results'!AH68*COUNTIF('Event Trigger'!$C:$C,'Year 2 Results'!$Z68)&gt;SUMIF('Event Trigger'!$C:$C,$Z68,K:K),0,'Year 1 Results'!AH68)</f>
        <v>1100000</v>
      </c>
      <c r="AI68" s="52">
        <f>IF('Year 1 Results'!AI68*COUNTIF('Event Trigger'!$C:$C,'Year 2 Results'!$Z68)&gt;SUMIF('Event Trigger'!$C:$C,$Z68,L:L),0,'Year 1 Results'!AI68)</f>
        <v>0</v>
      </c>
      <c r="AJ68" s="52">
        <f>IF('Year 1 Results'!AJ68*COUNTIF('Event Trigger'!$C:$C,'Year 2 Results'!$Z68)&gt;SUMIF('Event Trigger'!$C:$C,$Z68,M:M),0,'Year 1 Results'!AJ68)</f>
        <v>0</v>
      </c>
    </row>
    <row r="69" spans="1:36" x14ac:dyDescent="0.25">
      <c r="A69" s="37" t="str">
        <f>'Risk Master'!B69:B183&amp;"-"&amp;'Risk Master'!D69</f>
        <v>Earthquake-Germany</v>
      </c>
      <c r="B69" s="37" t="str">
        <f>'Input Sheet year 2'!B70</f>
        <v>Earthquake-Germany</v>
      </c>
      <c r="C69" s="29" t="str">
        <f>'Risk Master'!F69</f>
        <v>A16</v>
      </c>
      <c r="D69" s="73">
        <f>'Year 1 Results'!O69*-1+('Year 1 Results'!O69*'Event Trigger'!$E70*(1-'Input Sheet year 2'!H70))</f>
        <v>0</v>
      </c>
      <c r="E69" s="73">
        <f>'Year 1 Results'!P69*-1+('Year 1 Results'!P69*'Event Trigger'!$E70*(1-'Input Sheet year 2'!I70))</f>
        <v>300000</v>
      </c>
      <c r="F69" s="73">
        <f>'Year 1 Results'!Q69*-1+('Year 1 Results'!Q69*'Event Trigger'!$E70*(1-'Input Sheet year 2'!J70))</f>
        <v>0</v>
      </c>
      <c r="G69" s="73">
        <f>'Year 1 Results'!R69*-1+('Year 1 Results'!R69*'Event Trigger'!$E70*(1-'Input Sheet year 2'!K70))</f>
        <v>0</v>
      </c>
      <c r="H69" s="73">
        <f>'Year 1 Results'!S69*-1+('Year 1 Results'!S69*'Event Trigger'!$E70*(1-'Input Sheet year 2'!L70))</f>
        <v>0</v>
      </c>
      <c r="I69" s="73">
        <f>'Year 1 Results'!T69*-1+('Year 1 Results'!T69*'Event Trigger'!$E70*(1-'Input Sheet year 2'!M70))</f>
        <v>300000</v>
      </c>
      <c r="J69" s="73">
        <f>'Year 1 Results'!U69*-1+('Year 1 Results'!U69*'Event Trigger'!$E70*(1-'Input Sheet year 2'!N70))</f>
        <v>0</v>
      </c>
      <c r="K69" s="73">
        <f>'Year 1 Results'!V69*-1+('Year 1 Results'!V69*'Event Trigger'!$E70*(1-'Input Sheet year 2'!O70))</f>
        <v>300000</v>
      </c>
      <c r="L69" s="73">
        <f>'Year 1 Results'!W69*-1+('Year 1 Results'!W69*'Event Trigger'!$E70*(1-'Input Sheet year 2'!P70))</f>
        <v>300000</v>
      </c>
      <c r="M69" s="73">
        <f>'Year 1 Results'!X69*-1+('Year 1 Results'!X69*'Event Trigger'!$E70*(1-'Input Sheet year 2'!Q70))</f>
        <v>0</v>
      </c>
      <c r="N69" s="88"/>
      <c r="O69" s="88">
        <f t="shared" si="10"/>
        <v>0</v>
      </c>
      <c r="P69" s="88">
        <f t="shared" si="11"/>
        <v>0</v>
      </c>
      <c r="Q69" s="88">
        <f t="shared" si="12"/>
        <v>0</v>
      </c>
      <c r="R69" s="88">
        <f t="shared" si="13"/>
        <v>0</v>
      </c>
      <c r="S69" s="88">
        <f t="shared" si="14"/>
        <v>0</v>
      </c>
      <c r="T69" s="88">
        <f t="shared" si="15"/>
        <v>0</v>
      </c>
      <c r="U69" s="88">
        <f t="shared" si="16"/>
        <v>0</v>
      </c>
      <c r="V69" s="88">
        <f t="shared" si="17"/>
        <v>0</v>
      </c>
      <c r="W69" s="88">
        <f t="shared" si="18"/>
        <v>0</v>
      </c>
      <c r="X69" s="88">
        <f t="shared" si="19"/>
        <v>0</v>
      </c>
      <c r="Z69" s="51" t="s">
        <v>232</v>
      </c>
      <c r="AA69" s="52">
        <f>IF('Year 1 Results'!AA69*COUNTIF('Event Trigger'!$C:$C,'Year 2 Results'!$Z69)&gt;SUMIF('Event Trigger'!$C:$C,$Z69,D:D),0,'Year 1 Results'!AA69)</f>
        <v>0</v>
      </c>
      <c r="AB69" s="52">
        <f>IF('Year 1 Results'!AB69*COUNTIF('Event Trigger'!$C:$C,'Year 2 Results'!$Z69)&gt;SUMIF('Event Trigger'!$C:$C,$Z69,E:E),0,'Year 1 Results'!AB69)</f>
        <v>0</v>
      </c>
      <c r="AC69" s="52">
        <f>IF('Year 1 Results'!AC69*COUNTIF('Event Trigger'!$C:$C,'Year 2 Results'!$Z69)&gt;SUMIF('Event Trigger'!$C:$C,$Z69,F:F),0,'Year 1 Results'!AC69)</f>
        <v>0</v>
      </c>
      <c r="AD69" s="52">
        <f>IF('Year 1 Results'!AD69*COUNTIF('Event Trigger'!$C:$C,'Year 2 Results'!$Z69)&gt;SUMIF('Event Trigger'!$C:$C,$Z69,G:G),0,'Year 1 Results'!AD69)</f>
        <v>0</v>
      </c>
      <c r="AE69" s="52">
        <f>IF('Year 1 Results'!AE69*COUNTIF('Event Trigger'!$C:$C,'Year 2 Results'!$Z69)&gt;SUMIF('Event Trigger'!$C:$C,$Z69,H:H),0,'Year 1 Results'!AE69)</f>
        <v>0</v>
      </c>
      <c r="AF69" s="52">
        <f>IF('Year 1 Results'!AF69*COUNTIF('Event Trigger'!$C:$C,'Year 2 Results'!$Z69)&gt;SUMIF('Event Trigger'!$C:$C,$Z69,I:I),0,'Year 1 Results'!AF69)</f>
        <v>0</v>
      </c>
      <c r="AG69" s="52">
        <f>IF('Year 1 Results'!AG69*COUNTIF('Event Trigger'!$C:$C,'Year 2 Results'!$Z69)&gt;SUMIF('Event Trigger'!$C:$C,$Z69,J:J),0,'Year 1 Results'!AG69)</f>
        <v>0</v>
      </c>
      <c r="AH69" s="52">
        <f>IF('Year 1 Results'!AH69*COUNTIF('Event Trigger'!$C:$C,'Year 2 Results'!$Z69)&gt;SUMIF('Event Trigger'!$C:$C,$Z69,K:K),0,'Year 1 Results'!AH69)</f>
        <v>0</v>
      </c>
      <c r="AI69" s="52">
        <f>IF('Year 1 Results'!AI69*COUNTIF('Event Trigger'!$C:$C,'Year 2 Results'!$Z69)&gt;SUMIF('Event Trigger'!$C:$C,$Z69,L:L),0,'Year 1 Results'!AI69)</f>
        <v>0</v>
      </c>
      <c r="AJ69" s="52">
        <f>IF('Year 1 Results'!AJ69*COUNTIF('Event Trigger'!$C:$C,'Year 2 Results'!$Z69)&gt;SUMIF('Event Trigger'!$C:$C,$Z69,M:M),0,'Year 1 Results'!AJ69)</f>
        <v>0</v>
      </c>
    </row>
    <row r="70" spans="1:36" x14ac:dyDescent="0.25">
      <c r="A70" s="37" t="str">
        <f>'Risk Master'!B70:B183&amp;"-"&amp;'Risk Master'!D70</f>
        <v>Fire-Germany</v>
      </c>
      <c r="B70" s="37" t="str">
        <f>'Input Sheet year 2'!B71</f>
        <v>Fire-Germany</v>
      </c>
      <c r="C70" s="29" t="str">
        <f>'Risk Master'!F70</f>
        <v>A16</v>
      </c>
      <c r="D70" s="73">
        <f>'Year 1 Results'!O70*-1+('Year 1 Results'!O70*'Event Trigger'!$E71*(1-'Input Sheet year 2'!H71))</f>
        <v>0</v>
      </c>
      <c r="E70" s="73">
        <f>'Year 1 Results'!P70*-1+('Year 1 Results'!P70*'Event Trigger'!$E71*(1-'Input Sheet year 2'!I71))</f>
        <v>0</v>
      </c>
      <c r="F70" s="73">
        <f>'Year 1 Results'!Q70*-1+('Year 1 Results'!Q70*'Event Trigger'!$E71*(1-'Input Sheet year 2'!J71))</f>
        <v>0</v>
      </c>
      <c r="G70" s="73">
        <f>'Year 1 Results'!R70*-1+('Year 1 Results'!R70*'Event Trigger'!$E71*(1-'Input Sheet year 2'!K71))</f>
        <v>0</v>
      </c>
      <c r="H70" s="73">
        <f>'Year 1 Results'!S70*-1+('Year 1 Results'!S70*'Event Trigger'!$E71*(1-'Input Sheet year 2'!L71))</f>
        <v>300000</v>
      </c>
      <c r="I70" s="73">
        <f>'Year 1 Results'!T70*-1+('Year 1 Results'!T70*'Event Trigger'!$E71*(1-'Input Sheet year 2'!M71))</f>
        <v>0</v>
      </c>
      <c r="J70" s="73">
        <f>'Year 1 Results'!U70*-1+('Year 1 Results'!U70*'Event Trigger'!$E71*(1-'Input Sheet year 2'!N71))</f>
        <v>0</v>
      </c>
      <c r="K70" s="73">
        <f>'Year 1 Results'!V70*-1+('Year 1 Results'!V70*'Event Trigger'!$E71*(1-'Input Sheet year 2'!O71))</f>
        <v>0</v>
      </c>
      <c r="L70" s="73">
        <f>'Year 1 Results'!W70*-1+('Year 1 Results'!W70*'Event Trigger'!$E71*(1-'Input Sheet year 2'!P71))</f>
        <v>0</v>
      </c>
      <c r="M70" s="73">
        <f>'Year 1 Results'!X70*-1+('Year 1 Results'!X70*'Event Trigger'!$E71*(1-'Input Sheet year 2'!Q71))</f>
        <v>0</v>
      </c>
      <c r="N70" s="88"/>
      <c r="O70" s="88">
        <f t="shared" si="10"/>
        <v>0</v>
      </c>
      <c r="P70" s="88">
        <f t="shared" si="11"/>
        <v>0</v>
      </c>
      <c r="Q70" s="88">
        <f t="shared" si="12"/>
        <v>0</v>
      </c>
      <c r="R70" s="88">
        <f t="shared" si="13"/>
        <v>0</v>
      </c>
      <c r="S70" s="88">
        <f t="shared" si="14"/>
        <v>0</v>
      </c>
      <c r="T70" s="88">
        <f t="shared" si="15"/>
        <v>0</v>
      </c>
      <c r="U70" s="88">
        <f t="shared" si="16"/>
        <v>0</v>
      </c>
      <c r="V70" s="88">
        <f t="shared" si="17"/>
        <v>0</v>
      </c>
      <c r="W70" s="88">
        <f t="shared" si="18"/>
        <v>0</v>
      </c>
      <c r="X70" s="88">
        <f t="shared" si="19"/>
        <v>0</v>
      </c>
      <c r="Z70" s="51" t="s">
        <v>233</v>
      </c>
      <c r="AA70" s="52">
        <f>IF('Year 1 Results'!AA70*COUNTIF('Event Trigger'!$C:$C,'Year 2 Results'!$Z70)&gt;SUMIF('Event Trigger'!$C:$C,$Z70,D:D),0,'Year 1 Results'!AA70)</f>
        <v>0</v>
      </c>
      <c r="AB70" s="52">
        <f>IF('Year 1 Results'!AB70*COUNTIF('Event Trigger'!$C:$C,'Year 2 Results'!$Z70)&gt;SUMIF('Event Trigger'!$C:$C,$Z70,E:E),0,'Year 1 Results'!AB70)</f>
        <v>0</v>
      </c>
      <c r="AC70" s="52">
        <f>IF('Year 1 Results'!AC70*COUNTIF('Event Trigger'!$C:$C,'Year 2 Results'!$Z70)&gt;SUMIF('Event Trigger'!$C:$C,$Z70,F:F),0,'Year 1 Results'!AC70)</f>
        <v>0</v>
      </c>
      <c r="AD70" s="52">
        <f>IF('Year 1 Results'!AD70*COUNTIF('Event Trigger'!$C:$C,'Year 2 Results'!$Z70)&gt;SUMIF('Event Trigger'!$C:$C,$Z70,G:G),0,'Year 1 Results'!AD70)</f>
        <v>0</v>
      </c>
      <c r="AE70" s="52">
        <f>IF('Year 1 Results'!AE70*COUNTIF('Event Trigger'!$C:$C,'Year 2 Results'!$Z70)&gt;SUMIF('Event Trigger'!$C:$C,$Z70,H:H),0,'Year 1 Results'!AE70)</f>
        <v>0</v>
      </c>
      <c r="AF70" s="52">
        <f>IF('Year 1 Results'!AF70*COUNTIF('Event Trigger'!$C:$C,'Year 2 Results'!$Z70)&gt;SUMIF('Event Trigger'!$C:$C,$Z70,I:I),0,'Year 1 Results'!AF70)</f>
        <v>0</v>
      </c>
      <c r="AG70" s="52">
        <f>IF('Year 1 Results'!AG70*COUNTIF('Event Trigger'!$C:$C,'Year 2 Results'!$Z70)&gt;SUMIF('Event Trigger'!$C:$C,$Z70,J:J),0,'Year 1 Results'!AG70)</f>
        <v>300000</v>
      </c>
      <c r="AH70" s="52">
        <f>IF('Year 1 Results'!AH70*COUNTIF('Event Trigger'!$C:$C,'Year 2 Results'!$Z70)&gt;SUMIF('Event Trigger'!$C:$C,$Z70,K:K),0,'Year 1 Results'!AH70)</f>
        <v>0</v>
      </c>
      <c r="AI70" s="52">
        <f>IF('Year 1 Results'!AI70*COUNTIF('Event Trigger'!$C:$C,'Year 2 Results'!$Z70)&gt;SUMIF('Event Trigger'!$C:$C,$Z70,L:L),0,'Year 1 Results'!AI70)</f>
        <v>0</v>
      </c>
      <c r="AJ70" s="52">
        <f>IF('Year 1 Results'!AJ70*COUNTIF('Event Trigger'!$C:$C,'Year 2 Results'!$Z70)&gt;SUMIF('Event Trigger'!$C:$C,$Z70,M:M),0,'Year 1 Results'!AJ70)</f>
        <v>0</v>
      </c>
    </row>
    <row r="71" spans="1:36" ht="25.5" x14ac:dyDescent="0.25">
      <c r="A71" s="37" t="str">
        <f>'Risk Master'!B71:B183&amp;"-"&amp;'Risk Master'!D71</f>
        <v>Thunderstorms, Tornados &amp; Hail-Germany</v>
      </c>
      <c r="B71" s="37" t="str">
        <f>'Input Sheet year 2'!B72</f>
        <v>Thunderstorms, Tornados &amp; Hail-Germany</v>
      </c>
      <c r="C71" s="29" t="str">
        <f>'Risk Master'!F71</f>
        <v>A16</v>
      </c>
      <c r="D71" s="73">
        <f>'Year 1 Results'!O71*-1+('Year 1 Results'!O71*'Event Trigger'!$E72*(1-'Input Sheet year 2'!H72))</f>
        <v>0</v>
      </c>
      <c r="E71" s="73">
        <f>'Year 1 Results'!P71*-1+('Year 1 Results'!P71*'Event Trigger'!$E72*(1-'Input Sheet year 2'!I72))</f>
        <v>0</v>
      </c>
      <c r="F71" s="73">
        <f>'Year 1 Results'!Q71*-1+('Year 1 Results'!Q71*'Event Trigger'!$E72*(1-'Input Sheet year 2'!J72))</f>
        <v>0</v>
      </c>
      <c r="G71" s="73">
        <f>'Year 1 Results'!R71*-1+('Year 1 Results'!R71*'Event Trigger'!$E72*(1-'Input Sheet year 2'!K72))</f>
        <v>0</v>
      </c>
      <c r="H71" s="73">
        <f>'Year 1 Results'!S71*-1+('Year 1 Results'!S71*'Event Trigger'!$E72*(1-'Input Sheet year 2'!L72))</f>
        <v>0</v>
      </c>
      <c r="I71" s="73">
        <f>'Year 1 Results'!T71*-1+('Year 1 Results'!T71*'Event Trigger'!$E72*(1-'Input Sheet year 2'!M72))</f>
        <v>0</v>
      </c>
      <c r="J71" s="73">
        <f>'Year 1 Results'!U71*-1+('Year 1 Results'!U71*'Event Trigger'!$E72*(1-'Input Sheet year 2'!N72))</f>
        <v>0</v>
      </c>
      <c r="K71" s="73">
        <f>'Year 1 Results'!V71*-1+('Year 1 Results'!V71*'Event Trigger'!$E72*(1-'Input Sheet year 2'!O72))</f>
        <v>300000</v>
      </c>
      <c r="L71" s="73">
        <f>'Year 1 Results'!W71*-1+('Year 1 Results'!W71*'Event Trigger'!$E72*(1-'Input Sheet year 2'!P72))</f>
        <v>0</v>
      </c>
      <c r="M71" s="73">
        <f>'Year 1 Results'!X71*-1+('Year 1 Results'!X71*'Event Trigger'!$E72*(1-'Input Sheet year 2'!Q72))</f>
        <v>0</v>
      </c>
      <c r="N71" s="88"/>
      <c r="O71" s="88">
        <f t="shared" si="10"/>
        <v>0</v>
      </c>
      <c r="P71" s="88">
        <f t="shared" si="11"/>
        <v>0</v>
      </c>
      <c r="Q71" s="88">
        <f t="shared" si="12"/>
        <v>0</v>
      </c>
      <c r="R71" s="88">
        <f t="shared" si="13"/>
        <v>0</v>
      </c>
      <c r="S71" s="88">
        <f t="shared" si="14"/>
        <v>0</v>
      </c>
      <c r="T71" s="88">
        <f t="shared" si="15"/>
        <v>0</v>
      </c>
      <c r="U71" s="88">
        <f t="shared" si="16"/>
        <v>0</v>
      </c>
      <c r="V71" s="88">
        <f t="shared" si="17"/>
        <v>0</v>
      </c>
      <c r="W71" s="88">
        <f t="shared" si="18"/>
        <v>0</v>
      </c>
      <c r="X71" s="88">
        <f t="shared" si="19"/>
        <v>0</v>
      </c>
      <c r="Z71" s="51" t="s">
        <v>234</v>
      </c>
      <c r="AA71" s="52">
        <f>IF('Year 1 Results'!AA71*COUNTIF('Event Trigger'!$C:$C,'Year 2 Results'!$Z71)&gt;SUMIF('Event Trigger'!$C:$C,$Z71,D:D),0,'Year 1 Results'!AA71)</f>
        <v>0</v>
      </c>
      <c r="AB71" s="52">
        <f>IF('Year 1 Results'!AB71*COUNTIF('Event Trigger'!$C:$C,'Year 2 Results'!$Z71)&gt;SUMIF('Event Trigger'!$C:$C,$Z71,E:E),0,'Year 1 Results'!AB71)</f>
        <v>0</v>
      </c>
      <c r="AC71" s="52">
        <f>IF('Year 1 Results'!AC71*COUNTIF('Event Trigger'!$C:$C,'Year 2 Results'!$Z71)&gt;SUMIF('Event Trigger'!$C:$C,$Z71,F:F),0,'Year 1 Results'!AC71)</f>
        <v>0</v>
      </c>
      <c r="AD71" s="52">
        <f>IF('Year 1 Results'!AD71*COUNTIF('Event Trigger'!$C:$C,'Year 2 Results'!$Z71)&gt;SUMIF('Event Trigger'!$C:$C,$Z71,G:G),0,'Year 1 Results'!AD71)</f>
        <v>0</v>
      </c>
      <c r="AE71" s="52">
        <f>IF('Year 1 Results'!AE71*COUNTIF('Event Trigger'!$C:$C,'Year 2 Results'!$Z71)&gt;SUMIF('Event Trigger'!$C:$C,$Z71,H:H),0,'Year 1 Results'!AE71)</f>
        <v>0</v>
      </c>
      <c r="AF71" s="52">
        <f>IF('Year 1 Results'!AF71*COUNTIF('Event Trigger'!$C:$C,'Year 2 Results'!$Z71)&gt;SUMIF('Event Trigger'!$C:$C,$Z71,I:I),0,'Year 1 Results'!AF71)</f>
        <v>0</v>
      </c>
      <c r="AG71" s="52">
        <f>IF('Year 1 Results'!AG71*COUNTIF('Event Trigger'!$C:$C,'Year 2 Results'!$Z71)&gt;SUMIF('Event Trigger'!$C:$C,$Z71,J:J),0,'Year 1 Results'!AG71)</f>
        <v>0</v>
      </c>
      <c r="AH71" s="52">
        <f>IF('Year 1 Results'!AH71*COUNTIF('Event Trigger'!$C:$C,'Year 2 Results'!$Z71)&gt;SUMIF('Event Trigger'!$C:$C,$Z71,K:K),0,'Year 1 Results'!AH71)</f>
        <v>0</v>
      </c>
      <c r="AI71" s="52">
        <f>IF('Year 1 Results'!AI71*COUNTIF('Event Trigger'!$C:$C,'Year 2 Results'!$Z71)&gt;SUMIF('Event Trigger'!$C:$C,$Z71,L:L),0,'Year 1 Results'!AI71)</f>
        <v>0</v>
      </c>
      <c r="AJ71" s="52">
        <f>IF('Year 1 Results'!AJ71*COUNTIF('Event Trigger'!$C:$C,'Year 2 Results'!$Z71)&gt;SUMIF('Event Trigger'!$C:$C,$Z71,M:M),0,'Year 1 Results'!AJ71)</f>
        <v>0</v>
      </c>
    </row>
    <row r="72" spans="1:36" x14ac:dyDescent="0.25">
      <c r="A72" s="37" t="str">
        <f>'Risk Master'!B71:B183&amp;"-"&amp;'Risk Master'!D72</f>
        <v>Hurricane-Typhoon -Germany</v>
      </c>
      <c r="B72" s="37" t="str">
        <f>'Input Sheet year 2'!B73</f>
        <v>Hurricane-Typhoon -Germany</v>
      </c>
      <c r="C72" s="29" t="str">
        <f>'Risk Master'!F72</f>
        <v>A19</v>
      </c>
      <c r="D72" s="73">
        <f>'Year 1 Results'!O72*-1+('Year 1 Results'!O72*'Event Trigger'!$E73*(1-'Input Sheet year 2'!H73))</f>
        <v>500000</v>
      </c>
      <c r="E72" s="73">
        <f>'Year 1 Results'!P72*-1+('Year 1 Results'!P72*'Event Trigger'!$E73*(1-'Input Sheet year 2'!I73))</f>
        <v>500000</v>
      </c>
      <c r="F72" s="73">
        <f>'Year 1 Results'!Q72*-1+('Year 1 Results'!Q72*'Event Trigger'!$E73*(1-'Input Sheet year 2'!J73))</f>
        <v>500000</v>
      </c>
      <c r="G72" s="73">
        <f>'Year 1 Results'!R72*-1+('Year 1 Results'!R72*'Event Trigger'!$E73*(1-'Input Sheet year 2'!K73))</f>
        <v>500000</v>
      </c>
      <c r="H72" s="73">
        <f>'Year 1 Results'!S72*-1+('Year 1 Results'!S72*'Event Trigger'!$E73*(1-'Input Sheet year 2'!L73))</f>
        <v>500000</v>
      </c>
      <c r="I72" s="73">
        <f>'Year 1 Results'!T72*-1+('Year 1 Results'!T72*'Event Trigger'!$E73*(1-'Input Sheet year 2'!M73))</f>
        <v>500000</v>
      </c>
      <c r="J72" s="73">
        <f>'Year 1 Results'!U72*-1+('Year 1 Results'!U72*'Event Trigger'!$E73*(1-'Input Sheet year 2'!N73))</f>
        <v>500000</v>
      </c>
      <c r="K72" s="73">
        <f>'Year 1 Results'!V72*-1+('Year 1 Results'!V72*'Event Trigger'!$E73*(1-'Input Sheet year 2'!O73))</f>
        <v>500000</v>
      </c>
      <c r="L72" s="73">
        <f>'Year 1 Results'!W72*-1+('Year 1 Results'!W72*'Event Trigger'!$E73*(1-'Input Sheet year 2'!P73))</f>
        <v>500000</v>
      </c>
      <c r="M72" s="73">
        <f>'Year 1 Results'!X72*-1+('Year 1 Results'!X72*'Event Trigger'!$E73*(1-'Input Sheet year 2'!Q73))</f>
        <v>500000</v>
      </c>
      <c r="N72" s="88"/>
      <c r="O72" s="88">
        <f t="shared" si="10"/>
        <v>0</v>
      </c>
      <c r="P72" s="88">
        <f t="shared" si="11"/>
        <v>0</v>
      </c>
      <c r="Q72" s="88">
        <f t="shared" si="12"/>
        <v>0</v>
      </c>
      <c r="R72" s="88">
        <f t="shared" si="13"/>
        <v>0</v>
      </c>
      <c r="S72" s="88">
        <f t="shared" si="14"/>
        <v>0</v>
      </c>
      <c r="T72" s="88">
        <f t="shared" si="15"/>
        <v>0</v>
      </c>
      <c r="U72" s="88">
        <f t="shared" si="16"/>
        <v>0</v>
      </c>
      <c r="V72" s="88">
        <f t="shared" si="17"/>
        <v>0</v>
      </c>
      <c r="W72" s="88">
        <f t="shared" si="18"/>
        <v>0</v>
      </c>
      <c r="X72" s="88">
        <f t="shared" si="19"/>
        <v>0</v>
      </c>
      <c r="Z72" s="51" t="s">
        <v>235</v>
      </c>
      <c r="AA72" s="52">
        <f>IF('Year 1 Results'!AA72*COUNTIF('Event Trigger'!$C:$C,'Year 2 Results'!$Z72)&gt;SUMIF('Event Trigger'!$C:$C,$Z72,D:D),0,'Year 1 Results'!AA72)</f>
        <v>1000000</v>
      </c>
      <c r="AB72" s="52">
        <f>IF('Year 1 Results'!AB72*COUNTIF('Event Trigger'!$C:$C,'Year 2 Results'!$Z72)&gt;SUMIF('Event Trigger'!$C:$C,$Z72,E:E),0,'Year 1 Results'!AB72)</f>
        <v>1000000</v>
      </c>
      <c r="AC72" s="52">
        <f>IF('Year 1 Results'!AC72*COUNTIF('Event Trigger'!$C:$C,'Year 2 Results'!$Z72)&gt;SUMIF('Event Trigger'!$C:$C,$Z72,F:F),0,'Year 1 Results'!AC72)</f>
        <v>1000000</v>
      </c>
      <c r="AD72" s="52">
        <f>IF('Year 1 Results'!AD72*COUNTIF('Event Trigger'!$C:$C,'Year 2 Results'!$Z72)&gt;SUMIF('Event Trigger'!$C:$C,$Z72,G:G),0,'Year 1 Results'!AD72)</f>
        <v>1000000</v>
      </c>
      <c r="AE72" s="52">
        <f>IF('Year 1 Results'!AE72*COUNTIF('Event Trigger'!$C:$C,'Year 2 Results'!$Z72)&gt;SUMIF('Event Trigger'!$C:$C,$Z72,H:H),0,'Year 1 Results'!AE72)</f>
        <v>1000000</v>
      </c>
      <c r="AF72" s="52">
        <f>IF('Year 1 Results'!AF72*COUNTIF('Event Trigger'!$C:$C,'Year 2 Results'!$Z72)&gt;SUMIF('Event Trigger'!$C:$C,$Z72,I:I),0,'Year 1 Results'!AF72)</f>
        <v>1000000</v>
      </c>
      <c r="AG72" s="52">
        <f>IF('Year 1 Results'!AG72*COUNTIF('Event Trigger'!$C:$C,'Year 2 Results'!$Z72)&gt;SUMIF('Event Trigger'!$C:$C,$Z72,J:J),0,'Year 1 Results'!AG72)</f>
        <v>1000000</v>
      </c>
      <c r="AH72" s="52">
        <f>IF('Year 1 Results'!AH72*COUNTIF('Event Trigger'!$C:$C,'Year 2 Results'!$Z72)&gt;SUMIF('Event Trigger'!$C:$C,$Z72,K:K),0,'Year 1 Results'!AH72)</f>
        <v>1000000</v>
      </c>
      <c r="AI72" s="52">
        <f>IF('Year 1 Results'!AI72*COUNTIF('Event Trigger'!$C:$C,'Year 2 Results'!$Z72)&gt;SUMIF('Event Trigger'!$C:$C,$Z72,L:L),0,'Year 1 Results'!AI72)</f>
        <v>1000000</v>
      </c>
      <c r="AJ72" s="52">
        <f>IF('Year 1 Results'!AJ72*COUNTIF('Event Trigger'!$C:$C,'Year 2 Results'!$Z72)&gt;SUMIF('Event Trigger'!$C:$C,$Z72,M:M),0,'Year 1 Results'!AJ72)</f>
        <v>1000000</v>
      </c>
    </row>
    <row r="73" spans="1:36" x14ac:dyDescent="0.25">
      <c r="A73" s="37" t="str">
        <f>'Risk Master'!B73:B183&amp;"-"&amp;'Risk Master'!D73</f>
        <v>Earthquake-Germany</v>
      </c>
      <c r="B73" s="37" t="str">
        <f>'Input Sheet year 2'!B74</f>
        <v>Earthquake-Germany</v>
      </c>
      <c r="C73" s="29" t="str">
        <f>'Risk Master'!F73</f>
        <v>A19</v>
      </c>
      <c r="D73" s="73">
        <f>'Year 1 Results'!O73*-1+('Year 1 Results'!O73*'Event Trigger'!$E74*(1-'Input Sheet year 2'!H74))</f>
        <v>0</v>
      </c>
      <c r="E73" s="73">
        <f>'Year 1 Results'!P73*-1+('Year 1 Results'!P73*'Event Trigger'!$E74*(1-'Input Sheet year 2'!I74))</f>
        <v>0</v>
      </c>
      <c r="F73" s="73">
        <f>'Year 1 Results'!Q73*-1+('Year 1 Results'!Q73*'Event Trigger'!$E74*(1-'Input Sheet year 2'!J74))</f>
        <v>0</v>
      </c>
      <c r="G73" s="73">
        <f>'Year 1 Results'!R73*-1+('Year 1 Results'!R73*'Event Trigger'!$E74*(1-'Input Sheet year 2'!K74))</f>
        <v>500000</v>
      </c>
      <c r="H73" s="73">
        <f>'Year 1 Results'!S73*-1+('Year 1 Results'!S73*'Event Trigger'!$E74*(1-'Input Sheet year 2'!L74))</f>
        <v>0</v>
      </c>
      <c r="I73" s="73">
        <f>'Year 1 Results'!T73*-1+('Year 1 Results'!T73*'Event Trigger'!$E74*(1-'Input Sheet year 2'!M74))</f>
        <v>0</v>
      </c>
      <c r="J73" s="73">
        <f>'Year 1 Results'!U73*-1+('Year 1 Results'!U73*'Event Trigger'!$E74*(1-'Input Sheet year 2'!N74))</f>
        <v>0</v>
      </c>
      <c r="K73" s="73">
        <f>'Year 1 Results'!V73*-1+('Year 1 Results'!V73*'Event Trigger'!$E74*(1-'Input Sheet year 2'!O74))</f>
        <v>500000</v>
      </c>
      <c r="L73" s="73">
        <f>'Year 1 Results'!W73*-1+('Year 1 Results'!W73*'Event Trigger'!$E74*(1-'Input Sheet year 2'!P74))</f>
        <v>0</v>
      </c>
      <c r="M73" s="73">
        <f>'Year 1 Results'!X73*-1+('Year 1 Results'!X73*'Event Trigger'!$E74*(1-'Input Sheet year 2'!Q74))</f>
        <v>0</v>
      </c>
      <c r="N73" s="88"/>
      <c r="O73" s="88">
        <f t="shared" si="10"/>
        <v>0</v>
      </c>
      <c r="P73" s="88">
        <f t="shared" si="11"/>
        <v>0</v>
      </c>
      <c r="Q73" s="88">
        <f t="shared" si="12"/>
        <v>0</v>
      </c>
      <c r="R73" s="88">
        <f t="shared" si="13"/>
        <v>0</v>
      </c>
      <c r="S73" s="88">
        <f t="shared" si="14"/>
        <v>0</v>
      </c>
      <c r="T73" s="88">
        <f t="shared" si="15"/>
        <v>0</v>
      </c>
      <c r="U73" s="88">
        <f t="shared" si="16"/>
        <v>0</v>
      </c>
      <c r="V73" s="88">
        <f t="shared" si="17"/>
        <v>0</v>
      </c>
      <c r="W73" s="88">
        <f t="shared" si="18"/>
        <v>0</v>
      </c>
      <c r="X73" s="88">
        <f t="shared" si="19"/>
        <v>0</v>
      </c>
      <c r="Z73" s="51" t="s">
        <v>236</v>
      </c>
      <c r="AA73" s="52">
        <f>IF('Year 1 Results'!AA73*COUNTIF('Event Trigger'!$C:$C,'Year 2 Results'!$Z73)&gt;SUMIF('Event Trigger'!$C:$C,$Z73,D:D),0,'Year 1 Results'!AA73)</f>
        <v>0</v>
      </c>
      <c r="AB73" s="52">
        <f>IF('Year 1 Results'!AB73*COUNTIF('Event Trigger'!$C:$C,'Year 2 Results'!$Z73)&gt;SUMIF('Event Trigger'!$C:$C,$Z73,E:E),0,'Year 1 Results'!AB73)</f>
        <v>500000</v>
      </c>
      <c r="AC73" s="52">
        <f>IF('Year 1 Results'!AC73*COUNTIF('Event Trigger'!$C:$C,'Year 2 Results'!$Z73)&gt;SUMIF('Event Trigger'!$C:$C,$Z73,F:F),0,'Year 1 Results'!AC73)</f>
        <v>0</v>
      </c>
      <c r="AD73" s="52">
        <f>IF('Year 1 Results'!AD73*COUNTIF('Event Trigger'!$C:$C,'Year 2 Results'!$Z73)&gt;SUMIF('Event Trigger'!$C:$C,$Z73,G:G),0,'Year 1 Results'!AD73)</f>
        <v>500000</v>
      </c>
      <c r="AE73" s="52">
        <f>IF('Year 1 Results'!AE73*COUNTIF('Event Trigger'!$C:$C,'Year 2 Results'!$Z73)&gt;SUMIF('Event Trigger'!$C:$C,$Z73,H:H),0,'Year 1 Results'!AE73)</f>
        <v>0</v>
      </c>
      <c r="AF73" s="52">
        <f>IF('Year 1 Results'!AF73*COUNTIF('Event Trigger'!$C:$C,'Year 2 Results'!$Z73)&gt;SUMIF('Event Trigger'!$C:$C,$Z73,I:I),0,'Year 1 Results'!AF73)</f>
        <v>500000</v>
      </c>
      <c r="AG73" s="52">
        <f>IF('Year 1 Results'!AG73*COUNTIF('Event Trigger'!$C:$C,'Year 2 Results'!$Z73)&gt;SUMIF('Event Trigger'!$C:$C,$Z73,J:J),0,'Year 1 Results'!AG73)</f>
        <v>0</v>
      </c>
      <c r="AH73" s="52">
        <f>IF('Year 1 Results'!AH73*COUNTIF('Event Trigger'!$C:$C,'Year 2 Results'!$Z73)&gt;SUMIF('Event Trigger'!$C:$C,$Z73,K:K),0,'Year 1 Results'!AH73)</f>
        <v>500000</v>
      </c>
      <c r="AI73" s="52">
        <f>IF('Year 1 Results'!AI73*COUNTIF('Event Trigger'!$C:$C,'Year 2 Results'!$Z73)&gt;SUMIF('Event Trigger'!$C:$C,$Z73,L:L),0,'Year 1 Results'!AI73)</f>
        <v>500000</v>
      </c>
      <c r="AJ73" s="52">
        <f>IF('Year 1 Results'!AJ73*COUNTIF('Event Trigger'!$C:$C,'Year 2 Results'!$Z73)&gt;SUMIF('Event Trigger'!$C:$C,$Z73,M:M),0,'Year 1 Results'!AJ73)</f>
        <v>0</v>
      </c>
    </row>
    <row r="74" spans="1:36" x14ac:dyDescent="0.25">
      <c r="A74" s="37" t="str">
        <f>'Risk Master'!B74:B183&amp;"-"&amp;'Risk Master'!D74</f>
        <v>Fire-Germany</v>
      </c>
      <c r="B74" s="37" t="str">
        <f>'Input Sheet year 2'!B75</f>
        <v>Fire-Germany</v>
      </c>
      <c r="C74" s="29" t="str">
        <f>'Risk Master'!F74</f>
        <v>A19</v>
      </c>
      <c r="D74" s="73">
        <f>'Year 1 Results'!O74*-1+('Year 1 Results'!O74*'Event Trigger'!$E75*(1-'Input Sheet year 2'!H75))</f>
        <v>500000</v>
      </c>
      <c r="E74" s="73">
        <f>'Year 1 Results'!P74*-1+('Year 1 Results'!P74*'Event Trigger'!$E75*(1-'Input Sheet year 2'!I75))</f>
        <v>0</v>
      </c>
      <c r="F74" s="73">
        <f>'Year 1 Results'!Q74*-1+('Year 1 Results'!Q74*'Event Trigger'!$E75*(1-'Input Sheet year 2'!J75))</f>
        <v>0</v>
      </c>
      <c r="G74" s="73">
        <f>'Year 1 Results'!R74*-1+('Year 1 Results'!R74*'Event Trigger'!$E75*(1-'Input Sheet year 2'!K75))</f>
        <v>0</v>
      </c>
      <c r="H74" s="73">
        <f>'Year 1 Results'!S74*-1+('Year 1 Results'!S74*'Event Trigger'!$E75*(1-'Input Sheet year 2'!L75))</f>
        <v>0</v>
      </c>
      <c r="I74" s="73">
        <f>'Year 1 Results'!T74*-1+('Year 1 Results'!T74*'Event Trigger'!$E75*(1-'Input Sheet year 2'!M75))</f>
        <v>0</v>
      </c>
      <c r="J74" s="73">
        <f>'Year 1 Results'!U74*-1+('Year 1 Results'!U74*'Event Trigger'!$E75*(1-'Input Sheet year 2'!N75))</f>
        <v>0</v>
      </c>
      <c r="K74" s="73">
        <f>'Year 1 Results'!V74*-1+('Year 1 Results'!V74*'Event Trigger'!$E75*(1-'Input Sheet year 2'!O75))</f>
        <v>0</v>
      </c>
      <c r="L74" s="73">
        <f>'Year 1 Results'!W74*-1+('Year 1 Results'!W74*'Event Trigger'!$E75*(1-'Input Sheet year 2'!P75))</f>
        <v>0</v>
      </c>
      <c r="M74" s="73">
        <f>'Year 1 Results'!X74*-1+('Year 1 Results'!X74*'Event Trigger'!$E75*(1-'Input Sheet year 2'!Q75))</f>
        <v>500000</v>
      </c>
      <c r="N74" s="88"/>
      <c r="O74" s="88">
        <f t="shared" si="10"/>
        <v>0</v>
      </c>
      <c r="P74" s="88">
        <f t="shared" si="11"/>
        <v>0</v>
      </c>
      <c r="Q74" s="88">
        <f t="shared" si="12"/>
        <v>0</v>
      </c>
      <c r="R74" s="88">
        <f t="shared" si="13"/>
        <v>0</v>
      </c>
      <c r="S74" s="88">
        <f t="shared" si="14"/>
        <v>0</v>
      </c>
      <c r="T74" s="88">
        <f t="shared" si="15"/>
        <v>0</v>
      </c>
      <c r="U74" s="88">
        <f t="shared" si="16"/>
        <v>0</v>
      </c>
      <c r="V74" s="88">
        <f t="shared" si="17"/>
        <v>0</v>
      </c>
      <c r="W74" s="88">
        <f t="shared" si="18"/>
        <v>0</v>
      </c>
      <c r="X74" s="88">
        <f t="shared" si="19"/>
        <v>0</v>
      </c>
      <c r="Z74" s="51" t="s">
        <v>237</v>
      </c>
      <c r="AA74" s="52">
        <f>IF('Year 1 Results'!AA74*COUNTIF('Event Trigger'!$C:$C,'Year 2 Results'!$Z74)&gt;SUMIF('Event Trigger'!$C:$C,$Z74,D:D),0,'Year 1 Results'!AA74)</f>
        <v>0</v>
      </c>
      <c r="AB74" s="52">
        <f>IF('Year 1 Results'!AB74*COUNTIF('Event Trigger'!$C:$C,'Year 2 Results'!$Z74)&gt;SUMIF('Event Trigger'!$C:$C,$Z74,E:E),0,'Year 1 Results'!AB74)</f>
        <v>0</v>
      </c>
      <c r="AC74" s="52">
        <f>IF('Year 1 Results'!AC74*COUNTIF('Event Trigger'!$C:$C,'Year 2 Results'!$Z74)&gt;SUMIF('Event Trigger'!$C:$C,$Z74,F:F),0,'Year 1 Results'!AC74)</f>
        <v>0</v>
      </c>
      <c r="AD74" s="52">
        <f>IF('Year 1 Results'!AD74*COUNTIF('Event Trigger'!$C:$C,'Year 2 Results'!$Z74)&gt;SUMIF('Event Trigger'!$C:$C,$Z74,G:G),0,'Year 1 Results'!AD74)</f>
        <v>0</v>
      </c>
      <c r="AE74" s="52">
        <f>IF('Year 1 Results'!AE74*COUNTIF('Event Trigger'!$C:$C,'Year 2 Results'!$Z74)&gt;SUMIF('Event Trigger'!$C:$C,$Z74,H:H),0,'Year 1 Results'!AE74)</f>
        <v>0</v>
      </c>
      <c r="AF74" s="52">
        <f>IF('Year 1 Results'!AF74*COUNTIF('Event Trigger'!$C:$C,'Year 2 Results'!$Z74)&gt;SUMIF('Event Trigger'!$C:$C,$Z74,I:I),0,'Year 1 Results'!AF74)</f>
        <v>0</v>
      </c>
      <c r="AG74" s="52">
        <f>IF('Year 1 Results'!AG74*COUNTIF('Event Trigger'!$C:$C,'Year 2 Results'!$Z74)&gt;SUMIF('Event Trigger'!$C:$C,$Z74,J:J),0,'Year 1 Results'!AG74)</f>
        <v>0</v>
      </c>
      <c r="AH74" s="52">
        <f>IF('Year 1 Results'!AH74*COUNTIF('Event Trigger'!$C:$C,'Year 2 Results'!$Z74)&gt;SUMIF('Event Trigger'!$C:$C,$Z74,K:K),0,'Year 1 Results'!AH74)</f>
        <v>0</v>
      </c>
      <c r="AI74" s="52">
        <f>IF('Year 1 Results'!AI74*COUNTIF('Event Trigger'!$C:$C,'Year 2 Results'!$Z74)&gt;SUMIF('Event Trigger'!$C:$C,$Z74,L:L),0,'Year 1 Results'!AI74)</f>
        <v>0</v>
      </c>
      <c r="AJ74" s="52">
        <f>IF('Year 1 Results'!AJ74*COUNTIF('Event Trigger'!$C:$C,'Year 2 Results'!$Z74)&gt;SUMIF('Event Trigger'!$C:$C,$Z74,M:M),0,'Year 1 Results'!AJ74)</f>
        <v>0</v>
      </c>
    </row>
    <row r="75" spans="1:36" ht="25.5" x14ac:dyDescent="0.25">
      <c r="A75" s="37" t="str">
        <f>'Risk Master'!B75:B183&amp;"-"&amp;'Risk Master'!D75</f>
        <v>Thunderstorms, Tornados &amp; Hail-Germany</v>
      </c>
      <c r="B75" s="37" t="str">
        <f>'Input Sheet year 2'!B76</f>
        <v>Thunderstorms, Tornados &amp; Hail-Germany</v>
      </c>
      <c r="C75" s="29" t="str">
        <f>'Risk Master'!F75</f>
        <v>A19</v>
      </c>
      <c r="D75" s="73">
        <f>'Year 1 Results'!O75*-1+('Year 1 Results'!O75*'Event Trigger'!$E76*(1-'Input Sheet year 2'!H76))</f>
        <v>0</v>
      </c>
      <c r="E75" s="73">
        <f>'Year 1 Results'!P75*-1+('Year 1 Results'!P75*'Event Trigger'!$E76*(1-'Input Sheet year 2'!I76))</f>
        <v>500000</v>
      </c>
      <c r="F75" s="73">
        <f>'Year 1 Results'!Q75*-1+('Year 1 Results'!Q75*'Event Trigger'!$E76*(1-'Input Sheet year 2'!J76))</f>
        <v>0</v>
      </c>
      <c r="G75" s="73">
        <f>'Year 1 Results'!R75*-1+('Year 1 Results'!R75*'Event Trigger'!$E76*(1-'Input Sheet year 2'!K76))</f>
        <v>0</v>
      </c>
      <c r="H75" s="73">
        <f>'Year 1 Results'!S75*-1+('Year 1 Results'!S75*'Event Trigger'!$E76*(1-'Input Sheet year 2'!L76))</f>
        <v>0</v>
      </c>
      <c r="I75" s="73">
        <f>'Year 1 Results'!T75*-1+('Year 1 Results'!T75*'Event Trigger'!$E76*(1-'Input Sheet year 2'!M76))</f>
        <v>500000</v>
      </c>
      <c r="J75" s="73">
        <f>'Year 1 Results'!U75*-1+('Year 1 Results'!U75*'Event Trigger'!$E76*(1-'Input Sheet year 2'!N76))</f>
        <v>0</v>
      </c>
      <c r="K75" s="73">
        <f>'Year 1 Results'!V75*-1+('Year 1 Results'!V75*'Event Trigger'!$E76*(1-'Input Sheet year 2'!O76))</f>
        <v>500000</v>
      </c>
      <c r="L75" s="73">
        <f>'Year 1 Results'!W75*-1+('Year 1 Results'!W75*'Event Trigger'!$E76*(1-'Input Sheet year 2'!P76))</f>
        <v>0</v>
      </c>
      <c r="M75" s="73">
        <f>'Year 1 Results'!X75*-1+('Year 1 Results'!X75*'Event Trigger'!$E76*(1-'Input Sheet year 2'!Q76))</f>
        <v>500000</v>
      </c>
      <c r="N75" s="88"/>
      <c r="O75" s="88">
        <f t="shared" si="10"/>
        <v>0</v>
      </c>
      <c r="P75" s="88">
        <f t="shared" si="11"/>
        <v>0</v>
      </c>
      <c r="Q75" s="88">
        <f t="shared" si="12"/>
        <v>0</v>
      </c>
      <c r="R75" s="88">
        <f t="shared" si="13"/>
        <v>0</v>
      </c>
      <c r="S75" s="88">
        <f t="shared" si="14"/>
        <v>0</v>
      </c>
      <c r="T75" s="88">
        <f t="shared" si="15"/>
        <v>0</v>
      </c>
      <c r="U75" s="88">
        <f t="shared" si="16"/>
        <v>0</v>
      </c>
      <c r="V75" s="88">
        <f t="shared" si="17"/>
        <v>0</v>
      </c>
      <c r="W75" s="88">
        <f t="shared" si="18"/>
        <v>0</v>
      </c>
      <c r="X75" s="88">
        <f t="shared" si="19"/>
        <v>0</v>
      </c>
      <c r="Z75" s="51" t="s">
        <v>238</v>
      </c>
      <c r="AA75" s="52">
        <f>IF('Year 1 Results'!AA75*COUNTIF('Event Trigger'!$C:$C,'Year 2 Results'!$Z75)&gt;SUMIF('Event Trigger'!$C:$C,$Z75,D:D),0,'Year 1 Results'!AA75)</f>
        <v>0</v>
      </c>
      <c r="AB75" s="52">
        <f>IF('Year 1 Results'!AB75*COUNTIF('Event Trigger'!$C:$C,'Year 2 Results'!$Z75)&gt;SUMIF('Event Trigger'!$C:$C,$Z75,E:E),0,'Year 1 Results'!AB75)</f>
        <v>0</v>
      </c>
      <c r="AC75" s="52">
        <f>IF('Year 1 Results'!AC75*COUNTIF('Event Trigger'!$C:$C,'Year 2 Results'!$Z75)&gt;SUMIF('Event Trigger'!$C:$C,$Z75,F:F),0,'Year 1 Results'!AC75)</f>
        <v>0</v>
      </c>
      <c r="AD75" s="52">
        <f>IF('Year 1 Results'!AD75*COUNTIF('Event Trigger'!$C:$C,'Year 2 Results'!$Z75)&gt;SUMIF('Event Trigger'!$C:$C,$Z75,G:G),0,'Year 1 Results'!AD75)</f>
        <v>0</v>
      </c>
      <c r="AE75" s="52">
        <f>IF('Year 1 Results'!AE75*COUNTIF('Event Trigger'!$C:$C,'Year 2 Results'!$Z75)&gt;SUMIF('Event Trigger'!$C:$C,$Z75,H:H),0,'Year 1 Results'!AE75)</f>
        <v>0</v>
      </c>
      <c r="AF75" s="52">
        <f>IF('Year 1 Results'!AF75*COUNTIF('Event Trigger'!$C:$C,'Year 2 Results'!$Z75)&gt;SUMIF('Event Trigger'!$C:$C,$Z75,I:I),0,'Year 1 Results'!AF75)</f>
        <v>0</v>
      </c>
      <c r="AG75" s="52">
        <f>IF('Year 1 Results'!AG75*COUNTIF('Event Trigger'!$C:$C,'Year 2 Results'!$Z75)&gt;SUMIF('Event Trigger'!$C:$C,$Z75,J:J),0,'Year 1 Results'!AG75)</f>
        <v>0</v>
      </c>
      <c r="AH75" s="52">
        <f>IF('Year 1 Results'!AH75*COUNTIF('Event Trigger'!$C:$C,'Year 2 Results'!$Z75)&gt;SUMIF('Event Trigger'!$C:$C,$Z75,K:K),0,'Year 1 Results'!AH75)</f>
        <v>0</v>
      </c>
      <c r="AI75" s="52">
        <f>IF('Year 1 Results'!AI75*COUNTIF('Event Trigger'!$C:$C,'Year 2 Results'!$Z75)&gt;SUMIF('Event Trigger'!$C:$C,$Z75,L:L),0,'Year 1 Results'!AI75)</f>
        <v>0</v>
      </c>
      <c r="AJ75" s="52">
        <f>IF('Year 1 Results'!AJ75*COUNTIF('Event Trigger'!$C:$C,'Year 2 Results'!$Z75)&gt;SUMIF('Event Trigger'!$C:$C,$Z75,M:M),0,'Year 1 Results'!AJ75)</f>
        <v>0</v>
      </c>
    </row>
    <row r="76" spans="1:36" x14ac:dyDescent="0.25">
      <c r="A76" s="37" t="str">
        <f>'Risk Master'!B76:B183&amp;"-"&amp;'Risk Master'!D76</f>
        <v>Hurricane-Typhoon -Germany</v>
      </c>
      <c r="B76" s="37" t="str">
        <f>'Input Sheet year 2'!B77</f>
        <v>Hurricane-Typhoon -Germany</v>
      </c>
      <c r="C76" s="29" t="str">
        <f>'Risk Master'!F76</f>
        <v>A22</v>
      </c>
      <c r="D76" s="73">
        <f>'Year 1 Results'!O76*-1+('Year 1 Results'!O76*'Event Trigger'!$E77*(1-'Input Sheet year 2'!H77))</f>
        <v>1000000</v>
      </c>
      <c r="E76" s="73">
        <f>'Year 1 Results'!P76*-1+('Year 1 Results'!P76*'Event Trigger'!$E77*(1-'Input Sheet year 2'!I77))</f>
        <v>1000000</v>
      </c>
      <c r="F76" s="73">
        <f>'Year 1 Results'!Q76*-1+('Year 1 Results'!Q76*'Event Trigger'!$E77*(1-'Input Sheet year 2'!J77))</f>
        <v>1000000</v>
      </c>
      <c r="G76" s="73">
        <f>'Year 1 Results'!R76*-1+('Year 1 Results'!R76*'Event Trigger'!$E77*(1-'Input Sheet year 2'!K77))</f>
        <v>1000000</v>
      </c>
      <c r="H76" s="73">
        <f>'Year 1 Results'!S76*-1+('Year 1 Results'!S76*'Event Trigger'!$E77*(1-'Input Sheet year 2'!L77))</f>
        <v>1000000</v>
      </c>
      <c r="I76" s="73">
        <f>'Year 1 Results'!T76*-1+('Year 1 Results'!T76*'Event Trigger'!$E77*(1-'Input Sheet year 2'!M77))</f>
        <v>1000000</v>
      </c>
      <c r="J76" s="73">
        <f>'Year 1 Results'!U76*-1+('Year 1 Results'!U76*'Event Trigger'!$E77*(1-'Input Sheet year 2'!N77))</f>
        <v>1000000</v>
      </c>
      <c r="K76" s="73">
        <f>'Year 1 Results'!V76*-1+('Year 1 Results'!V76*'Event Trigger'!$E77*(1-'Input Sheet year 2'!O77))</f>
        <v>1000000</v>
      </c>
      <c r="L76" s="73">
        <f>'Year 1 Results'!W76*-1+('Year 1 Results'!W76*'Event Trigger'!$E77*(1-'Input Sheet year 2'!P77))</f>
        <v>1000000</v>
      </c>
      <c r="M76" s="73">
        <f>'Year 1 Results'!X76*-1+('Year 1 Results'!X76*'Event Trigger'!$E77*(1-'Input Sheet year 2'!Q77))</f>
        <v>1000000</v>
      </c>
      <c r="N76" s="88"/>
      <c r="O76" s="88">
        <f t="shared" si="10"/>
        <v>0</v>
      </c>
      <c r="P76" s="88">
        <f t="shared" si="11"/>
        <v>0</v>
      </c>
      <c r="Q76" s="88">
        <f t="shared" si="12"/>
        <v>0</v>
      </c>
      <c r="R76" s="88">
        <f t="shared" si="13"/>
        <v>0</v>
      </c>
      <c r="S76" s="88">
        <f t="shared" si="14"/>
        <v>0</v>
      </c>
      <c r="T76" s="88">
        <f t="shared" si="15"/>
        <v>0</v>
      </c>
      <c r="U76" s="88">
        <f t="shared" si="16"/>
        <v>0</v>
      </c>
      <c r="V76" s="88">
        <f t="shared" si="17"/>
        <v>0</v>
      </c>
      <c r="W76" s="88">
        <f t="shared" si="18"/>
        <v>0</v>
      </c>
      <c r="X76" s="88">
        <f t="shared" si="19"/>
        <v>0</v>
      </c>
      <c r="Z76" s="51" t="s">
        <v>239</v>
      </c>
      <c r="AA76" s="52">
        <f>IF('Year 1 Results'!AA76*COUNTIF('Event Trigger'!$C:$C,'Year 2 Results'!$Z76)&gt;SUMIF('Event Trigger'!$C:$C,$Z76,D:D),0,'Year 1 Results'!AA76)</f>
        <v>200000</v>
      </c>
      <c r="AB76" s="52">
        <f>IF('Year 1 Results'!AB76*COUNTIF('Event Trigger'!$C:$C,'Year 2 Results'!$Z76)&gt;SUMIF('Event Trigger'!$C:$C,$Z76,E:E),0,'Year 1 Results'!AB76)</f>
        <v>200000</v>
      </c>
      <c r="AC76" s="52">
        <f>IF('Year 1 Results'!AC76*COUNTIF('Event Trigger'!$C:$C,'Year 2 Results'!$Z76)&gt;SUMIF('Event Trigger'!$C:$C,$Z76,F:F),0,'Year 1 Results'!AC76)</f>
        <v>200000</v>
      </c>
      <c r="AD76" s="52">
        <f>IF('Year 1 Results'!AD76*COUNTIF('Event Trigger'!$C:$C,'Year 2 Results'!$Z76)&gt;SUMIF('Event Trigger'!$C:$C,$Z76,G:G),0,'Year 1 Results'!AD76)</f>
        <v>200000</v>
      </c>
      <c r="AE76" s="52">
        <f>IF('Year 1 Results'!AE76*COUNTIF('Event Trigger'!$C:$C,'Year 2 Results'!$Z76)&gt;SUMIF('Event Trigger'!$C:$C,$Z76,H:H),0,'Year 1 Results'!AE76)</f>
        <v>200000</v>
      </c>
      <c r="AF76" s="52">
        <f>IF('Year 1 Results'!AF76*COUNTIF('Event Trigger'!$C:$C,'Year 2 Results'!$Z76)&gt;SUMIF('Event Trigger'!$C:$C,$Z76,I:I),0,'Year 1 Results'!AF76)</f>
        <v>200000</v>
      </c>
      <c r="AG76" s="52">
        <f>IF('Year 1 Results'!AG76*COUNTIF('Event Trigger'!$C:$C,'Year 2 Results'!$Z76)&gt;SUMIF('Event Trigger'!$C:$C,$Z76,J:J),0,'Year 1 Results'!AG76)</f>
        <v>200000</v>
      </c>
      <c r="AH76" s="52">
        <f>IF('Year 1 Results'!AH76*COUNTIF('Event Trigger'!$C:$C,'Year 2 Results'!$Z76)&gt;SUMIF('Event Trigger'!$C:$C,$Z76,K:K),0,'Year 1 Results'!AH76)</f>
        <v>200000</v>
      </c>
      <c r="AI76" s="52">
        <f>IF('Year 1 Results'!AI76*COUNTIF('Event Trigger'!$C:$C,'Year 2 Results'!$Z76)&gt;SUMIF('Event Trigger'!$C:$C,$Z76,L:L),0,'Year 1 Results'!AI76)</f>
        <v>200000</v>
      </c>
      <c r="AJ76" s="52">
        <f>IF('Year 1 Results'!AJ76*COUNTIF('Event Trigger'!$C:$C,'Year 2 Results'!$Z76)&gt;SUMIF('Event Trigger'!$C:$C,$Z76,M:M),0,'Year 1 Results'!AJ76)</f>
        <v>200000</v>
      </c>
    </row>
    <row r="77" spans="1:36" x14ac:dyDescent="0.25">
      <c r="A77" s="37" t="str">
        <f>'Risk Master'!B77:B183&amp;"-"&amp;'Risk Master'!D77</f>
        <v>Earthquake-Germany</v>
      </c>
      <c r="B77" s="37" t="str">
        <f>'Input Sheet year 2'!B78</f>
        <v>Earthquake-Germany</v>
      </c>
      <c r="C77" s="29" t="str">
        <f>'Risk Master'!F77</f>
        <v>A22</v>
      </c>
      <c r="D77" s="73">
        <f>'Year 1 Results'!O77*-1+('Year 1 Results'!O77*'Event Trigger'!$E78*(1-'Input Sheet year 2'!H78))</f>
        <v>0</v>
      </c>
      <c r="E77" s="73">
        <f>'Year 1 Results'!P77*-1+('Year 1 Results'!P77*'Event Trigger'!$E78*(1-'Input Sheet year 2'!I78))</f>
        <v>1000000</v>
      </c>
      <c r="F77" s="73">
        <f>'Year 1 Results'!Q77*-1+('Year 1 Results'!Q77*'Event Trigger'!$E78*(1-'Input Sheet year 2'!J78))</f>
        <v>0</v>
      </c>
      <c r="G77" s="73">
        <f>'Year 1 Results'!R77*-1+('Year 1 Results'!R77*'Event Trigger'!$E78*(1-'Input Sheet year 2'!K78))</f>
        <v>0</v>
      </c>
      <c r="H77" s="73">
        <f>'Year 1 Results'!S77*-1+('Year 1 Results'!S77*'Event Trigger'!$E78*(1-'Input Sheet year 2'!L78))</f>
        <v>1000000</v>
      </c>
      <c r="I77" s="73">
        <f>'Year 1 Results'!T77*-1+('Year 1 Results'!T77*'Event Trigger'!$E78*(1-'Input Sheet year 2'!M78))</f>
        <v>0</v>
      </c>
      <c r="J77" s="73">
        <f>'Year 1 Results'!U77*-1+('Year 1 Results'!U77*'Event Trigger'!$E78*(1-'Input Sheet year 2'!N78))</f>
        <v>0</v>
      </c>
      <c r="K77" s="73">
        <f>'Year 1 Results'!V77*-1+('Year 1 Results'!V77*'Event Trigger'!$E78*(1-'Input Sheet year 2'!O78))</f>
        <v>1000000</v>
      </c>
      <c r="L77" s="73">
        <f>'Year 1 Results'!W77*-1+('Year 1 Results'!W77*'Event Trigger'!$E78*(1-'Input Sheet year 2'!P78))</f>
        <v>0</v>
      </c>
      <c r="M77" s="73">
        <f>'Year 1 Results'!X77*-1+('Year 1 Results'!X77*'Event Trigger'!$E78*(1-'Input Sheet year 2'!Q78))</f>
        <v>1000000</v>
      </c>
      <c r="N77" s="88"/>
      <c r="O77" s="88">
        <f t="shared" si="10"/>
        <v>0</v>
      </c>
      <c r="P77" s="88">
        <f t="shared" si="11"/>
        <v>0</v>
      </c>
      <c r="Q77" s="88">
        <f t="shared" si="12"/>
        <v>0</v>
      </c>
      <c r="R77" s="88">
        <f t="shared" si="13"/>
        <v>0</v>
      </c>
      <c r="S77" s="88">
        <f t="shared" si="14"/>
        <v>0</v>
      </c>
      <c r="T77" s="88">
        <f t="shared" si="15"/>
        <v>0</v>
      </c>
      <c r="U77" s="88">
        <f t="shared" si="16"/>
        <v>0</v>
      </c>
      <c r="V77" s="88">
        <f t="shared" si="17"/>
        <v>0</v>
      </c>
      <c r="W77" s="88">
        <f t="shared" si="18"/>
        <v>0</v>
      </c>
      <c r="X77" s="88">
        <f t="shared" si="19"/>
        <v>0</v>
      </c>
      <c r="Z77" s="51" t="s">
        <v>240</v>
      </c>
      <c r="AA77" s="52">
        <f>IF('Year 1 Results'!AA77*COUNTIF('Event Trigger'!$C:$C,'Year 2 Results'!$Z77)&gt;SUMIF('Event Trigger'!$C:$C,$Z77,D:D),0,'Year 1 Results'!AA77)</f>
        <v>0</v>
      </c>
      <c r="AB77" s="52">
        <f>IF('Year 1 Results'!AB77*COUNTIF('Event Trigger'!$C:$C,'Year 2 Results'!$Z77)&gt;SUMIF('Event Trigger'!$C:$C,$Z77,E:E),0,'Year 1 Results'!AB77)</f>
        <v>0</v>
      </c>
      <c r="AC77" s="52">
        <f>IF('Year 1 Results'!AC77*COUNTIF('Event Trigger'!$C:$C,'Year 2 Results'!$Z77)&gt;SUMIF('Event Trigger'!$C:$C,$Z77,F:F),0,'Year 1 Results'!AC77)</f>
        <v>0</v>
      </c>
      <c r="AD77" s="52">
        <f>IF('Year 1 Results'!AD77*COUNTIF('Event Trigger'!$C:$C,'Year 2 Results'!$Z77)&gt;SUMIF('Event Trigger'!$C:$C,$Z77,G:G),0,'Year 1 Results'!AD77)</f>
        <v>0</v>
      </c>
      <c r="AE77" s="52">
        <f>IF('Year 1 Results'!AE77*COUNTIF('Event Trigger'!$C:$C,'Year 2 Results'!$Z77)&gt;SUMIF('Event Trigger'!$C:$C,$Z77,H:H),0,'Year 1 Results'!AE77)</f>
        <v>0</v>
      </c>
      <c r="AF77" s="52">
        <f>IF('Year 1 Results'!AF77*COUNTIF('Event Trigger'!$C:$C,'Year 2 Results'!$Z77)&gt;SUMIF('Event Trigger'!$C:$C,$Z77,I:I),0,'Year 1 Results'!AF77)</f>
        <v>0</v>
      </c>
      <c r="AG77" s="52">
        <f>IF('Year 1 Results'!AG77*COUNTIF('Event Trigger'!$C:$C,'Year 2 Results'!$Z77)&gt;SUMIF('Event Trigger'!$C:$C,$Z77,J:J),0,'Year 1 Results'!AG77)</f>
        <v>0</v>
      </c>
      <c r="AH77" s="52">
        <f>IF('Year 1 Results'!AH77*COUNTIF('Event Trigger'!$C:$C,'Year 2 Results'!$Z77)&gt;SUMIF('Event Trigger'!$C:$C,$Z77,K:K),0,'Year 1 Results'!AH77)</f>
        <v>0</v>
      </c>
      <c r="AI77" s="52">
        <f>IF('Year 1 Results'!AI77*COUNTIF('Event Trigger'!$C:$C,'Year 2 Results'!$Z77)&gt;SUMIF('Event Trigger'!$C:$C,$Z77,L:L),0,'Year 1 Results'!AI77)</f>
        <v>0</v>
      </c>
      <c r="AJ77" s="52">
        <f>IF('Year 1 Results'!AJ77*COUNTIF('Event Trigger'!$C:$C,'Year 2 Results'!$Z77)&gt;SUMIF('Event Trigger'!$C:$C,$Z77,M:M),0,'Year 1 Results'!AJ77)</f>
        <v>0</v>
      </c>
    </row>
    <row r="78" spans="1:36" x14ac:dyDescent="0.25">
      <c r="A78" s="37" t="str">
        <f>'Risk Master'!B78:B183&amp;"-"&amp;'Risk Master'!D78</f>
        <v>Fire-Germany</v>
      </c>
      <c r="B78" s="37" t="str">
        <f>'Input Sheet year 2'!B79</f>
        <v>Fire-Germany</v>
      </c>
      <c r="C78" s="29" t="str">
        <f>'Risk Master'!F78</f>
        <v>A22</v>
      </c>
      <c r="D78" s="73">
        <f>'Year 1 Results'!O78*-1+('Year 1 Results'!O78*'Event Trigger'!$E79*(1-'Input Sheet year 2'!H79))</f>
        <v>0</v>
      </c>
      <c r="E78" s="73">
        <f>'Year 1 Results'!P78*-1+('Year 1 Results'!P78*'Event Trigger'!$E79*(1-'Input Sheet year 2'!I79))</f>
        <v>1000000</v>
      </c>
      <c r="F78" s="73">
        <f>'Year 1 Results'!Q78*-1+('Year 1 Results'!Q78*'Event Trigger'!$E79*(1-'Input Sheet year 2'!J79))</f>
        <v>0</v>
      </c>
      <c r="G78" s="73">
        <f>'Year 1 Results'!R78*-1+('Year 1 Results'!R78*'Event Trigger'!$E79*(1-'Input Sheet year 2'!K79))</f>
        <v>0</v>
      </c>
      <c r="H78" s="73">
        <f>'Year 1 Results'!S78*-1+('Year 1 Results'!S78*'Event Trigger'!$E79*(1-'Input Sheet year 2'!L79))</f>
        <v>0</v>
      </c>
      <c r="I78" s="73">
        <f>'Year 1 Results'!T78*-1+('Year 1 Results'!T78*'Event Trigger'!$E79*(1-'Input Sheet year 2'!M79))</f>
        <v>1000000</v>
      </c>
      <c r="J78" s="73">
        <f>'Year 1 Results'!U78*-1+('Year 1 Results'!U78*'Event Trigger'!$E79*(1-'Input Sheet year 2'!N79))</f>
        <v>0</v>
      </c>
      <c r="K78" s="73">
        <f>'Year 1 Results'!V78*-1+('Year 1 Results'!V78*'Event Trigger'!$E79*(1-'Input Sheet year 2'!O79))</f>
        <v>0</v>
      </c>
      <c r="L78" s="73">
        <f>'Year 1 Results'!W78*-1+('Year 1 Results'!W78*'Event Trigger'!$E79*(1-'Input Sheet year 2'!P79))</f>
        <v>0</v>
      </c>
      <c r="M78" s="73">
        <f>'Year 1 Results'!X78*-1+('Year 1 Results'!X78*'Event Trigger'!$E79*(1-'Input Sheet year 2'!Q79))</f>
        <v>0</v>
      </c>
      <c r="N78" s="88"/>
      <c r="O78" s="88">
        <f t="shared" si="10"/>
        <v>0</v>
      </c>
      <c r="P78" s="88">
        <f t="shared" si="11"/>
        <v>0</v>
      </c>
      <c r="Q78" s="88">
        <f t="shared" si="12"/>
        <v>0</v>
      </c>
      <c r="R78" s="88">
        <f t="shared" si="13"/>
        <v>0</v>
      </c>
      <c r="S78" s="88">
        <f t="shared" si="14"/>
        <v>0</v>
      </c>
      <c r="T78" s="88">
        <f t="shared" si="15"/>
        <v>0</v>
      </c>
      <c r="U78" s="88">
        <f t="shared" si="16"/>
        <v>0</v>
      </c>
      <c r="V78" s="88">
        <f t="shared" si="17"/>
        <v>0</v>
      </c>
      <c r="W78" s="88">
        <f t="shared" si="18"/>
        <v>0</v>
      </c>
      <c r="X78" s="88">
        <f t="shared" si="19"/>
        <v>0</v>
      </c>
      <c r="Z78" s="51" t="s">
        <v>241</v>
      </c>
      <c r="AA78" s="52">
        <f>IF('Year 1 Results'!AA78*COUNTIF('Event Trigger'!$C:$C,'Year 2 Results'!$Z78)&gt;SUMIF('Event Trigger'!$C:$C,$Z78,D:D),0,'Year 1 Results'!AA78)</f>
        <v>0</v>
      </c>
      <c r="AB78" s="52">
        <f>IF('Year 1 Results'!AB78*COUNTIF('Event Trigger'!$C:$C,'Year 2 Results'!$Z78)&gt;SUMIF('Event Trigger'!$C:$C,$Z78,E:E),0,'Year 1 Results'!AB78)</f>
        <v>0</v>
      </c>
      <c r="AC78" s="52">
        <f>IF('Year 1 Results'!AC78*COUNTIF('Event Trigger'!$C:$C,'Year 2 Results'!$Z78)&gt;SUMIF('Event Trigger'!$C:$C,$Z78,F:F),0,'Year 1 Results'!AC78)</f>
        <v>0</v>
      </c>
      <c r="AD78" s="52">
        <f>IF('Year 1 Results'!AD78*COUNTIF('Event Trigger'!$C:$C,'Year 2 Results'!$Z78)&gt;SUMIF('Event Trigger'!$C:$C,$Z78,G:G),0,'Year 1 Results'!AD78)</f>
        <v>0</v>
      </c>
      <c r="AE78" s="52">
        <f>IF('Year 1 Results'!AE78*COUNTIF('Event Trigger'!$C:$C,'Year 2 Results'!$Z78)&gt;SUMIF('Event Trigger'!$C:$C,$Z78,H:H),0,'Year 1 Results'!AE78)</f>
        <v>0</v>
      </c>
      <c r="AF78" s="52">
        <f>IF('Year 1 Results'!AF78*COUNTIF('Event Trigger'!$C:$C,'Year 2 Results'!$Z78)&gt;SUMIF('Event Trigger'!$C:$C,$Z78,I:I),0,'Year 1 Results'!AF78)</f>
        <v>0</v>
      </c>
      <c r="AG78" s="52">
        <f>IF('Year 1 Results'!AG78*COUNTIF('Event Trigger'!$C:$C,'Year 2 Results'!$Z78)&gt;SUMIF('Event Trigger'!$C:$C,$Z78,J:J),0,'Year 1 Results'!AG78)</f>
        <v>0</v>
      </c>
      <c r="AH78" s="52">
        <f>IF('Year 1 Results'!AH78*COUNTIF('Event Trigger'!$C:$C,'Year 2 Results'!$Z78)&gt;SUMIF('Event Trigger'!$C:$C,$Z78,K:K),0,'Year 1 Results'!AH78)</f>
        <v>0</v>
      </c>
      <c r="AI78" s="52">
        <f>IF('Year 1 Results'!AI78*COUNTIF('Event Trigger'!$C:$C,'Year 2 Results'!$Z78)&gt;SUMIF('Event Trigger'!$C:$C,$Z78,L:L),0,'Year 1 Results'!AI78)</f>
        <v>0</v>
      </c>
      <c r="AJ78" s="52">
        <f>IF('Year 1 Results'!AJ78*COUNTIF('Event Trigger'!$C:$C,'Year 2 Results'!$Z78)&gt;SUMIF('Event Trigger'!$C:$C,$Z78,M:M),0,'Year 1 Results'!AJ78)</f>
        <v>0</v>
      </c>
    </row>
    <row r="79" spans="1:36" ht="25.5" x14ac:dyDescent="0.25">
      <c r="A79" s="37" t="str">
        <f>'Risk Master'!B79:B183&amp;"-"&amp;'Risk Master'!D79</f>
        <v>Thunderstorms, Tornados &amp; Hail-Germany</v>
      </c>
      <c r="B79" s="37" t="str">
        <f>'Input Sheet year 2'!B80</f>
        <v>Thunderstorms, Tornados &amp; Hail-Germany</v>
      </c>
      <c r="C79" s="29" t="str">
        <f>'Risk Master'!F79</f>
        <v>A22</v>
      </c>
      <c r="D79" s="73">
        <f>'Year 1 Results'!O79*-1+('Year 1 Results'!O79*'Event Trigger'!$E80*(1-'Input Sheet year 2'!H80))</f>
        <v>0</v>
      </c>
      <c r="E79" s="73">
        <f>'Year 1 Results'!P79*-1+('Year 1 Results'!P79*'Event Trigger'!$E80*(1-'Input Sheet year 2'!I80))</f>
        <v>0</v>
      </c>
      <c r="F79" s="73">
        <f>'Year 1 Results'!Q79*-1+('Year 1 Results'!Q79*'Event Trigger'!$E80*(1-'Input Sheet year 2'!J80))</f>
        <v>0</v>
      </c>
      <c r="G79" s="73">
        <f>'Year 1 Results'!R79*-1+('Year 1 Results'!R79*'Event Trigger'!$E80*(1-'Input Sheet year 2'!K80))</f>
        <v>0</v>
      </c>
      <c r="H79" s="73">
        <f>'Year 1 Results'!S79*-1+('Year 1 Results'!S79*'Event Trigger'!$E80*(1-'Input Sheet year 2'!L80))</f>
        <v>0</v>
      </c>
      <c r="I79" s="73">
        <f>'Year 1 Results'!T79*-1+('Year 1 Results'!T79*'Event Trigger'!$E80*(1-'Input Sheet year 2'!M80))</f>
        <v>0</v>
      </c>
      <c r="J79" s="73">
        <f>'Year 1 Results'!U79*-1+('Year 1 Results'!U79*'Event Trigger'!$E80*(1-'Input Sheet year 2'!N80))</f>
        <v>0</v>
      </c>
      <c r="K79" s="73">
        <f>'Year 1 Results'!V79*-1+('Year 1 Results'!V79*'Event Trigger'!$E80*(1-'Input Sheet year 2'!O80))</f>
        <v>0</v>
      </c>
      <c r="L79" s="73">
        <f>'Year 1 Results'!W79*-1+('Year 1 Results'!W79*'Event Trigger'!$E80*(1-'Input Sheet year 2'!P80))</f>
        <v>0</v>
      </c>
      <c r="M79" s="73">
        <f>'Year 1 Results'!X79*-1+('Year 1 Results'!X79*'Event Trigger'!$E80*(1-'Input Sheet year 2'!Q80))</f>
        <v>0</v>
      </c>
      <c r="N79" s="88"/>
      <c r="O79" s="88">
        <f t="shared" si="10"/>
        <v>0</v>
      </c>
      <c r="P79" s="88">
        <f t="shared" si="11"/>
        <v>0</v>
      </c>
      <c r="Q79" s="88">
        <f t="shared" si="12"/>
        <v>0</v>
      </c>
      <c r="R79" s="88">
        <f t="shared" si="13"/>
        <v>0</v>
      </c>
      <c r="S79" s="88">
        <f t="shared" si="14"/>
        <v>0</v>
      </c>
      <c r="T79" s="88">
        <f t="shared" si="15"/>
        <v>0</v>
      </c>
      <c r="U79" s="88">
        <f t="shared" si="16"/>
        <v>0</v>
      </c>
      <c r="V79" s="88">
        <f t="shared" si="17"/>
        <v>0</v>
      </c>
      <c r="W79" s="88">
        <f t="shared" si="18"/>
        <v>0</v>
      </c>
      <c r="X79" s="88">
        <f t="shared" si="19"/>
        <v>0</v>
      </c>
      <c r="Z79" s="51" t="s">
        <v>242</v>
      </c>
      <c r="AA79" s="52">
        <f>IF('Year 1 Results'!AA79*COUNTIF('Event Trigger'!$C:$C,'Year 2 Results'!$Z79)&gt;SUMIF('Event Trigger'!$C:$C,$Z79,D:D),0,'Year 1 Results'!AA79)</f>
        <v>400000</v>
      </c>
      <c r="AB79" s="52">
        <f>IF('Year 1 Results'!AB79*COUNTIF('Event Trigger'!$C:$C,'Year 2 Results'!$Z79)&gt;SUMIF('Event Trigger'!$C:$C,$Z79,E:E),0,'Year 1 Results'!AB79)</f>
        <v>400000</v>
      </c>
      <c r="AC79" s="52">
        <f>IF('Year 1 Results'!AC79*COUNTIF('Event Trigger'!$C:$C,'Year 2 Results'!$Z79)&gt;SUMIF('Event Trigger'!$C:$C,$Z79,F:F),0,'Year 1 Results'!AC79)</f>
        <v>400000</v>
      </c>
      <c r="AD79" s="52">
        <f>IF('Year 1 Results'!AD79*COUNTIF('Event Trigger'!$C:$C,'Year 2 Results'!$Z79)&gt;SUMIF('Event Trigger'!$C:$C,$Z79,G:G),0,'Year 1 Results'!AD79)</f>
        <v>400000</v>
      </c>
      <c r="AE79" s="52">
        <f>IF('Year 1 Results'!AE79*COUNTIF('Event Trigger'!$C:$C,'Year 2 Results'!$Z79)&gt;SUMIF('Event Trigger'!$C:$C,$Z79,H:H),0,'Year 1 Results'!AE79)</f>
        <v>400000</v>
      </c>
      <c r="AF79" s="52">
        <f>IF('Year 1 Results'!AF79*COUNTIF('Event Trigger'!$C:$C,'Year 2 Results'!$Z79)&gt;SUMIF('Event Trigger'!$C:$C,$Z79,I:I),0,'Year 1 Results'!AF79)</f>
        <v>400000</v>
      </c>
      <c r="AG79" s="52">
        <f>IF('Year 1 Results'!AG79*COUNTIF('Event Trigger'!$C:$C,'Year 2 Results'!$Z79)&gt;SUMIF('Event Trigger'!$C:$C,$Z79,J:J),0,'Year 1 Results'!AG79)</f>
        <v>400000</v>
      </c>
      <c r="AH79" s="52">
        <f>IF('Year 1 Results'!AH79*COUNTIF('Event Trigger'!$C:$C,'Year 2 Results'!$Z79)&gt;SUMIF('Event Trigger'!$C:$C,$Z79,K:K),0,'Year 1 Results'!AH79)</f>
        <v>400000</v>
      </c>
      <c r="AI79" s="52">
        <f>IF('Year 1 Results'!AI79*COUNTIF('Event Trigger'!$C:$C,'Year 2 Results'!$Z79)&gt;SUMIF('Event Trigger'!$C:$C,$Z79,L:L),0,'Year 1 Results'!AI79)</f>
        <v>400000</v>
      </c>
      <c r="AJ79" s="52">
        <f>IF('Year 1 Results'!AJ79*COUNTIF('Event Trigger'!$C:$C,'Year 2 Results'!$Z79)&gt;SUMIF('Event Trigger'!$C:$C,$Z79,M:M),0,'Year 1 Results'!AJ79)</f>
        <v>400000</v>
      </c>
    </row>
    <row r="80" spans="1:36" x14ac:dyDescent="0.25">
      <c r="A80" s="37" t="str">
        <f>'Risk Master'!B80:B183&amp;"-"&amp;'Risk Master'!D80</f>
        <v>Hurricane-Typhoon -Germany</v>
      </c>
      <c r="B80" s="37" t="str">
        <f>'Input Sheet year 2'!B81</f>
        <v>Hurricane-Typhoon -Germany</v>
      </c>
      <c r="C80" s="29" t="str">
        <f>'Risk Master'!F80</f>
        <v>A23</v>
      </c>
      <c r="D80" s="73">
        <f>'Year 1 Results'!O80*-1+('Year 1 Results'!O80*'Event Trigger'!$E81*(1-'Input Sheet year 2'!H81))</f>
        <v>300000</v>
      </c>
      <c r="E80" s="73">
        <f>'Year 1 Results'!P80*-1+('Year 1 Results'!P80*'Event Trigger'!$E81*(1-'Input Sheet year 2'!I81))</f>
        <v>300000</v>
      </c>
      <c r="F80" s="73">
        <f>'Year 1 Results'!Q80*-1+('Year 1 Results'!Q80*'Event Trigger'!$E81*(1-'Input Sheet year 2'!J81))</f>
        <v>300000</v>
      </c>
      <c r="G80" s="73">
        <f>'Year 1 Results'!R80*-1+('Year 1 Results'!R80*'Event Trigger'!$E81*(1-'Input Sheet year 2'!K81))</f>
        <v>300000</v>
      </c>
      <c r="H80" s="73">
        <f>'Year 1 Results'!S80*-1+('Year 1 Results'!S80*'Event Trigger'!$E81*(1-'Input Sheet year 2'!L81))</f>
        <v>300000</v>
      </c>
      <c r="I80" s="73">
        <f>'Year 1 Results'!T80*-1+('Year 1 Results'!T80*'Event Trigger'!$E81*(1-'Input Sheet year 2'!M81))</f>
        <v>300000</v>
      </c>
      <c r="J80" s="73">
        <f>'Year 1 Results'!U80*-1+('Year 1 Results'!U80*'Event Trigger'!$E81*(1-'Input Sheet year 2'!N81))</f>
        <v>300000</v>
      </c>
      <c r="K80" s="73">
        <f>'Year 1 Results'!V80*-1+('Year 1 Results'!V80*'Event Trigger'!$E81*(1-'Input Sheet year 2'!O81))</f>
        <v>300000</v>
      </c>
      <c r="L80" s="73">
        <f>'Year 1 Results'!W80*-1+('Year 1 Results'!W80*'Event Trigger'!$E81*(1-'Input Sheet year 2'!P81))</f>
        <v>300000</v>
      </c>
      <c r="M80" s="73">
        <f>'Year 1 Results'!X80*-1+('Year 1 Results'!X80*'Event Trigger'!$E81*(1-'Input Sheet year 2'!Q81))</f>
        <v>300000</v>
      </c>
      <c r="N80" s="88"/>
      <c r="O80" s="88">
        <f t="shared" si="10"/>
        <v>0</v>
      </c>
      <c r="P80" s="88">
        <f t="shared" si="11"/>
        <v>0</v>
      </c>
      <c r="Q80" s="88">
        <f t="shared" si="12"/>
        <v>0</v>
      </c>
      <c r="R80" s="88">
        <f t="shared" si="13"/>
        <v>0</v>
      </c>
      <c r="S80" s="88">
        <f t="shared" si="14"/>
        <v>0</v>
      </c>
      <c r="T80" s="88">
        <f t="shared" si="15"/>
        <v>0</v>
      </c>
      <c r="U80" s="88">
        <f t="shared" si="16"/>
        <v>0</v>
      </c>
      <c r="V80" s="88">
        <f t="shared" si="17"/>
        <v>0</v>
      </c>
      <c r="W80" s="88">
        <f t="shared" si="18"/>
        <v>0</v>
      </c>
      <c r="X80" s="88">
        <f t="shared" si="19"/>
        <v>0</v>
      </c>
      <c r="Z80" s="51" t="s">
        <v>243</v>
      </c>
      <c r="AA80" s="52">
        <f>IF('Year 1 Results'!AA80*COUNTIF('Event Trigger'!$C:$C,'Year 2 Results'!$Z80)&gt;SUMIF('Event Trigger'!$C:$C,$Z80,D:D),0,'Year 1 Results'!AA80)</f>
        <v>0</v>
      </c>
      <c r="AB80" s="52">
        <f>IF('Year 1 Results'!AB80*COUNTIF('Event Trigger'!$C:$C,'Year 2 Results'!$Z80)&gt;SUMIF('Event Trigger'!$C:$C,$Z80,E:E),0,'Year 1 Results'!AB80)</f>
        <v>500000</v>
      </c>
      <c r="AC80" s="52">
        <f>IF('Year 1 Results'!AC80*COUNTIF('Event Trigger'!$C:$C,'Year 2 Results'!$Z80)&gt;SUMIF('Event Trigger'!$C:$C,$Z80,F:F),0,'Year 1 Results'!AC80)</f>
        <v>0</v>
      </c>
      <c r="AD80" s="52">
        <f>IF('Year 1 Results'!AD80*COUNTIF('Event Trigger'!$C:$C,'Year 2 Results'!$Z80)&gt;SUMIF('Event Trigger'!$C:$C,$Z80,G:G),0,'Year 1 Results'!AD80)</f>
        <v>500000</v>
      </c>
      <c r="AE80" s="52">
        <f>IF('Year 1 Results'!AE80*COUNTIF('Event Trigger'!$C:$C,'Year 2 Results'!$Z80)&gt;SUMIF('Event Trigger'!$C:$C,$Z80,H:H),0,'Year 1 Results'!AE80)</f>
        <v>0</v>
      </c>
      <c r="AF80" s="52">
        <f>IF('Year 1 Results'!AF80*COUNTIF('Event Trigger'!$C:$C,'Year 2 Results'!$Z80)&gt;SUMIF('Event Trigger'!$C:$C,$Z80,I:I),0,'Year 1 Results'!AF80)</f>
        <v>0</v>
      </c>
      <c r="AG80" s="52">
        <f>IF('Year 1 Results'!AG80*COUNTIF('Event Trigger'!$C:$C,'Year 2 Results'!$Z80)&gt;SUMIF('Event Trigger'!$C:$C,$Z80,J:J),0,'Year 1 Results'!AG80)</f>
        <v>0</v>
      </c>
      <c r="AH80" s="52">
        <f>IF('Year 1 Results'!AH80*COUNTIF('Event Trigger'!$C:$C,'Year 2 Results'!$Z80)&gt;SUMIF('Event Trigger'!$C:$C,$Z80,K:K),0,'Year 1 Results'!AH80)</f>
        <v>500000</v>
      </c>
      <c r="AI80" s="52">
        <f>IF('Year 1 Results'!AI80*COUNTIF('Event Trigger'!$C:$C,'Year 2 Results'!$Z80)&gt;SUMIF('Event Trigger'!$C:$C,$Z80,L:L),0,'Year 1 Results'!AI80)</f>
        <v>0</v>
      </c>
      <c r="AJ80" s="52">
        <f>IF('Year 1 Results'!AJ80*COUNTIF('Event Trigger'!$C:$C,'Year 2 Results'!$Z80)&gt;SUMIF('Event Trigger'!$C:$C,$Z80,M:M),0,'Year 1 Results'!AJ80)</f>
        <v>500000</v>
      </c>
    </row>
    <row r="81" spans="1:36" x14ac:dyDescent="0.25">
      <c r="A81" s="37" t="str">
        <f>'Risk Master'!B81:B183&amp;"-"&amp;'Risk Master'!D81</f>
        <v>Earthquake-Germany</v>
      </c>
      <c r="B81" s="37" t="str">
        <f>'Input Sheet year 2'!B82</f>
        <v>Earthquake-Germany</v>
      </c>
      <c r="C81" s="29" t="str">
        <f>'Risk Master'!F81</f>
        <v>A23</v>
      </c>
      <c r="D81" s="73">
        <f>'Year 1 Results'!O81*-1+('Year 1 Results'!O81*'Event Trigger'!$E82*(1-'Input Sheet year 2'!H82))</f>
        <v>0</v>
      </c>
      <c r="E81" s="73">
        <f>'Year 1 Results'!P81*-1+('Year 1 Results'!P81*'Event Trigger'!$E82*(1-'Input Sheet year 2'!I82))</f>
        <v>0</v>
      </c>
      <c r="F81" s="73">
        <f>'Year 1 Results'!Q81*-1+('Year 1 Results'!Q81*'Event Trigger'!$E82*(1-'Input Sheet year 2'!J82))</f>
        <v>0</v>
      </c>
      <c r="G81" s="73">
        <f>'Year 1 Results'!R81*-1+('Year 1 Results'!R81*'Event Trigger'!$E82*(1-'Input Sheet year 2'!K82))</f>
        <v>0</v>
      </c>
      <c r="H81" s="73">
        <f>'Year 1 Results'!S81*-1+('Year 1 Results'!S81*'Event Trigger'!$E82*(1-'Input Sheet year 2'!L82))</f>
        <v>0</v>
      </c>
      <c r="I81" s="73">
        <f>'Year 1 Results'!T81*-1+('Year 1 Results'!T81*'Event Trigger'!$E82*(1-'Input Sheet year 2'!M82))</f>
        <v>0</v>
      </c>
      <c r="J81" s="73">
        <f>'Year 1 Results'!U81*-1+('Year 1 Results'!U81*'Event Trigger'!$E82*(1-'Input Sheet year 2'!N82))</f>
        <v>300000</v>
      </c>
      <c r="K81" s="73">
        <f>'Year 1 Results'!V81*-1+('Year 1 Results'!V81*'Event Trigger'!$E82*(1-'Input Sheet year 2'!O82))</f>
        <v>0</v>
      </c>
      <c r="L81" s="73">
        <f>'Year 1 Results'!W81*-1+('Year 1 Results'!W81*'Event Trigger'!$E82*(1-'Input Sheet year 2'!P82))</f>
        <v>300000</v>
      </c>
      <c r="M81" s="73">
        <f>'Year 1 Results'!X81*-1+('Year 1 Results'!X81*'Event Trigger'!$E82*(1-'Input Sheet year 2'!Q82))</f>
        <v>0</v>
      </c>
      <c r="N81" s="88"/>
      <c r="O81" s="88">
        <f t="shared" si="10"/>
        <v>0</v>
      </c>
      <c r="P81" s="88">
        <f t="shared" si="11"/>
        <v>0</v>
      </c>
      <c r="Q81" s="88">
        <f t="shared" si="12"/>
        <v>0</v>
      </c>
      <c r="R81" s="88">
        <f t="shared" si="13"/>
        <v>0</v>
      </c>
      <c r="S81" s="88">
        <f t="shared" si="14"/>
        <v>0</v>
      </c>
      <c r="T81" s="88">
        <f t="shared" si="15"/>
        <v>0</v>
      </c>
      <c r="U81" s="88">
        <f t="shared" si="16"/>
        <v>0</v>
      </c>
      <c r="V81" s="88">
        <f t="shared" si="17"/>
        <v>0</v>
      </c>
      <c r="W81" s="88">
        <f t="shared" si="18"/>
        <v>0</v>
      </c>
      <c r="X81" s="88">
        <f t="shared" si="19"/>
        <v>0</v>
      </c>
      <c r="Z81" s="51" t="s">
        <v>244</v>
      </c>
      <c r="AA81" s="52">
        <f>IF('Year 1 Results'!AA81*COUNTIF('Event Trigger'!$C:$C,'Year 2 Results'!$Z81)&gt;SUMIF('Event Trigger'!$C:$C,$Z81,D:D),0,'Year 1 Results'!AA81)</f>
        <v>0</v>
      </c>
      <c r="AB81" s="52">
        <f>IF('Year 1 Results'!AB81*COUNTIF('Event Trigger'!$C:$C,'Year 2 Results'!$Z81)&gt;SUMIF('Event Trigger'!$C:$C,$Z81,E:E),0,'Year 1 Results'!AB81)</f>
        <v>0</v>
      </c>
      <c r="AC81" s="52">
        <f>IF('Year 1 Results'!AC81*COUNTIF('Event Trigger'!$C:$C,'Year 2 Results'!$Z81)&gt;SUMIF('Event Trigger'!$C:$C,$Z81,F:F),0,'Year 1 Results'!AC81)</f>
        <v>0</v>
      </c>
      <c r="AD81" s="52">
        <f>IF('Year 1 Results'!AD81*COUNTIF('Event Trigger'!$C:$C,'Year 2 Results'!$Z81)&gt;SUMIF('Event Trigger'!$C:$C,$Z81,G:G),0,'Year 1 Results'!AD81)</f>
        <v>0</v>
      </c>
      <c r="AE81" s="52">
        <f>IF('Year 1 Results'!AE81*COUNTIF('Event Trigger'!$C:$C,'Year 2 Results'!$Z81)&gt;SUMIF('Event Trigger'!$C:$C,$Z81,H:H),0,'Year 1 Results'!AE81)</f>
        <v>0</v>
      </c>
      <c r="AF81" s="52">
        <f>IF('Year 1 Results'!AF81*COUNTIF('Event Trigger'!$C:$C,'Year 2 Results'!$Z81)&gt;SUMIF('Event Trigger'!$C:$C,$Z81,I:I),0,'Year 1 Results'!AF81)</f>
        <v>0</v>
      </c>
      <c r="AG81" s="52">
        <f>IF('Year 1 Results'!AG81*COUNTIF('Event Trigger'!$C:$C,'Year 2 Results'!$Z81)&gt;SUMIF('Event Trigger'!$C:$C,$Z81,J:J),0,'Year 1 Results'!AG81)</f>
        <v>0</v>
      </c>
      <c r="AH81" s="52">
        <f>IF('Year 1 Results'!AH81*COUNTIF('Event Trigger'!$C:$C,'Year 2 Results'!$Z81)&gt;SUMIF('Event Trigger'!$C:$C,$Z81,K:K),0,'Year 1 Results'!AH81)</f>
        <v>0</v>
      </c>
      <c r="AI81" s="52">
        <f>IF('Year 1 Results'!AI81*COUNTIF('Event Trigger'!$C:$C,'Year 2 Results'!$Z81)&gt;SUMIF('Event Trigger'!$C:$C,$Z81,L:L),0,'Year 1 Results'!AI81)</f>
        <v>0</v>
      </c>
      <c r="AJ81" s="52">
        <f>IF('Year 1 Results'!AJ81*COUNTIF('Event Trigger'!$C:$C,'Year 2 Results'!$Z81)&gt;SUMIF('Event Trigger'!$C:$C,$Z81,M:M),0,'Year 1 Results'!AJ81)</f>
        <v>0</v>
      </c>
    </row>
    <row r="82" spans="1:36" x14ac:dyDescent="0.25">
      <c r="A82" s="37" t="str">
        <f>'Risk Master'!B82:B183&amp;"-"&amp;'Risk Master'!D82</f>
        <v>Fire-Germany</v>
      </c>
      <c r="B82" s="37" t="str">
        <f>'Input Sheet year 2'!B83</f>
        <v>Fire-Germany</v>
      </c>
      <c r="C82" s="29" t="str">
        <f>'Risk Master'!F82</f>
        <v>A23</v>
      </c>
      <c r="D82" s="73">
        <f>'Year 1 Results'!O82*-1+('Year 1 Results'!O82*'Event Trigger'!$E83*(1-'Input Sheet year 2'!H83))</f>
        <v>0</v>
      </c>
      <c r="E82" s="73">
        <f>'Year 1 Results'!P82*-1+('Year 1 Results'!P82*'Event Trigger'!$E83*(1-'Input Sheet year 2'!I83))</f>
        <v>0</v>
      </c>
      <c r="F82" s="73">
        <f>'Year 1 Results'!Q82*-1+('Year 1 Results'!Q82*'Event Trigger'!$E83*(1-'Input Sheet year 2'!J83))</f>
        <v>300000</v>
      </c>
      <c r="G82" s="73">
        <f>'Year 1 Results'!R82*-1+('Year 1 Results'!R82*'Event Trigger'!$E83*(1-'Input Sheet year 2'!K83))</f>
        <v>0</v>
      </c>
      <c r="H82" s="73">
        <f>'Year 1 Results'!S82*-1+('Year 1 Results'!S82*'Event Trigger'!$E83*(1-'Input Sheet year 2'!L83))</f>
        <v>0</v>
      </c>
      <c r="I82" s="73">
        <f>'Year 1 Results'!T82*-1+('Year 1 Results'!T82*'Event Trigger'!$E83*(1-'Input Sheet year 2'!M83))</f>
        <v>300000</v>
      </c>
      <c r="J82" s="73">
        <f>'Year 1 Results'!U82*-1+('Year 1 Results'!U82*'Event Trigger'!$E83*(1-'Input Sheet year 2'!N83))</f>
        <v>0</v>
      </c>
      <c r="K82" s="73">
        <f>'Year 1 Results'!V82*-1+('Year 1 Results'!V82*'Event Trigger'!$E83*(1-'Input Sheet year 2'!O83))</f>
        <v>0</v>
      </c>
      <c r="L82" s="73">
        <f>'Year 1 Results'!W82*-1+('Year 1 Results'!W82*'Event Trigger'!$E83*(1-'Input Sheet year 2'!P83))</f>
        <v>300000</v>
      </c>
      <c r="M82" s="73">
        <f>'Year 1 Results'!X82*-1+('Year 1 Results'!X82*'Event Trigger'!$E83*(1-'Input Sheet year 2'!Q83))</f>
        <v>0</v>
      </c>
      <c r="N82" s="88"/>
      <c r="O82" s="88">
        <f t="shared" si="10"/>
        <v>0</v>
      </c>
      <c r="P82" s="88">
        <f t="shared" si="11"/>
        <v>0</v>
      </c>
      <c r="Q82" s="88">
        <f t="shared" si="12"/>
        <v>0</v>
      </c>
      <c r="R82" s="88">
        <f t="shared" si="13"/>
        <v>0</v>
      </c>
      <c r="S82" s="88">
        <f t="shared" si="14"/>
        <v>0</v>
      </c>
      <c r="T82" s="88">
        <f t="shared" si="15"/>
        <v>0</v>
      </c>
      <c r="U82" s="88">
        <f t="shared" si="16"/>
        <v>0</v>
      </c>
      <c r="V82" s="88">
        <f t="shared" si="17"/>
        <v>0</v>
      </c>
      <c r="W82" s="88">
        <f t="shared" si="18"/>
        <v>0</v>
      </c>
      <c r="X82" s="88">
        <f t="shared" si="19"/>
        <v>0</v>
      </c>
      <c r="Z82" s="51" t="s">
        <v>245</v>
      </c>
      <c r="AA82" s="52">
        <f>IF('Year 1 Results'!AA82*COUNTIF('Event Trigger'!$C:$C,'Year 2 Results'!$Z82)&gt;SUMIF('Event Trigger'!$C:$C,$Z82,D:D),0,'Year 1 Results'!AA82)</f>
        <v>0</v>
      </c>
      <c r="AB82" s="52">
        <f>IF('Year 1 Results'!AB82*COUNTIF('Event Trigger'!$C:$C,'Year 2 Results'!$Z82)&gt;SUMIF('Event Trigger'!$C:$C,$Z82,E:E),0,'Year 1 Results'!AB82)</f>
        <v>0</v>
      </c>
      <c r="AC82" s="52">
        <f>IF('Year 1 Results'!AC82*COUNTIF('Event Trigger'!$C:$C,'Year 2 Results'!$Z82)&gt;SUMIF('Event Trigger'!$C:$C,$Z82,F:F),0,'Year 1 Results'!AC82)</f>
        <v>200000</v>
      </c>
      <c r="AD82" s="52">
        <f>IF('Year 1 Results'!AD82*COUNTIF('Event Trigger'!$C:$C,'Year 2 Results'!$Z82)&gt;SUMIF('Event Trigger'!$C:$C,$Z82,G:G),0,'Year 1 Results'!AD82)</f>
        <v>0</v>
      </c>
      <c r="AE82" s="52">
        <f>IF('Year 1 Results'!AE82*COUNTIF('Event Trigger'!$C:$C,'Year 2 Results'!$Z82)&gt;SUMIF('Event Trigger'!$C:$C,$Z82,H:H),0,'Year 1 Results'!AE82)</f>
        <v>200000</v>
      </c>
      <c r="AF82" s="52">
        <f>IF('Year 1 Results'!AF82*COUNTIF('Event Trigger'!$C:$C,'Year 2 Results'!$Z82)&gt;SUMIF('Event Trigger'!$C:$C,$Z82,I:I),0,'Year 1 Results'!AF82)</f>
        <v>0</v>
      </c>
      <c r="AG82" s="52">
        <f>IF('Year 1 Results'!AG82*COUNTIF('Event Trigger'!$C:$C,'Year 2 Results'!$Z82)&gt;SUMIF('Event Trigger'!$C:$C,$Z82,J:J),0,'Year 1 Results'!AG82)</f>
        <v>0</v>
      </c>
      <c r="AH82" s="52">
        <f>IF('Year 1 Results'!AH82*COUNTIF('Event Trigger'!$C:$C,'Year 2 Results'!$Z82)&gt;SUMIF('Event Trigger'!$C:$C,$Z82,K:K),0,'Year 1 Results'!AH82)</f>
        <v>0</v>
      </c>
      <c r="AI82" s="52">
        <f>IF('Year 1 Results'!AI82*COUNTIF('Event Trigger'!$C:$C,'Year 2 Results'!$Z82)&gt;SUMIF('Event Trigger'!$C:$C,$Z82,L:L),0,'Year 1 Results'!AI82)</f>
        <v>0</v>
      </c>
      <c r="AJ82" s="52">
        <f>IF('Year 1 Results'!AJ82*COUNTIF('Event Trigger'!$C:$C,'Year 2 Results'!$Z82)&gt;SUMIF('Event Trigger'!$C:$C,$Z82,M:M),0,'Year 1 Results'!AJ82)</f>
        <v>0</v>
      </c>
    </row>
    <row r="83" spans="1:36" ht="25.5" x14ac:dyDescent="0.25">
      <c r="A83" s="37" t="str">
        <f>'Risk Master'!B83:B183&amp;"-"&amp;'Risk Master'!D83</f>
        <v>Thunderstorms, Tornados &amp; Hail-Germany</v>
      </c>
      <c r="B83" s="37" t="str">
        <f>'Input Sheet year 2'!B84</f>
        <v>Thunderstorms, Tornados &amp; Hail-Germany</v>
      </c>
      <c r="C83" s="29" t="str">
        <f>'Risk Master'!F83</f>
        <v>A23</v>
      </c>
      <c r="D83" s="73">
        <f>'Year 1 Results'!O83*-1+('Year 1 Results'!O83*'Event Trigger'!$E84*(1-'Input Sheet year 2'!H84))</f>
        <v>0</v>
      </c>
      <c r="E83" s="73">
        <f>'Year 1 Results'!P83*-1+('Year 1 Results'!P83*'Event Trigger'!$E84*(1-'Input Sheet year 2'!I84))</f>
        <v>0</v>
      </c>
      <c r="F83" s="73">
        <f>'Year 1 Results'!Q83*-1+('Year 1 Results'!Q83*'Event Trigger'!$E84*(1-'Input Sheet year 2'!J84))</f>
        <v>0</v>
      </c>
      <c r="G83" s="73">
        <f>'Year 1 Results'!R83*-1+('Year 1 Results'!R83*'Event Trigger'!$E84*(1-'Input Sheet year 2'!K84))</f>
        <v>0</v>
      </c>
      <c r="H83" s="73">
        <f>'Year 1 Results'!S83*-1+('Year 1 Results'!S83*'Event Trigger'!$E84*(1-'Input Sheet year 2'!L84))</f>
        <v>0</v>
      </c>
      <c r="I83" s="73">
        <f>'Year 1 Results'!T83*-1+('Year 1 Results'!T83*'Event Trigger'!$E84*(1-'Input Sheet year 2'!M84))</f>
        <v>0</v>
      </c>
      <c r="J83" s="73">
        <f>'Year 1 Results'!U83*-1+('Year 1 Results'!U83*'Event Trigger'!$E84*(1-'Input Sheet year 2'!N84))</f>
        <v>0</v>
      </c>
      <c r="K83" s="73">
        <f>'Year 1 Results'!V83*-1+('Year 1 Results'!V83*'Event Trigger'!$E84*(1-'Input Sheet year 2'!O84))</f>
        <v>0</v>
      </c>
      <c r="L83" s="73">
        <f>'Year 1 Results'!W83*-1+('Year 1 Results'!W83*'Event Trigger'!$E84*(1-'Input Sheet year 2'!P84))</f>
        <v>0</v>
      </c>
      <c r="M83" s="73">
        <f>'Year 1 Results'!X83*-1+('Year 1 Results'!X83*'Event Trigger'!$E84*(1-'Input Sheet year 2'!Q84))</f>
        <v>0</v>
      </c>
      <c r="N83" s="88"/>
      <c r="O83" s="88">
        <f t="shared" si="10"/>
        <v>0</v>
      </c>
      <c r="P83" s="88">
        <f t="shared" si="11"/>
        <v>0</v>
      </c>
      <c r="Q83" s="88">
        <f t="shared" si="12"/>
        <v>0</v>
      </c>
      <c r="R83" s="88">
        <f t="shared" si="13"/>
        <v>0</v>
      </c>
      <c r="S83" s="88">
        <f t="shared" si="14"/>
        <v>0</v>
      </c>
      <c r="T83" s="88">
        <f t="shared" si="15"/>
        <v>0</v>
      </c>
      <c r="U83" s="88">
        <f t="shared" si="16"/>
        <v>0</v>
      </c>
      <c r="V83" s="88">
        <f t="shared" si="17"/>
        <v>0</v>
      </c>
      <c r="W83" s="88">
        <f t="shared" si="18"/>
        <v>0</v>
      </c>
      <c r="X83" s="88">
        <f t="shared" si="19"/>
        <v>0</v>
      </c>
      <c r="Z83" s="51" t="s">
        <v>246</v>
      </c>
      <c r="AA83" s="52">
        <f>IF('Year 1 Results'!AA83*COUNTIF('Event Trigger'!$C:$C,'Year 2 Results'!$Z83)&gt;SUMIF('Event Trigger'!$C:$C,$Z83,D:D),0,'Year 1 Results'!AA83)</f>
        <v>0</v>
      </c>
      <c r="AB83" s="52">
        <f>IF('Year 1 Results'!AB83*COUNTIF('Event Trigger'!$C:$C,'Year 2 Results'!$Z83)&gt;SUMIF('Event Trigger'!$C:$C,$Z83,E:E),0,'Year 1 Results'!AB83)</f>
        <v>0</v>
      </c>
      <c r="AC83" s="52">
        <f>IF('Year 1 Results'!AC83*COUNTIF('Event Trigger'!$C:$C,'Year 2 Results'!$Z83)&gt;SUMIF('Event Trigger'!$C:$C,$Z83,F:F),0,'Year 1 Results'!AC83)</f>
        <v>0</v>
      </c>
      <c r="AD83" s="52">
        <f>IF('Year 1 Results'!AD83*COUNTIF('Event Trigger'!$C:$C,'Year 2 Results'!$Z83)&gt;SUMIF('Event Trigger'!$C:$C,$Z83,G:G),0,'Year 1 Results'!AD83)</f>
        <v>0</v>
      </c>
      <c r="AE83" s="52">
        <f>IF('Year 1 Results'!AE83*COUNTIF('Event Trigger'!$C:$C,'Year 2 Results'!$Z83)&gt;SUMIF('Event Trigger'!$C:$C,$Z83,H:H),0,'Year 1 Results'!AE83)</f>
        <v>0</v>
      </c>
      <c r="AF83" s="52">
        <f>IF('Year 1 Results'!AF83*COUNTIF('Event Trigger'!$C:$C,'Year 2 Results'!$Z83)&gt;SUMIF('Event Trigger'!$C:$C,$Z83,I:I),0,'Year 1 Results'!AF83)</f>
        <v>0</v>
      </c>
      <c r="AG83" s="52">
        <f>IF('Year 1 Results'!AG83*COUNTIF('Event Trigger'!$C:$C,'Year 2 Results'!$Z83)&gt;SUMIF('Event Trigger'!$C:$C,$Z83,J:J),0,'Year 1 Results'!AG83)</f>
        <v>0</v>
      </c>
      <c r="AH83" s="52">
        <f>IF('Year 1 Results'!AH83*COUNTIF('Event Trigger'!$C:$C,'Year 2 Results'!$Z83)&gt;SUMIF('Event Trigger'!$C:$C,$Z83,K:K),0,'Year 1 Results'!AH83)</f>
        <v>0</v>
      </c>
      <c r="AI83" s="52">
        <f>IF('Year 1 Results'!AI83*COUNTIF('Event Trigger'!$C:$C,'Year 2 Results'!$Z83)&gt;SUMIF('Event Trigger'!$C:$C,$Z83,L:L),0,'Year 1 Results'!AI83)</f>
        <v>0</v>
      </c>
      <c r="AJ83" s="52">
        <f>IF('Year 1 Results'!AJ83*COUNTIF('Event Trigger'!$C:$C,'Year 2 Results'!$Z83)&gt;SUMIF('Event Trigger'!$C:$C,$Z83,M:M),0,'Year 1 Results'!AJ83)</f>
        <v>0</v>
      </c>
    </row>
    <row r="84" spans="1:36" x14ac:dyDescent="0.25">
      <c r="A84" s="37" t="str">
        <f>'Risk Master'!B84:B183&amp;"-"&amp;'Risk Master'!D84</f>
        <v>Hurricane-Typhoon -Germany</v>
      </c>
      <c r="B84" s="37" t="str">
        <f>'Input Sheet year 2'!B85</f>
        <v>Hurricane-Typhoon -Germany</v>
      </c>
      <c r="C84" s="29" t="str">
        <f>'Risk Master'!F84</f>
        <v>A25</v>
      </c>
      <c r="D84" s="73">
        <f>'Year 1 Results'!O84*-1+('Year 1 Results'!O84*'Event Trigger'!$E85*(1-'Input Sheet year 2'!H85))</f>
        <v>300000</v>
      </c>
      <c r="E84" s="73">
        <f>'Year 1 Results'!P84*-1+('Year 1 Results'!P84*'Event Trigger'!$E85*(1-'Input Sheet year 2'!I85))</f>
        <v>300000</v>
      </c>
      <c r="F84" s="73">
        <f>'Year 1 Results'!Q84*-1+('Year 1 Results'!Q84*'Event Trigger'!$E85*(1-'Input Sheet year 2'!J85))</f>
        <v>300000</v>
      </c>
      <c r="G84" s="73">
        <f>'Year 1 Results'!R84*-1+('Year 1 Results'!R84*'Event Trigger'!$E85*(1-'Input Sheet year 2'!K85))</f>
        <v>300000</v>
      </c>
      <c r="H84" s="73">
        <f>'Year 1 Results'!S84*-1+('Year 1 Results'!S84*'Event Trigger'!$E85*(1-'Input Sheet year 2'!L85))</f>
        <v>300000</v>
      </c>
      <c r="I84" s="73">
        <f>'Year 1 Results'!T84*-1+('Year 1 Results'!T84*'Event Trigger'!$E85*(1-'Input Sheet year 2'!M85))</f>
        <v>300000</v>
      </c>
      <c r="J84" s="73">
        <f>'Year 1 Results'!U84*-1+('Year 1 Results'!U84*'Event Trigger'!$E85*(1-'Input Sheet year 2'!N85))</f>
        <v>300000</v>
      </c>
      <c r="K84" s="73">
        <f>'Year 1 Results'!V84*-1+('Year 1 Results'!V84*'Event Trigger'!$E85*(1-'Input Sheet year 2'!O85))</f>
        <v>300000</v>
      </c>
      <c r="L84" s="73">
        <f>'Year 1 Results'!W84*-1+('Year 1 Results'!W84*'Event Trigger'!$E85*(1-'Input Sheet year 2'!P85))</f>
        <v>300000</v>
      </c>
      <c r="M84" s="73">
        <f>'Year 1 Results'!X84*-1+('Year 1 Results'!X84*'Event Trigger'!$E85*(1-'Input Sheet year 2'!Q85))</f>
        <v>300000</v>
      </c>
      <c r="N84" s="88"/>
      <c r="O84" s="88">
        <f t="shared" si="10"/>
        <v>0</v>
      </c>
      <c r="P84" s="88">
        <f t="shared" si="11"/>
        <v>0</v>
      </c>
      <c r="Q84" s="88">
        <f t="shared" si="12"/>
        <v>0</v>
      </c>
      <c r="R84" s="88">
        <f t="shared" si="13"/>
        <v>0</v>
      </c>
      <c r="S84" s="88">
        <f t="shared" si="14"/>
        <v>0</v>
      </c>
      <c r="T84" s="88">
        <f t="shared" si="15"/>
        <v>0</v>
      </c>
      <c r="U84" s="88">
        <f t="shared" si="16"/>
        <v>0</v>
      </c>
      <c r="V84" s="88">
        <f t="shared" si="17"/>
        <v>0</v>
      </c>
      <c r="W84" s="88">
        <f t="shared" si="18"/>
        <v>0</v>
      </c>
      <c r="X84" s="88">
        <f t="shared" si="19"/>
        <v>0</v>
      </c>
      <c r="Z84" s="51" t="s">
        <v>247</v>
      </c>
      <c r="AA84" s="52">
        <f>IF('Year 1 Results'!AA84*COUNTIF('Event Trigger'!$C:$C,'Year 2 Results'!$Z84)&gt;SUMIF('Event Trigger'!$C:$C,$Z84,D:D),0,'Year 1 Results'!AA84)</f>
        <v>0</v>
      </c>
      <c r="AB84" s="52">
        <f>IF('Year 1 Results'!AB84*COUNTIF('Event Trigger'!$C:$C,'Year 2 Results'!$Z84)&gt;SUMIF('Event Trigger'!$C:$C,$Z84,E:E),0,'Year 1 Results'!AB84)</f>
        <v>0</v>
      </c>
      <c r="AC84" s="52">
        <f>IF('Year 1 Results'!AC84*COUNTIF('Event Trigger'!$C:$C,'Year 2 Results'!$Z84)&gt;SUMIF('Event Trigger'!$C:$C,$Z84,F:F),0,'Year 1 Results'!AC84)</f>
        <v>0</v>
      </c>
      <c r="AD84" s="52">
        <f>IF('Year 1 Results'!AD84*COUNTIF('Event Trigger'!$C:$C,'Year 2 Results'!$Z84)&gt;SUMIF('Event Trigger'!$C:$C,$Z84,G:G),0,'Year 1 Results'!AD84)</f>
        <v>0</v>
      </c>
      <c r="AE84" s="52">
        <f>IF('Year 1 Results'!AE84*COUNTIF('Event Trigger'!$C:$C,'Year 2 Results'!$Z84)&gt;SUMIF('Event Trigger'!$C:$C,$Z84,H:H),0,'Year 1 Results'!AE84)</f>
        <v>0</v>
      </c>
      <c r="AF84" s="52">
        <f>IF('Year 1 Results'!AF84*COUNTIF('Event Trigger'!$C:$C,'Year 2 Results'!$Z84)&gt;SUMIF('Event Trigger'!$C:$C,$Z84,I:I),0,'Year 1 Results'!AF84)</f>
        <v>0</v>
      </c>
      <c r="AG84" s="52">
        <f>IF('Year 1 Results'!AG84*COUNTIF('Event Trigger'!$C:$C,'Year 2 Results'!$Z84)&gt;SUMIF('Event Trigger'!$C:$C,$Z84,J:J),0,'Year 1 Results'!AG84)</f>
        <v>0</v>
      </c>
      <c r="AH84" s="52">
        <f>IF('Year 1 Results'!AH84*COUNTIF('Event Trigger'!$C:$C,'Year 2 Results'!$Z84)&gt;SUMIF('Event Trigger'!$C:$C,$Z84,K:K),0,'Year 1 Results'!AH84)</f>
        <v>0</v>
      </c>
      <c r="AI84" s="52">
        <f>IF('Year 1 Results'!AI84*COUNTIF('Event Trigger'!$C:$C,'Year 2 Results'!$Z84)&gt;SUMIF('Event Trigger'!$C:$C,$Z84,L:L),0,'Year 1 Results'!AI84)</f>
        <v>0</v>
      </c>
      <c r="AJ84" s="52">
        <f>IF('Year 1 Results'!AJ84*COUNTIF('Event Trigger'!$C:$C,'Year 2 Results'!$Z84)&gt;SUMIF('Event Trigger'!$C:$C,$Z84,M:M),0,'Year 1 Results'!AJ84)</f>
        <v>300000</v>
      </c>
    </row>
    <row r="85" spans="1:36" x14ac:dyDescent="0.25">
      <c r="A85" s="37" t="str">
        <f>'Risk Master'!B85:B183&amp;"-"&amp;'Risk Master'!D85</f>
        <v>Earthquake-Germany</v>
      </c>
      <c r="B85" s="37" t="str">
        <f>'Input Sheet year 2'!B86</f>
        <v>Earthquake-Germany</v>
      </c>
      <c r="C85" s="29" t="str">
        <f>'Risk Master'!F85</f>
        <v>A25</v>
      </c>
      <c r="D85" s="73">
        <f>'Year 1 Results'!O85*-1+('Year 1 Results'!O85*'Event Trigger'!$E86*(1-'Input Sheet year 2'!H86))</f>
        <v>0</v>
      </c>
      <c r="E85" s="73">
        <f>'Year 1 Results'!P85*-1+('Year 1 Results'!P85*'Event Trigger'!$E86*(1-'Input Sheet year 2'!I86))</f>
        <v>0</v>
      </c>
      <c r="F85" s="73">
        <f>'Year 1 Results'!Q85*-1+('Year 1 Results'!Q85*'Event Trigger'!$E86*(1-'Input Sheet year 2'!J86))</f>
        <v>0</v>
      </c>
      <c r="G85" s="73">
        <f>'Year 1 Results'!R85*-1+('Year 1 Results'!R85*'Event Trigger'!$E86*(1-'Input Sheet year 2'!K86))</f>
        <v>0</v>
      </c>
      <c r="H85" s="73">
        <f>'Year 1 Results'!S85*-1+('Year 1 Results'!S85*'Event Trigger'!$E86*(1-'Input Sheet year 2'!L86))</f>
        <v>0</v>
      </c>
      <c r="I85" s="73">
        <f>'Year 1 Results'!T85*-1+('Year 1 Results'!T85*'Event Trigger'!$E86*(1-'Input Sheet year 2'!M86))</f>
        <v>0</v>
      </c>
      <c r="J85" s="73">
        <f>'Year 1 Results'!U85*-1+('Year 1 Results'!U85*'Event Trigger'!$E86*(1-'Input Sheet year 2'!N86))</f>
        <v>0</v>
      </c>
      <c r="K85" s="73">
        <f>'Year 1 Results'!V85*-1+('Year 1 Results'!V85*'Event Trigger'!$E86*(1-'Input Sheet year 2'!O86))</f>
        <v>0</v>
      </c>
      <c r="L85" s="73">
        <f>'Year 1 Results'!W85*-1+('Year 1 Results'!W85*'Event Trigger'!$E86*(1-'Input Sheet year 2'!P86))</f>
        <v>0</v>
      </c>
      <c r="M85" s="73">
        <f>'Year 1 Results'!X85*-1+('Year 1 Results'!X85*'Event Trigger'!$E86*(1-'Input Sheet year 2'!Q86))</f>
        <v>0</v>
      </c>
      <c r="N85" s="88"/>
      <c r="O85" s="88">
        <f t="shared" si="10"/>
        <v>0</v>
      </c>
      <c r="P85" s="88">
        <f t="shared" si="11"/>
        <v>0</v>
      </c>
      <c r="Q85" s="88">
        <f t="shared" si="12"/>
        <v>0</v>
      </c>
      <c r="R85" s="88">
        <f t="shared" si="13"/>
        <v>0</v>
      </c>
      <c r="S85" s="88">
        <f t="shared" si="14"/>
        <v>0</v>
      </c>
      <c r="T85" s="88">
        <f t="shared" si="15"/>
        <v>0</v>
      </c>
      <c r="U85" s="88">
        <f t="shared" si="16"/>
        <v>0</v>
      </c>
      <c r="V85" s="88">
        <f t="shared" si="17"/>
        <v>0</v>
      </c>
      <c r="W85" s="88">
        <f t="shared" si="18"/>
        <v>0</v>
      </c>
      <c r="X85" s="88">
        <f t="shared" si="19"/>
        <v>0</v>
      </c>
      <c r="Z85" s="51" t="s">
        <v>248</v>
      </c>
      <c r="AA85" s="52">
        <f>IF('Year 1 Results'!AA85*COUNTIF('Event Trigger'!$C:$C,'Year 2 Results'!$Z85)&gt;SUMIF('Event Trigger'!$C:$C,$Z85,D:D),0,'Year 1 Results'!AA85)</f>
        <v>0</v>
      </c>
      <c r="AB85" s="52">
        <f>IF('Year 1 Results'!AB85*COUNTIF('Event Trigger'!$C:$C,'Year 2 Results'!$Z85)&gt;SUMIF('Event Trigger'!$C:$C,$Z85,E:E),0,'Year 1 Results'!AB85)</f>
        <v>0</v>
      </c>
      <c r="AC85" s="52">
        <f>IF('Year 1 Results'!AC85*COUNTIF('Event Trigger'!$C:$C,'Year 2 Results'!$Z85)&gt;SUMIF('Event Trigger'!$C:$C,$Z85,F:F),0,'Year 1 Results'!AC85)</f>
        <v>0</v>
      </c>
      <c r="AD85" s="52">
        <f>IF('Year 1 Results'!AD85*COUNTIF('Event Trigger'!$C:$C,'Year 2 Results'!$Z85)&gt;SUMIF('Event Trigger'!$C:$C,$Z85,G:G),0,'Year 1 Results'!AD85)</f>
        <v>0</v>
      </c>
      <c r="AE85" s="52">
        <f>IF('Year 1 Results'!AE85*COUNTIF('Event Trigger'!$C:$C,'Year 2 Results'!$Z85)&gt;SUMIF('Event Trigger'!$C:$C,$Z85,H:H),0,'Year 1 Results'!AE85)</f>
        <v>0</v>
      </c>
      <c r="AF85" s="52">
        <f>IF('Year 1 Results'!AF85*COUNTIF('Event Trigger'!$C:$C,'Year 2 Results'!$Z85)&gt;SUMIF('Event Trigger'!$C:$C,$Z85,I:I),0,'Year 1 Results'!AF85)</f>
        <v>0</v>
      </c>
      <c r="AG85" s="52">
        <f>IF('Year 1 Results'!AG85*COUNTIF('Event Trigger'!$C:$C,'Year 2 Results'!$Z85)&gt;SUMIF('Event Trigger'!$C:$C,$Z85,J:J),0,'Year 1 Results'!AG85)</f>
        <v>0</v>
      </c>
      <c r="AH85" s="52">
        <f>IF('Year 1 Results'!AH85*COUNTIF('Event Trigger'!$C:$C,'Year 2 Results'!$Z85)&gt;SUMIF('Event Trigger'!$C:$C,$Z85,K:K),0,'Year 1 Results'!AH85)</f>
        <v>0</v>
      </c>
      <c r="AI85" s="52">
        <f>IF('Year 1 Results'!AI85*COUNTIF('Event Trigger'!$C:$C,'Year 2 Results'!$Z85)&gt;SUMIF('Event Trigger'!$C:$C,$Z85,L:L),0,'Year 1 Results'!AI85)</f>
        <v>0</v>
      </c>
      <c r="AJ85" s="52">
        <f>IF('Year 1 Results'!AJ85*COUNTIF('Event Trigger'!$C:$C,'Year 2 Results'!$Z85)&gt;SUMIF('Event Trigger'!$C:$C,$Z85,M:M),0,'Year 1 Results'!AJ85)</f>
        <v>0</v>
      </c>
    </row>
    <row r="86" spans="1:36" x14ac:dyDescent="0.25">
      <c r="A86" s="37" t="str">
        <f>'Risk Master'!B86:B183&amp;"-"&amp;'Risk Master'!D86</f>
        <v>Fire-Germany</v>
      </c>
      <c r="B86" s="37" t="str">
        <f>'Input Sheet year 2'!B87</f>
        <v>Fire-Germany</v>
      </c>
      <c r="C86" s="29" t="str">
        <f>'Risk Master'!F86</f>
        <v>A25</v>
      </c>
      <c r="D86" s="73">
        <f>'Year 1 Results'!O86*-1+('Year 1 Results'!O86*'Event Trigger'!$E87*(1-'Input Sheet year 2'!H87))</f>
        <v>0</v>
      </c>
      <c r="E86" s="73">
        <f>'Year 1 Results'!P86*-1+('Year 1 Results'!P86*'Event Trigger'!$E87*(1-'Input Sheet year 2'!I87))</f>
        <v>0</v>
      </c>
      <c r="F86" s="73">
        <f>'Year 1 Results'!Q86*-1+('Year 1 Results'!Q86*'Event Trigger'!$E87*(1-'Input Sheet year 2'!J87))</f>
        <v>0</v>
      </c>
      <c r="G86" s="73">
        <f>'Year 1 Results'!R86*-1+('Year 1 Results'!R86*'Event Trigger'!$E87*(1-'Input Sheet year 2'!K87))</f>
        <v>0</v>
      </c>
      <c r="H86" s="73">
        <f>'Year 1 Results'!S86*-1+('Year 1 Results'!S86*'Event Trigger'!$E87*(1-'Input Sheet year 2'!L87))</f>
        <v>0</v>
      </c>
      <c r="I86" s="73">
        <f>'Year 1 Results'!T86*-1+('Year 1 Results'!T86*'Event Trigger'!$E87*(1-'Input Sheet year 2'!M87))</f>
        <v>0</v>
      </c>
      <c r="J86" s="73">
        <f>'Year 1 Results'!U86*-1+('Year 1 Results'!U86*'Event Trigger'!$E87*(1-'Input Sheet year 2'!N87))</f>
        <v>0</v>
      </c>
      <c r="K86" s="73">
        <f>'Year 1 Results'!V86*-1+('Year 1 Results'!V86*'Event Trigger'!$E87*(1-'Input Sheet year 2'!O87))</f>
        <v>0</v>
      </c>
      <c r="L86" s="73">
        <f>'Year 1 Results'!W86*-1+('Year 1 Results'!W86*'Event Trigger'!$E87*(1-'Input Sheet year 2'!P87))</f>
        <v>300000</v>
      </c>
      <c r="M86" s="73">
        <f>'Year 1 Results'!X86*-1+('Year 1 Results'!X86*'Event Trigger'!$E87*(1-'Input Sheet year 2'!Q87))</f>
        <v>0</v>
      </c>
      <c r="N86" s="88"/>
      <c r="O86" s="88">
        <f t="shared" si="10"/>
        <v>0</v>
      </c>
      <c r="P86" s="88">
        <f t="shared" si="11"/>
        <v>0</v>
      </c>
      <c r="Q86" s="88">
        <f t="shared" si="12"/>
        <v>0</v>
      </c>
      <c r="R86" s="88">
        <f t="shared" si="13"/>
        <v>0</v>
      </c>
      <c r="S86" s="88">
        <f t="shared" si="14"/>
        <v>0</v>
      </c>
      <c r="T86" s="88">
        <f t="shared" si="15"/>
        <v>0</v>
      </c>
      <c r="U86" s="88">
        <f t="shared" si="16"/>
        <v>0</v>
      </c>
      <c r="V86" s="88">
        <f t="shared" si="17"/>
        <v>0</v>
      </c>
      <c r="W86" s="88">
        <f t="shared" si="18"/>
        <v>0</v>
      </c>
      <c r="X86" s="88">
        <f t="shared" si="19"/>
        <v>0</v>
      </c>
      <c r="Z86" s="51" t="s">
        <v>249</v>
      </c>
      <c r="AA86" s="52">
        <f>IF('Year 1 Results'!AA86*COUNTIF('Event Trigger'!$C:$C,'Year 2 Results'!$Z86)&gt;SUMIF('Event Trigger'!$C:$C,$Z86,D:D),0,'Year 1 Results'!AA86)</f>
        <v>0</v>
      </c>
      <c r="AB86" s="52">
        <f>IF('Year 1 Results'!AB86*COUNTIF('Event Trigger'!$C:$C,'Year 2 Results'!$Z86)&gt;SUMIF('Event Trigger'!$C:$C,$Z86,E:E),0,'Year 1 Results'!AB86)</f>
        <v>0</v>
      </c>
      <c r="AC86" s="52">
        <f>IF('Year 1 Results'!AC86*COUNTIF('Event Trigger'!$C:$C,'Year 2 Results'!$Z86)&gt;SUMIF('Event Trigger'!$C:$C,$Z86,F:F),0,'Year 1 Results'!AC86)</f>
        <v>0</v>
      </c>
      <c r="AD86" s="52">
        <f>IF('Year 1 Results'!AD86*COUNTIF('Event Trigger'!$C:$C,'Year 2 Results'!$Z86)&gt;SUMIF('Event Trigger'!$C:$C,$Z86,G:G),0,'Year 1 Results'!AD86)</f>
        <v>0</v>
      </c>
      <c r="AE86" s="52">
        <f>IF('Year 1 Results'!AE86*COUNTIF('Event Trigger'!$C:$C,'Year 2 Results'!$Z86)&gt;SUMIF('Event Trigger'!$C:$C,$Z86,H:H),0,'Year 1 Results'!AE86)</f>
        <v>0</v>
      </c>
      <c r="AF86" s="52">
        <f>IF('Year 1 Results'!AF86*COUNTIF('Event Trigger'!$C:$C,'Year 2 Results'!$Z86)&gt;SUMIF('Event Trigger'!$C:$C,$Z86,I:I),0,'Year 1 Results'!AF86)</f>
        <v>0</v>
      </c>
      <c r="AG86" s="52">
        <f>IF('Year 1 Results'!AG86*COUNTIF('Event Trigger'!$C:$C,'Year 2 Results'!$Z86)&gt;SUMIF('Event Trigger'!$C:$C,$Z86,J:J),0,'Year 1 Results'!AG86)</f>
        <v>0</v>
      </c>
      <c r="AH86" s="52">
        <f>IF('Year 1 Results'!AH86*COUNTIF('Event Trigger'!$C:$C,'Year 2 Results'!$Z86)&gt;SUMIF('Event Trigger'!$C:$C,$Z86,K:K),0,'Year 1 Results'!AH86)</f>
        <v>0</v>
      </c>
      <c r="AI86" s="52">
        <f>IF('Year 1 Results'!AI86*COUNTIF('Event Trigger'!$C:$C,'Year 2 Results'!$Z86)&gt;SUMIF('Event Trigger'!$C:$C,$Z86,L:L),0,'Year 1 Results'!AI86)</f>
        <v>0</v>
      </c>
      <c r="AJ86" s="52">
        <f>IF('Year 1 Results'!AJ86*COUNTIF('Event Trigger'!$C:$C,'Year 2 Results'!$Z86)&gt;SUMIF('Event Trigger'!$C:$C,$Z86,M:M),0,'Year 1 Results'!AJ86)</f>
        <v>0</v>
      </c>
    </row>
    <row r="87" spans="1:36" ht="25.5" x14ac:dyDescent="0.25">
      <c r="A87" s="37" t="str">
        <f>'Risk Master'!B87:B183&amp;"-"&amp;'Risk Master'!D87</f>
        <v>Thunderstorms, Tornados &amp; Hail-Germany</v>
      </c>
      <c r="B87" s="37" t="str">
        <f>'Input Sheet year 2'!B88</f>
        <v>Thunderstorms, Tornados &amp; Hail-Germany</v>
      </c>
      <c r="C87" s="29" t="str">
        <f>'Risk Master'!F87</f>
        <v>A25</v>
      </c>
      <c r="D87" s="73">
        <f>'Year 1 Results'!O87*-1+('Year 1 Results'!O87*'Event Trigger'!$E88*(1-'Input Sheet year 2'!H88))</f>
        <v>0</v>
      </c>
      <c r="E87" s="73">
        <f>'Year 1 Results'!P87*-1+('Year 1 Results'!P87*'Event Trigger'!$E88*(1-'Input Sheet year 2'!I88))</f>
        <v>0</v>
      </c>
      <c r="F87" s="73">
        <f>'Year 1 Results'!Q87*-1+('Year 1 Results'!Q87*'Event Trigger'!$E88*(1-'Input Sheet year 2'!J88))</f>
        <v>0</v>
      </c>
      <c r="G87" s="73">
        <f>'Year 1 Results'!R87*-1+('Year 1 Results'!R87*'Event Trigger'!$E88*(1-'Input Sheet year 2'!K88))</f>
        <v>0</v>
      </c>
      <c r="H87" s="73">
        <f>'Year 1 Results'!S87*-1+('Year 1 Results'!S87*'Event Trigger'!$E88*(1-'Input Sheet year 2'!L88))</f>
        <v>0</v>
      </c>
      <c r="I87" s="73">
        <f>'Year 1 Results'!T87*-1+('Year 1 Results'!T87*'Event Trigger'!$E88*(1-'Input Sheet year 2'!M88))</f>
        <v>0</v>
      </c>
      <c r="J87" s="73">
        <f>'Year 1 Results'!U87*-1+('Year 1 Results'!U87*'Event Trigger'!$E88*(1-'Input Sheet year 2'!N88))</f>
        <v>0</v>
      </c>
      <c r="K87" s="73">
        <f>'Year 1 Results'!V87*-1+('Year 1 Results'!V87*'Event Trigger'!$E88*(1-'Input Sheet year 2'!O88))</f>
        <v>0</v>
      </c>
      <c r="L87" s="73">
        <f>'Year 1 Results'!W87*-1+('Year 1 Results'!W87*'Event Trigger'!$E88*(1-'Input Sheet year 2'!P88))</f>
        <v>0</v>
      </c>
      <c r="M87" s="73">
        <f>'Year 1 Results'!X87*-1+('Year 1 Results'!X87*'Event Trigger'!$E88*(1-'Input Sheet year 2'!Q88))</f>
        <v>0</v>
      </c>
      <c r="N87" s="88"/>
      <c r="O87" s="88">
        <f t="shared" si="10"/>
        <v>0</v>
      </c>
      <c r="P87" s="88">
        <f t="shared" si="11"/>
        <v>0</v>
      </c>
      <c r="Q87" s="88">
        <f t="shared" si="12"/>
        <v>0</v>
      </c>
      <c r="R87" s="88">
        <f t="shared" si="13"/>
        <v>0</v>
      </c>
      <c r="S87" s="88">
        <f t="shared" si="14"/>
        <v>0</v>
      </c>
      <c r="T87" s="88">
        <f t="shared" si="15"/>
        <v>0</v>
      </c>
      <c r="U87" s="88">
        <f t="shared" si="16"/>
        <v>0</v>
      </c>
      <c r="V87" s="88">
        <f t="shared" si="17"/>
        <v>0</v>
      </c>
      <c r="W87" s="88">
        <f t="shared" si="18"/>
        <v>0</v>
      </c>
      <c r="X87" s="88">
        <f t="shared" si="19"/>
        <v>0</v>
      </c>
      <c r="Z87" s="51" t="s">
        <v>250</v>
      </c>
      <c r="AA87" s="52">
        <f>IF('Year 1 Results'!AA87*COUNTIF('Event Trigger'!$C:$C,'Year 2 Results'!$Z87)&gt;SUMIF('Event Trigger'!$C:$C,$Z87,D:D),0,'Year 1 Results'!AA87)</f>
        <v>0</v>
      </c>
      <c r="AB87" s="52">
        <f>IF('Year 1 Results'!AB87*COUNTIF('Event Trigger'!$C:$C,'Year 2 Results'!$Z87)&gt;SUMIF('Event Trigger'!$C:$C,$Z87,E:E),0,'Year 1 Results'!AB87)</f>
        <v>0</v>
      </c>
      <c r="AC87" s="52">
        <f>IF('Year 1 Results'!AC87*COUNTIF('Event Trigger'!$C:$C,'Year 2 Results'!$Z87)&gt;SUMIF('Event Trigger'!$C:$C,$Z87,F:F),0,'Year 1 Results'!AC87)</f>
        <v>0</v>
      </c>
      <c r="AD87" s="52">
        <f>IF('Year 1 Results'!AD87*COUNTIF('Event Trigger'!$C:$C,'Year 2 Results'!$Z87)&gt;SUMIF('Event Trigger'!$C:$C,$Z87,G:G),0,'Year 1 Results'!AD87)</f>
        <v>0</v>
      </c>
      <c r="AE87" s="52">
        <f>IF('Year 1 Results'!AE87*COUNTIF('Event Trigger'!$C:$C,'Year 2 Results'!$Z87)&gt;SUMIF('Event Trigger'!$C:$C,$Z87,H:H),0,'Year 1 Results'!AE87)</f>
        <v>0</v>
      </c>
      <c r="AF87" s="52">
        <f>IF('Year 1 Results'!AF87*COUNTIF('Event Trigger'!$C:$C,'Year 2 Results'!$Z87)&gt;SUMIF('Event Trigger'!$C:$C,$Z87,I:I),0,'Year 1 Results'!AF87)</f>
        <v>0</v>
      </c>
      <c r="AG87" s="52">
        <f>IF('Year 1 Results'!AG87*COUNTIF('Event Trigger'!$C:$C,'Year 2 Results'!$Z87)&gt;SUMIF('Event Trigger'!$C:$C,$Z87,J:J),0,'Year 1 Results'!AG87)</f>
        <v>0</v>
      </c>
      <c r="AH87" s="52">
        <f>IF('Year 1 Results'!AH87*COUNTIF('Event Trigger'!$C:$C,'Year 2 Results'!$Z87)&gt;SUMIF('Event Trigger'!$C:$C,$Z87,K:K),0,'Year 1 Results'!AH87)</f>
        <v>0</v>
      </c>
      <c r="AI87" s="52">
        <f>IF('Year 1 Results'!AI87*COUNTIF('Event Trigger'!$C:$C,'Year 2 Results'!$Z87)&gt;SUMIF('Event Trigger'!$C:$C,$Z87,L:L),0,'Year 1 Results'!AI87)</f>
        <v>0</v>
      </c>
      <c r="AJ87" s="52">
        <f>IF('Year 1 Results'!AJ87*COUNTIF('Event Trigger'!$C:$C,'Year 2 Results'!$Z87)&gt;SUMIF('Event Trigger'!$C:$C,$Z87,M:M),0,'Year 1 Results'!AJ87)</f>
        <v>0</v>
      </c>
    </row>
    <row r="88" spans="1:36" x14ac:dyDescent="0.25">
      <c r="A88" s="37" t="str">
        <f>'Risk Master'!B88:B183&amp;"-"&amp;'Risk Master'!D88</f>
        <v>Hurricane-Typhoon -Germany</v>
      </c>
      <c r="B88" s="37" t="str">
        <f>'Input Sheet year 2'!B89</f>
        <v>Hurricane-Typhoon -Germany</v>
      </c>
      <c r="C88" s="29" t="str">
        <f>'Risk Master'!F88</f>
        <v>A28</v>
      </c>
      <c r="D88" s="73">
        <f>'Year 1 Results'!O88*-1+('Year 1 Results'!O88*'Event Trigger'!$E89*(1-'Input Sheet year 2'!H89))</f>
        <v>400000</v>
      </c>
      <c r="E88" s="73">
        <f>'Year 1 Results'!P88*-1+('Year 1 Results'!P88*'Event Trigger'!$E89*(1-'Input Sheet year 2'!I89))</f>
        <v>400000</v>
      </c>
      <c r="F88" s="73">
        <f>'Year 1 Results'!Q88*-1+('Year 1 Results'!Q88*'Event Trigger'!$E89*(1-'Input Sheet year 2'!J89))</f>
        <v>400000</v>
      </c>
      <c r="G88" s="73">
        <f>'Year 1 Results'!R88*-1+('Year 1 Results'!R88*'Event Trigger'!$E89*(1-'Input Sheet year 2'!K89))</f>
        <v>400000</v>
      </c>
      <c r="H88" s="73">
        <f>'Year 1 Results'!S88*-1+('Year 1 Results'!S88*'Event Trigger'!$E89*(1-'Input Sheet year 2'!L89))</f>
        <v>400000</v>
      </c>
      <c r="I88" s="73">
        <f>'Year 1 Results'!T88*-1+('Year 1 Results'!T88*'Event Trigger'!$E89*(1-'Input Sheet year 2'!M89))</f>
        <v>400000</v>
      </c>
      <c r="J88" s="73">
        <f>'Year 1 Results'!U88*-1+('Year 1 Results'!U88*'Event Trigger'!$E89*(1-'Input Sheet year 2'!N89))</f>
        <v>400000</v>
      </c>
      <c r="K88" s="73">
        <f>'Year 1 Results'!V88*-1+('Year 1 Results'!V88*'Event Trigger'!$E89*(1-'Input Sheet year 2'!O89))</f>
        <v>400000</v>
      </c>
      <c r="L88" s="73">
        <f>'Year 1 Results'!W88*-1+('Year 1 Results'!W88*'Event Trigger'!$E89*(1-'Input Sheet year 2'!P89))</f>
        <v>400000</v>
      </c>
      <c r="M88" s="73">
        <f>'Year 1 Results'!X88*-1+('Year 1 Results'!X88*'Event Trigger'!$E89*(1-'Input Sheet year 2'!Q89))</f>
        <v>400000</v>
      </c>
      <c r="N88" s="88"/>
      <c r="O88" s="88">
        <f t="shared" si="10"/>
        <v>0</v>
      </c>
      <c r="P88" s="88">
        <f t="shared" si="11"/>
        <v>0</v>
      </c>
      <c r="Q88" s="88">
        <f t="shared" si="12"/>
        <v>0</v>
      </c>
      <c r="R88" s="88">
        <f t="shared" si="13"/>
        <v>0</v>
      </c>
      <c r="S88" s="88">
        <f t="shared" si="14"/>
        <v>0</v>
      </c>
      <c r="T88" s="88">
        <f t="shared" si="15"/>
        <v>0</v>
      </c>
      <c r="U88" s="88">
        <f t="shared" si="16"/>
        <v>0</v>
      </c>
      <c r="V88" s="88">
        <f t="shared" si="17"/>
        <v>0</v>
      </c>
      <c r="W88" s="88">
        <f t="shared" si="18"/>
        <v>0</v>
      </c>
      <c r="X88" s="88">
        <f t="shared" si="19"/>
        <v>0</v>
      </c>
      <c r="Z88" s="51" t="s">
        <v>251</v>
      </c>
      <c r="AA88" s="52">
        <f>IF('Year 1 Results'!AA88*COUNTIF('Event Trigger'!$C:$C,'Year 2 Results'!$Z88)&gt;SUMIF('Event Trigger'!$C:$C,$Z88,D:D),0,'Year 1 Results'!AA88)</f>
        <v>0</v>
      </c>
      <c r="AB88" s="52">
        <f>IF('Year 1 Results'!AB88*COUNTIF('Event Trigger'!$C:$C,'Year 2 Results'!$Z88)&gt;SUMIF('Event Trigger'!$C:$C,$Z88,E:E),0,'Year 1 Results'!AB88)</f>
        <v>0</v>
      </c>
      <c r="AC88" s="52">
        <f>IF('Year 1 Results'!AC88*COUNTIF('Event Trigger'!$C:$C,'Year 2 Results'!$Z88)&gt;SUMIF('Event Trigger'!$C:$C,$Z88,F:F),0,'Year 1 Results'!AC88)</f>
        <v>0</v>
      </c>
      <c r="AD88" s="52">
        <f>IF('Year 1 Results'!AD88*COUNTIF('Event Trigger'!$C:$C,'Year 2 Results'!$Z88)&gt;SUMIF('Event Trigger'!$C:$C,$Z88,G:G),0,'Year 1 Results'!AD88)</f>
        <v>0</v>
      </c>
      <c r="AE88" s="52">
        <f>IF('Year 1 Results'!AE88*COUNTIF('Event Trigger'!$C:$C,'Year 2 Results'!$Z88)&gt;SUMIF('Event Trigger'!$C:$C,$Z88,H:H),0,'Year 1 Results'!AE88)</f>
        <v>0</v>
      </c>
      <c r="AF88" s="52">
        <f>IF('Year 1 Results'!AF88*COUNTIF('Event Trigger'!$C:$C,'Year 2 Results'!$Z88)&gt;SUMIF('Event Trigger'!$C:$C,$Z88,I:I),0,'Year 1 Results'!AF88)</f>
        <v>0</v>
      </c>
      <c r="AG88" s="52">
        <f>IF('Year 1 Results'!AG88*COUNTIF('Event Trigger'!$C:$C,'Year 2 Results'!$Z88)&gt;SUMIF('Event Trigger'!$C:$C,$Z88,J:J),0,'Year 1 Results'!AG88)</f>
        <v>0</v>
      </c>
      <c r="AH88" s="52">
        <f>IF('Year 1 Results'!AH88*COUNTIF('Event Trigger'!$C:$C,'Year 2 Results'!$Z88)&gt;SUMIF('Event Trigger'!$C:$C,$Z88,K:K),0,'Year 1 Results'!AH88)</f>
        <v>0</v>
      </c>
      <c r="AI88" s="52">
        <f>IF('Year 1 Results'!AI88*COUNTIF('Event Trigger'!$C:$C,'Year 2 Results'!$Z88)&gt;SUMIF('Event Trigger'!$C:$C,$Z88,L:L),0,'Year 1 Results'!AI88)</f>
        <v>0</v>
      </c>
      <c r="AJ88" s="52">
        <f>IF('Year 1 Results'!AJ88*COUNTIF('Event Trigger'!$C:$C,'Year 2 Results'!$Z88)&gt;SUMIF('Event Trigger'!$C:$C,$Z88,M:M),0,'Year 1 Results'!AJ88)</f>
        <v>0</v>
      </c>
    </row>
    <row r="89" spans="1:36" x14ac:dyDescent="0.25">
      <c r="A89" s="37" t="str">
        <f>'Risk Master'!B89:B183&amp;"-"&amp;'Risk Master'!D89</f>
        <v>Earthquake-Germany</v>
      </c>
      <c r="B89" s="37" t="str">
        <f>'Input Sheet year 2'!B90</f>
        <v>Earthquake-Germany</v>
      </c>
      <c r="C89" s="29" t="str">
        <f>'Risk Master'!F89</f>
        <v>A28</v>
      </c>
      <c r="D89" s="73">
        <f>'Year 1 Results'!O89*-1+('Year 1 Results'!O89*'Event Trigger'!$E90*(1-'Input Sheet year 2'!H90))</f>
        <v>0</v>
      </c>
      <c r="E89" s="73">
        <f>'Year 1 Results'!P89*-1+('Year 1 Results'!P89*'Event Trigger'!$E90*(1-'Input Sheet year 2'!I90))</f>
        <v>0</v>
      </c>
      <c r="F89" s="73">
        <f>'Year 1 Results'!Q89*-1+('Year 1 Results'!Q89*'Event Trigger'!$E90*(1-'Input Sheet year 2'!J90))</f>
        <v>0</v>
      </c>
      <c r="G89" s="73">
        <f>'Year 1 Results'!R89*-1+('Year 1 Results'!R89*'Event Trigger'!$E90*(1-'Input Sheet year 2'!K90))</f>
        <v>0</v>
      </c>
      <c r="H89" s="73">
        <f>'Year 1 Results'!S89*-1+('Year 1 Results'!S89*'Event Trigger'!$E90*(1-'Input Sheet year 2'!L90))</f>
        <v>0</v>
      </c>
      <c r="I89" s="73">
        <f>'Year 1 Results'!T89*-1+('Year 1 Results'!T89*'Event Trigger'!$E90*(1-'Input Sheet year 2'!M90))</f>
        <v>0</v>
      </c>
      <c r="J89" s="73">
        <f>'Year 1 Results'!U89*-1+('Year 1 Results'!U89*'Event Trigger'!$E90*(1-'Input Sheet year 2'!N90))</f>
        <v>0</v>
      </c>
      <c r="K89" s="73">
        <f>'Year 1 Results'!V89*-1+('Year 1 Results'!V89*'Event Trigger'!$E90*(1-'Input Sheet year 2'!O90))</f>
        <v>400000</v>
      </c>
      <c r="L89" s="73">
        <f>'Year 1 Results'!W89*-1+('Year 1 Results'!W89*'Event Trigger'!$E90*(1-'Input Sheet year 2'!P90))</f>
        <v>0</v>
      </c>
      <c r="M89" s="73">
        <f>'Year 1 Results'!X89*-1+('Year 1 Results'!X89*'Event Trigger'!$E90*(1-'Input Sheet year 2'!Q90))</f>
        <v>0</v>
      </c>
      <c r="N89" s="88"/>
      <c r="O89" s="88">
        <f t="shared" si="10"/>
        <v>0</v>
      </c>
      <c r="P89" s="88">
        <f t="shared" si="11"/>
        <v>0</v>
      </c>
      <c r="Q89" s="88">
        <f t="shared" si="12"/>
        <v>0</v>
      </c>
      <c r="R89" s="88">
        <f t="shared" si="13"/>
        <v>0</v>
      </c>
      <c r="S89" s="88">
        <f t="shared" si="14"/>
        <v>0</v>
      </c>
      <c r="T89" s="88">
        <f t="shared" si="15"/>
        <v>0</v>
      </c>
      <c r="U89" s="88">
        <f t="shared" si="16"/>
        <v>0</v>
      </c>
      <c r="V89" s="88">
        <f t="shared" si="17"/>
        <v>0</v>
      </c>
      <c r="W89" s="88">
        <f t="shared" si="18"/>
        <v>0</v>
      </c>
      <c r="X89" s="88">
        <f t="shared" si="19"/>
        <v>0</v>
      </c>
      <c r="Z89" s="51" t="s">
        <v>252</v>
      </c>
      <c r="AA89" s="52">
        <f>IF('Year 1 Results'!AA89*COUNTIF('Event Trigger'!$C:$C,'Year 2 Results'!$Z89)&gt;SUMIF('Event Trigger'!$C:$C,$Z89,D:D),0,'Year 1 Results'!AA89)</f>
        <v>500000</v>
      </c>
      <c r="AB89" s="52">
        <f>IF('Year 1 Results'!AB89*COUNTIF('Event Trigger'!$C:$C,'Year 2 Results'!$Z89)&gt;SUMIF('Event Trigger'!$C:$C,$Z89,E:E),0,'Year 1 Results'!AB89)</f>
        <v>500000</v>
      </c>
      <c r="AC89" s="52">
        <f>IF('Year 1 Results'!AC89*COUNTIF('Event Trigger'!$C:$C,'Year 2 Results'!$Z89)&gt;SUMIF('Event Trigger'!$C:$C,$Z89,F:F),0,'Year 1 Results'!AC89)</f>
        <v>500000</v>
      </c>
      <c r="AD89" s="52">
        <f>IF('Year 1 Results'!AD89*COUNTIF('Event Trigger'!$C:$C,'Year 2 Results'!$Z89)&gt;SUMIF('Event Trigger'!$C:$C,$Z89,G:G),0,'Year 1 Results'!AD89)</f>
        <v>500000</v>
      </c>
      <c r="AE89" s="52">
        <f>IF('Year 1 Results'!AE89*COUNTIF('Event Trigger'!$C:$C,'Year 2 Results'!$Z89)&gt;SUMIF('Event Trigger'!$C:$C,$Z89,H:H),0,'Year 1 Results'!AE89)</f>
        <v>500000</v>
      </c>
      <c r="AF89" s="52">
        <f>IF('Year 1 Results'!AF89*COUNTIF('Event Trigger'!$C:$C,'Year 2 Results'!$Z89)&gt;SUMIF('Event Trigger'!$C:$C,$Z89,I:I),0,'Year 1 Results'!AF89)</f>
        <v>500000</v>
      </c>
      <c r="AG89" s="52">
        <f>IF('Year 1 Results'!AG89*COUNTIF('Event Trigger'!$C:$C,'Year 2 Results'!$Z89)&gt;SUMIF('Event Trigger'!$C:$C,$Z89,J:J),0,'Year 1 Results'!AG89)</f>
        <v>500000</v>
      </c>
      <c r="AH89" s="52">
        <f>IF('Year 1 Results'!AH89*COUNTIF('Event Trigger'!$C:$C,'Year 2 Results'!$Z89)&gt;SUMIF('Event Trigger'!$C:$C,$Z89,K:K),0,'Year 1 Results'!AH89)</f>
        <v>500000</v>
      </c>
      <c r="AI89" s="52">
        <f>IF('Year 1 Results'!AI89*COUNTIF('Event Trigger'!$C:$C,'Year 2 Results'!$Z89)&gt;SUMIF('Event Trigger'!$C:$C,$Z89,L:L),0,'Year 1 Results'!AI89)</f>
        <v>500000</v>
      </c>
      <c r="AJ89" s="52">
        <f>IF('Year 1 Results'!AJ89*COUNTIF('Event Trigger'!$C:$C,'Year 2 Results'!$Z89)&gt;SUMIF('Event Trigger'!$C:$C,$Z89,M:M),0,'Year 1 Results'!AJ89)</f>
        <v>500000</v>
      </c>
    </row>
    <row r="90" spans="1:36" x14ac:dyDescent="0.25">
      <c r="A90" s="37" t="str">
        <f>'Risk Master'!B90:B183&amp;"-"&amp;'Risk Master'!D90</f>
        <v>Fire-Germany</v>
      </c>
      <c r="B90" s="37" t="str">
        <f>'Input Sheet year 2'!B91</f>
        <v>Fire-Germany</v>
      </c>
      <c r="C90" s="29" t="str">
        <f>'Risk Master'!F90</f>
        <v>A28</v>
      </c>
      <c r="D90" s="73">
        <f>'Year 1 Results'!O90*-1+('Year 1 Results'!O90*'Event Trigger'!$E91*(1-'Input Sheet year 2'!H91))</f>
        <v>0</v>
      </c>
      <c r="E90" s="73">
        <f>'Year 1 Results'!P90*-1+('Year 1 Results'!P90*'Event Trigger'!$E91*(1-'Input Sheet year 2'!I91))</f>
        <v>0</v>
      </c>
      <c r="F90" s="73">
        <f>'Year 1 Results'!Q90*-1+('Year 1 Results'!Q90*'Event Trigger'!$E91*(1-'Input Sheet year 2'!J91))</f>
        <v>0</v>
      </c>
      <c r="G90" s="73">
        <f>'Year 1 Results'!R90*-1+('Year 1 Results'!R90*'Event Trigger'!$E91*(1-'Input Sheet year 2'!K91))</f>
        <v>0</v>
      </c>
      <c r="H90" s="73">
        <f>'Year 1 Results'!S90*-1+('Year 1 Results'!S90*'Event Trigger'!$E91*(1-'Input Sheet year 2'!L91))</f>
        <v>0</v>
      </c>
      <c r="I90" s="73">
        <f>'Year 1 Results'!T90*-1+('Year 1 Results'!T90*'Event Trigger'!$E91*(1-'Input Sheet year 2'!M91))</f>
        <v>400000</v>
      </c>
      <c r="J90" s="73">
        <f>'Year 1 Results'!U90*-1+('Year 1 Results'!U90*'Event Trigger'!$E91*(1-'Input Sheet year 2'!N91))</f>
        <v>0</v>
      </c>
      <c r="K90" s="73">
        <f>'Year 1 Results'!V90*-1+('Year 1 Results'!V90*'Event Trigger'!$E91*(1-'Input Sheet year 2'!O91))</f>
        <v>0</v>
      </c>
      <c r="L90" s="73">
        <f>'Year 1 Results'!W90*-1+('Year 1 Results'!W90*'Event Trigger'!$E91*(1-'Input Sheet year 2'!P91))</f>
        <v>0</v>
      </c>
      <c r="M90" s="73">
        <f>'Year 1 Results'!X90*-1+('Year 1 Results'!X90*'Event Trigger'!$E91*(1-'Input Sheet year 2'!Q91))</f>
        <v>0</v>
      </c>
      <c r="N90" s="88"/>
      <c r="O90" s="88">
        <f t="shared" si="10"/>
        <v>0</v>
      </c>
      <c r="P90" s="88">
        <f t="shared" si="11"/>
        <v>0</v>
      </c>
      <c r="Q90" s="88">
        <f t="shared" si="12"/>
        <v>0</v>
      </c>
      <c r="R90" s="88">
        <f t="shared" si="13"/>
        <v>0</v>
      </c>
      <c r="S90" s="88">
        <f t="shared" si="14"/>
        <v>0</v>
      </c>
      <c r="T90" s="88">
        <f t="shared" si="15"/>
        <v>0</v>
      </c>
      <c r="U90" s="88">
        <f t="shared" si="16"/>
        <v>0</v>
      </c>
      <c r="V90" s="88">
        <f t="shared" si="17"/>
        <v>0</v>
      </c>
      <c r="W90" s="88">
        <f t="shared" si="18"/>
        <v>0</v>
      </c>
      <c r="X90" s="88">
        <f t="shared" si="19"/>
        <v>0</v>
      </c>
      <c r="Z90" s="51" t="s">
        <v>253</v>
      </c>
      <c r="AA90" s="52">
        <f>IF('Year 1 Results'!AA90*COUNTIF('Event Trigger'!$C:$C,'Year 2 Results'!$Z90)&gt;SUMIF('Event Trigger'!$C:$C,$Z90,D:D),0,'Year 1 Results'!AA90)</f>
        <v>0</v>
      </c>
      <c r="AB90" s="52">
        <f>IF('Year 1 Results'!AB90*COUNTIF('Event Trigger'!$C:$C,'Year 2 Results'!$Z90)&gt;SUMIF('Event Trigger'!$C:$C,$Z90,E:E),0,'Year 1 Results'!AB90)</f>
        <v>0</v>
      </c>
      <c r="AC90" s="52">
        <f>IF('Year 1 Results'!AC90*COUNTIF('Event Trigger'!$C:$C,'Year 2 Results'!$Z90)&gt;SUMIF('Event Trigger'!$C:$C,$Z90,F:F),0,'Year 1 Results'!AC90)</f>
        <v>0</v>
      </c>
      <c r="AD90" s="52">
        <f>IF('Year 1 Results'!AD90*COUNTIF('Event Trigger'!$C:$C,'Year 2 Results'!$Z90)&gt;SUMIF('Event Trigger'!$C:$C,$Z90,G:G),0,'Year 1 Results'!AD90)</f>
        <v>0</v>
      </c>
      <c r="AE90" s="52">
        <f>IF('Year 1 Results'!AE90*COUNTIF('Event Trigger'!$C:$C,'Year 2 Results'!$Z90)&gt;SUMIF('Event Trigger'!$C:$C,$Z90,H:H),0,'Year 1 Results'!AE90)</f>
        <v>0</v>
      </c>
      <c r="AF90" s="52">
        <f>IF('Year 1 Results'!AF90*COUNTIF('Event Trigger'!$C:$C,'Year 2 Results'!$Z90)&gt;SUMIF('Event Trigger'!$C:$C,$Z90,I:I),0,'Year 1 Results'!AF90)</f>
        <v>0</v>
      </c>
      <c r="AG90" s="52">
        <f>IF('Year 1 Results'!AG90*COUNTIF('Event Trigger'!$C:$C,'Year 2 Results'!$Z90)&gt;SUMIF('Event Trigger'!$C:$C,$Z90,J:J),0,'Year 1 Results'!AG90)</f>
        <v>0</v>
      </c>
      <c r="AH90" s="52">
        <f>IF('Year 1 Results'!AH90*COUNTIF('Event Trigger'!$C:$C,'Year 2 Results'!$Z90)&gt;SUMIF('Event Trigger'!$C:$C,$Z90,K:K),0,'Year 1 Results'!AH90)</f>
        <v>0</v>
      </c>
      <c r="AI90" s="52">
        <f>IF('Year 1 Results'!AI90*COUNTIF('Event Trigger'!$C:$C,'Year 2 Results'!$Z90)&gt;SUMIF('Event Trigger'!$C:$C,$Z90,L:L),0,'Year 1 Results'!AI90)</f>
        <v>0</v>
      </c>
      <c r="AJ90" s="52">
        <f>IF('Year 1 Results'!AJ90*COUNTIF('Event Trigger'!$C:$C,'Year 2 Results'!$Z90)&gt;SUMIF('Event Trigger'!$C:$C,$Z90,M:M),0,'Year 1 Results'!AJ90)</f>
        <v>0</v>
      </c>
    </row>
    <row r="91" spans="1:36" ht="25.5" x14ac:dyDescent="0.25">
      <c r="A91" s="37" t="str">
        <f>'Risk Master'!B91:B183&amp;"-"&amp;'Risk Master'!D91</f>
        <v>Thunderstorms, Tornados &amp; Hail-Germany</v>
      </c>
      <c r="B91" s="37" t="str">
        <f>'Input Sheet year 2'!B92</f>
        <v>Thunderstorms, Tornados &amp; Hail-Germany</v>
      </c>
      <c r="C91" s="29" t="str">
        <f>'Risk Master'!F91</f>
        <v>A28</v>
      </c>
      <c r="D91" s="73">
        <f>'Year 1 Results'!O91*-1+('Year 1 Results'!O91*'Event Trigger'!$E92*(1-'Input Sheet year 2'!H92))</f>
        <v>0</v>
      </c>
      <c r="E91" s="73">
        <f>'Year 1 Results'!P91*-1+('Year 1 Results'!P91*'Event Trigger'!$E92*(1-'Input Sheet year 2'!I92))</f>
        <v>0</v>
      </c>
      <c r="F91" s="73">
        <f>'Year 1 Results'!Q91*-1+('Year 1 Results'!Q91*'Event Trigger'!$E92*(1-'Input Sheet year 2'!J92))</f>
        <v>400000</v>
      </c>
      <c r="G91" s="73">
        <f>'Year 1 Results'!R91*-1+('Year 1 Results'!R91*'Event Trigger'!$E92*(1-'Input Sheet year 2'!K92))</f>
        <v>0</v>
      </c>
      <c r="H91" s="73">
        <f>'Year 1 Results'!S91*-1+('Year 1 Results'!S91*'Event Trigger'!$E92*(1-'Input Sheet year 2'!L92))</f>
        <v>0</v>
      </c>
      <c r="I91" s="73">
        <f>'Year 1 Results'!T91*-1+('Year 1 Results'!T91*'Event Trigger'!$E92*(1-'Input Sheet year 2'!M92))</f>
        <v>0</v>
      </c>
      <c r="J91" s="73">
        <f>'Year 1 Results'!U91*-1+('Year 1 Results'!U91*'Event Trigger'!$E92*(1-'Input Sheet year 2'!N92))</f>
        <v>0</v>
      </c>
      <c r="K91" s="73">
        <f>'Year 1 Results'!V91*-1+('Year 1 Results'!V91*'Event Trigger'!$E92*(1-'Input Sheet year 2'!O92))</f>
        <v>0</v>
      </c>
      <c r="L91" s="73">
        <f>'Year 1 Results'!W91*-1+('Year 1 Results'!W91*'Event Trigger'!$E92*(1-'Input Sheet year 2'!P92))</f>
        <v>0</v>
      </c>
      <c r="M91" s="73">
        <f>'Year 1 Results'!X91*-1+('Year 1 Results'!X91*'Event Trigger'!$E92*(1-'Input Sheet year 2'!Q92))</f>
        <v>400000</v>
      </c>
      <c r="N91" s="88"/>
      <c r="O91" s="88">
        <f t="shared" si="10"/>
        <v>0</v>
      </c>
      <c r="P91" s="88">
        <f t="shared" si="11"/>
        <v>0</v>
      </c>
      <c r="Q91" s="88">
        <f t="shared" si="12"/>
        <v>0</v>
      </c>
      <c r="R91" s="88">
        <f t="shared" si="13"/>
        <v>0</v>
      </c>
      <c r="S91" s="88">
        <f t="shared" si="14"/>
        <v>0</v>
      </c>
      <c r="T91" s="88">
        <f t="shared" si="15"/>
        <v>0</v>
      </c>
      <c r="U91" s="88">
        <f t="shared" si="16"/>
        <v>0</v>
      </c>
      <c r="V91" s="88">
        <f t="shared" si="17"/>
        <v>0</v>
      </c>
      <c r="W91" s="88">
        <f t="shared" si="18"/>
        <v>0</v>
      </c>
      <c r="X91" s="88">
        <f t="shared" si="19"/>
        <v>0</v>
      </c>
      <c r="Z91" s="51" t="s">
        <v>254</v>
      </c>
      <c r="AA91" s="52">
        <f>IF('Year 1 Results'!AA91*COUNTIF('Event Trigger'!$C:$C,'Year 2 Results'!$Z91)&gt;SUMIF('Event Trigger'!$C:$C,$Z91,D:D),0,'Year 1 Results'!AA91)</f>
        <v>0</v>
      </c>
      <c r="AB91" s="52">
        <f>IF('Year 1 Results'!AB91*COUNTIF('Event Trigger'!$C:$C,'Year 2 Results'!$Z91)&gt;SUMIF('Event Trigger'!$C:$C,$Z91,E:E),0,'Year 1 Results'!AB91)</f>
        <v>0</v>
      </c>
      <c r="AC91" s="52">
        <f>IF('Year 1 Results'!AC91*COUNTIF('Event Trigger'!$C:$C,'Year 2 Results'!$Z91)&gt;SUMIF('Event Trigger'!$C:$C,$Z91,F:F),0,'Year 1 Results'!AC91)</f>
        <v>0</v>
      </c>
      <c r="AD91" s="52">
        <f>IF('Year 1 Results'!AD91*COUNTIF('Event Trigger'!$C:$C,'Year 2 Results'!$Z91)&gt;SUMIF('Event Trigger'!$C:$C,$Z91,G:G),0,'Year 1 Results'!AD91)</f>
        <v>0</v>
      </c>
      <c r="AE91" s="52">
        <f>IF('Year 1 Results'!AE91*COUNTIF('Event Trigger'!$C:$C,'Year 2 Results'!$Z91)&gt;SUMIF('Event Trigger'!$C:$C,$Z91,H:H),0,'Year 1 Results'!AE91)</f>
        <v>0</v>
      </c>
      <c r="AF91" s="52">
        <f>IF('Year 1 Results'!AF91*COUNTIF('Event Trigger'!$C:$C,'Year 2 Results'!$Z91)&gt;SUMIF('Event Trigger'!$C:$C,$Z91,I:I),0,'Year 1 Results'!AF91)</f>
        <v>0</v>
      </c>
      <c r="AG91" s="52">
        <f>IF('Year 1 Results'!AG91*COUNTIF('Event Trigger'!$C:$C,'Year 2 Results'!$Z91)&gt;SUMIF('Event Trigger'!$C:$C,$Z91,J:J),0,'Year 1 Results'!AG91)</f>
        <v>0</v>
      </c>
      <c r="AH91" s="52">
        <f>IF('Year 1 Results'!AH91*COUNTIF('Event Trigger'!$C:$C,'Year 2 Results'!$Z91)&gt;SUMIF('Event Trigger'!$C:$C,$Z91,K:K),0,'Year 1 Results'!AH91)</f>
        <v>0</v>
      </c>
      <c r="AI91" s="52">
        <f>IF('Year 1 Results'!AI91*COUNTIF('Event Trigger'!$C:$C,'Year 2 Results'!$Z91)&gt;SUMIF('Event Trigger'!$C:$C,$Z91,L:L),0,'Year 1 Results'!AI91)</f>
        <v>0</v>
      </c>
      <c r="AJ91" s="52">
        <f>IF('Year 1 Results'!AJ91*COUNTIF('Event Trigger'!$C:$C,'Year 2 Results'!$Z91)&gt;SUMIF('Event Trigger'!$C:$C,$Z91,M:M),0,'Year 1 Results'!AJ91)</f>
        <v>600000</v>
      </c>
    </row>
    <row r="92" spans="1:36" x14ac:dyDescent="0.25">
      <c r="A92" s="37" t="str">
        <f>'Risk Master'!B92:B183&amp;"-"&amp;'Risk Master'!D92</f>
        <v>Hurricane-Typhoon -Germany</v>
      </c>
      <c r="B92" s="37" t="str">
        <f>'Input Sheet year 2'!B93</f>
        <v>Hurricane-Typhoon -Germany</v>
      </c>
      <c r="C92" s="29" t="str">
        <f>'Risk Master'!F92</f>
        <v>A30</v>
      </c>
      <c r="D92" s="73">
        <f>'Year 1 Results'!O92*-1+('Year 1 Results'!O92*'Event Trigger'!$E93*(1-'Input Sheet year 2'!H93))</f>
        <v>200000</v>
      </c>
      <c r="E92" s="73">
        <f>'Year 1 Results'!P92*-1+('Year 1 Results'!P92*'Event Trigger'!$E93*(1-'Input Sheet year 2'!I93))</f>
        <v>200000</v>
      </c>
      <c r="F92" s="73">
        <f>'Year 1 Results'!Q92*-1+('Year 1 Results'!Q92*'Event Trigger'!$E93*(1-'Input Sheet year 2'!J93))</f>
        <v>200000</v>
      </c>
      <c r="G92" s="73">
        <f>'Year 1 Results'!R92*-1+('Year 1 Results'!R92*'Event Trigger'!$E93*(1-'Input Sheet year 2'!K93))</f>
        <v>200000</v>
      </c>
      <c r="H92" s="73">
        <f>'Year 1 Results'!S92*-1+('Year 1 Results'!S92*'Event Trigger'!$E93*(1-'Input Sheet year 2'!L93))</f>
        <v>200000</v>
      </c>
      <c r="I92" s="73">
        <f>'Year 1 Results'!T92*-1+('Year 1 Results'!T92*'Event Trigger'!$E93*(1-'Input Sheet year 2'!M93))</f>
        <v>200000</v>
      </c>
      <c r="J92" s="73">
        <f>'Year 1 Results'!U92*-1+('Year 1 Results'!U92*'Event Trigger'!$E93*(1-'Input Sheet year 2'!N93))</f>
        <v>200000</v>
      </c>
      <c r="K92" s="73">
        <f>'Year 1 Results'!V92*-1+('Year 1 Results'!V92*'Event Trigger'!$E93*(1-'Input Sheet year 2'!O93))</f>
        <v>200000</v>
      </c>
      <c r="L92" s="73">
        <f>'Year 1 Results'!W92*-1+('Year 1 Results'!W92*'Event Trigger'!$E93*(1-'Input Sheet year 2'!P93))</f>
        <v>200000</v>
      </c>
      <c r="M92" s="73">
        <f>'Year 1 Results'!X92*-1+('Year 1 Results'!X92*'Event Trigger'!$E93*(1-'Input Sheet year 2'!Q93))</f>
        <v>200000</v>
      </c>
      <c r="N92" s="88"/>
      <c r="O92" s="88">
        <f t="shared" si="10"/>
        <v>0</v>
      </c>
      <c r="P92" s="88">
        <f t="shared" si="11"/>
        <v>0</v>
      </c>
      <c r="Q92" s="88">
        <f t="shared" si="12"/>
        <v>0</v>
      </c>
      <c r="R92" s="88">
        <f t="shared" si="13"/>
        <v>0</v>
      </c>
      <c r="S92" s="88">
        <f t="shared" si="14"/>
        <v>0</v>
      </c>
      <c r="T92" s="88">
        <f t="shared" si="15"/>
        <v>0</v>
      </c>
      <c r="U92" s="88">
        <f t="shared" si="16"/>
        <v>0</v>
      </c>
      <c r="V92" s="88">
        <f t="shared" si="17"/>
        <v>0</v>
      </c>
      <c r="W92" s="88">
        <f t="shared" si="18"/>
        <v>0</v>
      </c>
      <c r="X92" s="88">
        <f t="shared" si="19"/>
        <v>0</v>
      </c>
      <c r="Z92" s="51" t="s">
        <v>255</v>
      </c>
      <c r="AA92" s="52">
        <f>IF('Year 1 Results'!AA92*COUNTIF('Event Trigger'!$C:$C,'Year 2 Results'!$Z92)&gt;SUMIF('Event Trigger'!$C:$C,$Z92,D:D),0,'Year 1 Results'!AA92)</f>
        <v>0</v>
      </c>
      <c r="AB92" s="52">
        <f>IF('Year 1 Results'!AB92*COUNTIF('Event Trigger'!$C:$C,'Year 2 Results'!$Z92)&gt;SUMIF('Event Trigger'!$C:$C,$Z92,E:E),0,'Year 1 Results'!AB92)</f>
        <v>0</v>
      </c>
      <c r="AC92" s="52">
        <f>IF('Year 1 Results'!AC92*COUNTIF('Event Trigger'!$C:$C,'Year 2 Results'!$Z92)&gt;SUMIF('Event Trigger'!$C:$C,$Z92,F:F),0,'Year 1 Results'!AC92)</f>
        <v>0</v>
      </c>
      <c r="AD92" s="52">
        <f>IF('Year 1 Results'!AD92*COUNTIF('Event Trigger'!$C:$C,'Year 2 Results'!$Z92)&gt;SUMIF('Event Trigger'!$C:$C,$Z92,G:G),0,'Year 1 Results'!AD92)</f>
        <v>0</v>
      </c>
      <c r="AE92" s="52">
        <f>IF('Year 1 Results'!AE92*COUNTIF('Event Trigger'!$C:$C,'Year 2 Results'!$Z92)&gt;SUMIF('Event Trigger'!$C:$C,$Z92,H:H),0,'Year 1 Results'!AE92)</f>
        <v>0</v>
      </c>
      <c r="AF92" s="52">
        <f>IF('Year 1 Results'!AF92*COUNTIF('Event Trigger'!$C:$C,'Year 2 Results'!$Z92)&gt;SUMIF('Event Trigger'!$C:$C,$Z92,I:I),0,'Year 1 Results'!AF92)</f>
        <v>0</v>
      </c>
      <c r="AG92" s="52">
        <f>IF('Year 1 Results'!AG92*COUNTIF('Event Trigger'!$C:$C,'Year 2 Results'!$Z92)&gt;SUMIF('Event Trigger'!$C:$C,$Z92,J:J),0,'Year 1 Results'!AG92)</f>
        <v>0</v>
      </c>
      <c r="AH92" s="52">
        <f>IF('Year 1 Results'!AH92*COUNTIF('Event Trigger'!$C:$C,'Year 2 Results'!$Z92)&gt;SUMIF('Event Trigger'!$C:$C,$Z92,K:K),0,'Year 1 Results'!AH92)</f>
        <v>0</v>
      </c>
      <c r="AI92" s="52">
        <f>IF('Year 1 Results'!AI92*COUNTIF('Event Trigger'!$C:$C,'Year 2 Results'!$Z92)&gt;SUMIF('Event Trigger'!$C:$C,$Z92,L:L),0,'Year 1 Results'!AI92)</f>
        <v>0</v>
      </c>
      <c r="AJ92" s="52">
        <f>IF('Year 1 Results'!AJ92*COUNTIF('Event Trigger'!$C:$C,'Year 2 Results'!$Z92)&gt;SUMIF('Event Trigger'!$C:$C,$Z92,M:M),0,'Year 1 Results'!AJ92)</f>
        <v>0</v>
      </c>
    </row>
    <row r="93" spans="1:36" x14ac:dyDescent="0.25">
      <c r="A93" s="37" t="str">
        <f>'Risk Master'!B93:B183&amp;"-"&amp;'Risk Master'!D93</f>
        <v>Earthquake-Germany</v>
      </c>
      <c r="B93" s="37" t="str">
        <f>'Input Sheet year 2'!B94</f>
        <v>Earthquake-Germany</v>
      </c>
      <c r="C93" s="29" t="str">
        <f>'Risk Master'!F93</f>
        <v>A30</v>
      </c>
      <c r="D93" s="73">
        <f>'Year 1 Results'!O93*-1+('Year 1 Results'!O93*'Event Trigger'!$E94*(1-'Input Sheet year 2'!H94))</f>
        <v>0</v>
      </c>
      <c r="E93" s="73">
        <f>'Year 1 Results'!P93*-1+('Year 1 Results'!P93*'Event Trigger'!$E94*(1-'Input Sheet year 2'!I94))</f>
        <v>0</v>
      </c>
      <c r="F93" s="73">
        <f>'Year 1 Results'!Q93*-1+('Year 1 Results'!Q93*'Event Trigger'!$E94*(1-'Input Sheet year 2'!J94))</f>
        <v>0</v>
      </c>
      <c r="G93" s="73">
        <f>'Year 1 Results'!R93*-1+('Year 1 Results'!R93*'Event Trigger'!$E94*(1-'Input Sheet year 2'!K94))</f>
        <v>0</v>
      </c>
      <c r="H93" s="73">
        <f>'Year 1 Results'!S93*-1+('Year 1 Results'!S93*'Event Trigger'!$E94*(1-'Input Sheet year 2'!L94))</f>
        <v>0</v>
      </c>
      <c r="I93" s="73">
        <f>'Year 1 Results'!T93*-1+('Year 1 Results'!T93*'Event Trigger'!$E94*(1-'Input Sheet year 2'!M94))</f>
        <v>0</v>
      </c>
      <c r="J93" s="73">
        <f>'Year 1 Results'!U93*-1+('Year 1 Results'!U93*'Event Trigger'!$E94*(1-'Input Sheet year 2'!N94))</f>
        <v>0</v>
      </c>
      <c r="K93" s="73">
        <f>'Year 1 Results'!V93*-1+('Year 1 Results'!V93*'Event Trigger'!$E94*(1-'Input Sheet year 2'!O94))</f>
        <v>0</v>
      </c>
      <c r="L93" s="73">
        <f>'Year 1 Results'!W93*-1+('Year 1 Results'!W93*'Event Trigger'!$E94*(1-'Input Sheet year 2'!P94))</f>
        <v>200000</v>
      </c>
      <c r="M93" s="73">
        <f>'Year 1 Results'!X93*-1+('Year 1 Results'!X93*'Event Trigger'!$E94*(1-'Input Sheet year 2'!Q94))</f>
        <v>0</v>
      </c>
      <c r="N93" s="88"/>
      <c r="O93" s="88">
        <f t="shared" si="10"/>
        <v>0</v>
      </c>
      <c r="P93" s="88">
        <f t="shared" si="11"/>
        <v>0</v>
      </c>
      <c r="Q93" s="88">
        <f t="shared" si="12"/>
        <v>0</v>
      </c>
      <c r="R93" s="88">
        <f t="shared" si="13"/>
        <v>0</v>
      </c>
      <c r="S93" s="88">
        <f t="shared" si="14"/>
        <v>0</v>
      </c>
      <c r="T93" s="88">
        <f t="shared" si="15"/>
        <v>0</v>
      </c>
      <c r="U93" s="88">
        <f t="shared" si="16"/>
        <v>0</v>
      </c>
      <c r="V93" s="88">
        <f t="shared" si="17"/>
        <v>0</v>
      </c>
      <c r="W93" s="88">
        <f t="shared" si="18"/>
        <v>0</v>
      </c>
      <c r="X93" s="88">
        <f t="shared" si="19"/>
        <v>0</v>
      </c>
      <c r="Z93" s="51" t="s">
        <v>256</v>
      </c>
      <c r="AA93" s="52">
        <f>IF('Year 1 Results'!AA93*COUNTIF('Event Trigger'!$C:$C,'Year 2 Results'!$Z93)&gt;SUMIF('Event Trigger'!$C:$C,$Z93,D:D),0,'Year 1 Results'!AA93)</f>
        <v>0</v>
      </c>
      <c r="AB93" s="52">
        <f>IF('Year 1 Results'!AB93*COUNTIF('Event Trigger'!$C:$C,'Year 2 Results'!$Z93)&gt;SUMIF('Event Trigger'!$C:$C,$Z93,E:E),0,'Year 1 Results'!AB93)</f>
        <v>0</v>
      </c>
      <c r="AC93" s="52">
        <f>IF('Year 1 Results'!AC93*COUNTIF('Event Trigger'!$C:$C,'Year 2 Results'!$Z93)&gt;SUMIF('Event Trigger'!$C:$C,$Z93,F:F),0,'Year 1 Results'!AC93)</f>
        <v>0</v>
      </c>
      <c r="AD93" s="52">
        <f>IF('Year 1 Results'!AD93*COUNTIF('Event Trigger'!$C:$C,'Year 2 Results'!$Z93)&gt;SUMIF('Event Trigger'!$C:$C,$Z93,G:G),0,'Year 1 Results'!AD93)</f>
        <v>0</v>
      </c>
      <c r="AE93" s="52">
        <f>IF('Year 1 Results'!AE93*COUNTIF('Event Trigger'!$C:$C,'Year 2 Results'!$Z93)&gt;SUMIF('Event Trigger'!$C:$C,$Z93,H:H),0,'Year 1 Results'!AE93)</f>
        <v>0</v>
      </c>
      <c r="AF93" s="52">
        <f>IF('Year 1 Results'!AF93*COUNTIF('Event Trigger'!$C:$C,'Year 2 Results'!$Z93)&gt;SUMIF('Event Trigger'!$C:$C,$Z93,I:I),0,'Year 1 Results'!AF93)</f>
        <v>0</v>
      </c>
      <c r="AG93" s="52">
        <f>IF('Year 1 Results'!AG93*COUNTIF('Event Trigger'!$C:$C,'Year 2 Results'!$Z93)&gt;SUMIF('Event Trigger'!$C:$C,$Z93,J:J),0,'Year 1 Results'!AG93)</f>
        <v>0</v>
      </c>
      <c r="AH93" s="52">
        <f>IF('Year 1 Results'!AH93*COUNTIF('Event Trigger'!$C:$C,'Year 2 Results'!$Z93)&gt;SUMIF('Event Trigger'!$C:$C,$Z93,K:K),0,'Year 1 Results'!AH93)</f>
        <v>0</v>
      </c>
      <c r="AI93" s="52">
        <f>IF('Year 1 Results'!AI93*COUNTIF('Event Trigger'!$C:$C,'Year 2 Results'!$Z93)&gt;SUMIF('Event Trigger'!$C:$C,$Z93,L:L),0,'Year 1 Results'!AI93)</f>
        <v>0</v>
      </c>
      <c r="AJ93" s="52">
        <f>IF('Year 1 Results'!AJ93*COUNTIF('Event Trigger'!$C:$C,'Year 2 Results'!$Z93)&gt;SUMIF('Event Trigger'!$C:$C,$Z93,M:M),0,'Year 1 Results'!AJ93)</f>
        <v>0</v>
      </c>
    </row>
    <row r="94" spans="1:36" x14ac:dyDescent="0.25">
      <c r="A94" s="37" t="str">
        <f>'Risk Master'!B94:B183&amp;"-"&amp;'Risk Master'!D94</f>
        <v>Fire-Germany</v>
      </c>
      <c r="B94" s="37" t="str">
        <f>'Input Sheet year 2'!B95</f>
        <v>Fire-Germany</v>
      </c>
      <c r="C94" s="29" t="str">
        <f>'Risk Master'!F94</f>
        <v>A30</v>
      </c>
      <c r="D94" s="73">
        <f>'Year 1 Results'!O94*-1+('Year 1 Results'!O94*'Event Trigger'!$E95*(1-'Input Sheet year 2'!H95))</f>
        <v>0</v>
      </c>
      <c r="E94" s="73">
        <f>'Year 1 Results'!P94*-1+('Year 1 Results'!P94*'Event Trigger'!$E95*(1-'Input Sheet year 2'!I95))</f>
        <v>0</v>
      </c>
      <c r="F94" s="73">
        <f>'Year 1 Results'!Q94*-1+('Year 1 Results'!Q94*'Event Trigger'!$E95*(1-'Input Sheet year 2'!J95))</f>
        <v>0</v>
      </c>
      <c r="G94" s="73">
        <f>'Year 1 Results'!R94*-1+('Year 1 Results'!R94*'Event Trigger'!$E95*(1-'Input Sheet year 2'!K95))</f>
        <v>0</v>
      </c>
      <c r="H94" s="73">
        <f>'Year 1 Results'!S94*-1+('Year 1 Results'!S94*'Event Trigger'!$E95*(1-'Input Sheet year 2'!L95))</f>
        <v>200000</v>
      </c>
      <c r="I94" s="73">
        <f>'Year 1 Results'!T94*-1+('Year 1 Results'!T94*'Event Trigger'!$E95*(1-'Input Sheet year 2'!M95))</f>
        <v>0</v>
      </c>
      <c r="J94" s="73">
        <f>'Year 1 Results'!U94*-1+('Year 1 Results'!U94*'Event Trigger'!$E95*(1-'Input Sheet year 2'!N95))</f>
        <v>0</v>
      </c>
      <c r="K94" s="73">
        <f>'Year 1 Results'!V94*-1+('Year 1 Results'!V94*'Event Trigger'!$E95*(1-'Input Sheet year 2'!O95))</f>
        <v>0</v>
      </c>
      <c r="L94" s="73">
        <f>'Year 1 Results'!W94*-1+('Year 1 Results'!W94*'Event Trigger'!$E95*(1-'Input Sheet year 2'!P95))</f>
        <v>0</v>
      </c>
      <c r="M94" s="73">
        <f>'Year 1 Results'!X94*-1+('Year 1 Results'!X94*'Event Trigger'!$E95*(1-'Input Sheet year 2'!Q95))</f>
        <v>0</v>
      </c>
      <c r="N94" s="88"/>
      <c r="O94" s="88">
        <f t="shared" si="10"/>
        <v>0</v>
      </c>
      <c r="P94" s="88">
        <f t="shared" si="11"/>
        <v>0</v>
      </c>
      <c r="Q94" s="88">
        <f t="shared" si="12"/>
        <v>0</v>
      </c>
      <c r="R94" s="88">
        <f t="shared" si="13"/>
        <v>0</v>
      </c>
      <c r="S94" s="88">
        <f t="shared" si="14"/>
        <v>0</v>
      </c>
      <c r="T94" s="88">
        <f t="shared" si="15"/>
        <v>0</v>
      </c>
      <c r="U94" s="88">
        <f t="shared" si="16"/>
        <v>0</v>
      </c>
      <c r="V94" s="88">
        <f t="shared" si="17"/>
        <v>0</v>
      </c>
      <c r="W94" s="88">
        <f t="shared" si="18"/>
        <v>0</v>
      </c>
      <c r="X94" s="88">
        <f t="shared" si="19"/>
        <v>0</v>
      </c>
      <c r="Z94" s="51" t="s">
        <v>257</v>
      </c>
      <c r="AA94" s="52">
        <f>IF('Year 1 Results'!AA94*COUNTIF('Event Trigger'!$C:$C,'Year 2 Results'!$Z94)&gt;SUMIF('Event Trigger'!$C:$C,$Z94,D:D),0,'Year 1 Results'!AA94)</f>
        <v>0</v>
      </c>
      <c r="AB94" s="52">
        <f>IF('Year 1 Results'!AB94*COUNTIF('Event Trigger'!$C:$C,'Year 2 Results'!$Z94)&gt;SUMIF('Event Trigger'!$C:$C,$Z94,E:E),0,'Year 1 Results'!AB94)</f>
        <v>400000</v>
      </c>
      <c r="AC94" s="52">
        <f>IF('Year 1 Results'!AC94*COUNTIF('Event Trigger'!$C:$C,'Year 2 Results'!$Z94)&gt;SUMIF('Event Trigger'!$C:$C,$Z94,F:F),0,'Year 1 Results'!AC94)</f>
        <v>0</v>
      </c>
      <c r="AD94" s="52">
        <f>IF('Year 1 Results'!AD94*COUNTIF('Event Trigger'!$C:$C,'Year 2 Results'!$Z94)&gt;SUMIF('Event Trigger'!$C:$C,$Z94,G:G),0,'Year 1 Results'!AD94)</f>
        <v>400000</v>
      </c>
      <c r="AE94" s="52">
        <f>IF('Year 1 Results'!AE94*COUNTIF('Event Trigger'!$C:$C,'Year 2 Results'!$Z94)&gt;SUMIF('Event Trigger'!$C:$C,$Z94,H:H),0,'Year 1 Results'!AE94)</f>
        <v>400000</v>
      </c>
      <c r="AF94" s="52">
        <f>IF('Year 1 Results'!AF94*COUNTIF('Event Trigger'!$C:$C,'Year 2 Results'!$Z94)&gt;SUMIF('Event Trigger'!$C:$C,$Z94,I:I),0,'Year 1 Results'!AF94)</f>
        <v>0</v>
      </c>
      <c r="AG94" s="52">
        <f>IF('Year 1 Results'!AG94*COUNTIF('Event Trigger'!$C:$C,'Year 2 Results'!$Z94)&gt;SUMIF('Event Trigger'!$C:$C,$Z94,J:J),0,'Year 1 Results'!AG94)</f>
        <v>400000</v>
      </c>
      <c r="AH94" s="52">
        <f>IF('Year 1 Results'!AH94*COUNTIF('Event Trigger'!$C:$C,'Year 2 Results'!$Z94)&gt;SUMIF('Event Trigger'!$C:$C,$Z94,K:K),0,'Year 1 Results'!AH94)</f>
        <v>0</v>
      </c>
      <c r="AI94" s="52">
        <f>IF('Year 1 Results'!AI94*COUNTIF('Event Trigger'!$C:$C,'Year 2 Results'!$Z94)&gt;SUMIF('Event Trigger'!$C:$C,$Z94,L:L),0,'Year 1 Results'!AI94)</f>
        <v>0</v>
      </c>
      <c r="AJ94" s="52">
        <f>IF('Year 1 Results'!AJ94*COUNTIF('Event Trigger'!$C:$C,'Year 2 Results'!$Z94)&gt;SUMIF('Event Trigger'!$C:$C,$Z94,M:M),0,'Year 1 Results'!AJ94)</f>
        <v>0</v>
      </c>
    </row>
    <row r="95" spans="1:36" ht="25.5" x14ac:dyDescent="0.25">
      <c r="A95" s="37" t="str">
        <f>'Risk Master'!B95:B183&amp;"-"&amp;'Risk Master'!D95</f>
        <v>Thunderstorms, Tornados &amp; Hail-Germany</v>
      </c>
      <c r="B95" s="37" t="str">
        <f>'Input Sheet year 2'!B96</f>
        <v>Thunderstorms, Tornados &amp; Hail-Germany</v>
      </c>
      <c r="C95" s="29" t="str">
        <f>'Risk Master'!F95</f>
        <v>A30</v>
      </c>
      <c r="D95" s="73">
        <f>'Year 1 Results'!O95*-1+('Year 1 Results'!O95*'Event Trigger'!$E96*(1-'Input Sheet year 2'!H96))</f>
        <v>200000</v>
      </c>
      <c r="E95" s="73">
        <f>'Year 1 Results'!P95*-1+('Year 1 Results'!P95*'Event Trigger'!$E96*(1-'Input Sheet year 2'!I96))</f>
        <v>200000</v>
      </c>
      <c r="F95" s="73">
        <f>'Year 1 Results'!Q95*-1+('Year 1 Results'!Q95*'Event Trigger'!$E96*(1-'Input Sheet year 2'!J96))</f>
        <v>200000</v>
      </c>
      <c r="G95" s="73">
        <f>'Year 1 Results'!R95*-1+('Year 1 Results'!R95*'Event Trigger'!$E96*(1-'Input Sheet year 2'!K96))</f>
        <v>200000</v>
      </c>
      <c r="H95" s="73">
        <f>'Year 1 Results'!S95*-1+('Year 1 Results'!S95*'Event Trigger'!$E96*(1-'Input Sheet year 2'!L96))</f>
        <v>200000</v>
      </c>
      <c r="I95" s="73">
        <f>'Year 1 Results'!T95*-1+('Year 1 Results'!T95*'Event Trigger'!$E96*(1-'Input Sheet year 2'!M96))</f>
        <v>200000</v>
      </c>
      <c r="J95" s="73">
        <f>'Year 1 Results'!U95*-1+('Year 1 Results'!U95*'Event Trigger'!$E96*(1-'Input Sheet year 2'!N96))</f>
        <v>200000</v>
      </c>
      <c r="K95" s="73">
        <f>'Year 1 Results'!V95*-1+('Year 1 Results'!V95*'Event Trigger'!$E96*(1-'Input Sheet year 2'!O96))</f>
        <v>200000</v>
      </c>
      <c r="L95" s="73">
        <f>'Year 1 Results'!W95*-1+('Year 1 Results'!W95*'Event Trigger'!$E96*(1-'Input Sheet year 2'!P96))</f>
        <v>200000</v>
      </c>
      <c r="M95" s="73">
        <f>'Year 1 Results'!X95*-1+('Year 1 Results'!X95*'Event Trigger'!$E96*(1-'Input Sheet year 2'!Q96))</f>
        <v>200000</v>
      </c>
      <c r="N95" s="88"/>
      <c r="O95" s="88">
        <f t="shared" si="10"/>
        <v>0</v>
      </c>
      <c r="P95" s="88">
        <f t="shared" si="11"/>
        <v>0</v>
      </c>
      <c r="Q95" s="88">
        <f t="shared" si="12"/>
        <v>0</v>
      </c>
      <c r="R95" s="88">
        <f t="shared" si="13"/>
        <v>0</v>
      </c>
      <c r="S95" s="88">
        <f t="shared" si="14"/>
        <v>0</v>
      </c>
      <c r="T95" s="88">
        <f t="shared" si="15"/>
        <v>0</v>
      </c>
      <c r="U95" s="88">
        <f t="shared" si="16"/>
        <v>0</v>
      </c>
      <c r="V95" s="88">
        <f t="shared" si="17"/>
        <v>0</v>
      </c>
      <c r="W95" s="88">
        <f t="shared" si="18"/>
        <v>0</v>
      </c>
      <c r="X95" s="88">
        <f t="shared" si="19"/>
        <v>0</v>
      </c>
      <c r="Z95" s="51" t="s">
        <v>258</v>
      </c>
      <c r="AA95" s="52">
        <f>IF('Year 1 Results'!AA95*COUNTIF('Event Trigger'!$C:$C,'Year 2 Results'!$Z95)&gt;SUMIF('Event Trigger'!$C:$C,$Z95,D:D),0,'Year 1 Results'!AA95)</f>
        <v>0</v>
      </c>
      <c r="AB95" s="52">
        <f>IF('Year 1 Results'!AB95*COUNTIF('Event Trigger'!$C:$C,'Year 2 Results'!$Z95)&gt;SUMIF('Event Trigger'!$C:$C,$Z95,E:E),0,'Year 1 Results'!AB95)</f>
        <v>0</v>
      </c>
      <c r="AC95" s="52">
        <f>IF('Year 1 Results'!AC95*COUNTIF('Event Trigger'!$C:$C,'Year 2 Results'!$Z95)&gt;SUMIF('Event Trigger'!$C:$C,$Z95,F:F),0,'Year 1 Results'!AC95)</f>
        <v>0</v>
      </c>
      <c r="AD95" s="52">
        <f>IF('Year 1 Results'!AD95*COUNTIF('Event Trigger'!$C:$C,'Year 2 Results'!$Z95)&gt;SUMIF('Event Trigger'!$C:$C,$Z95,G:G),0,'Year 1 Results'!AD95)</f>
        <v>0</v>
      </c>
      <c r="AE95" s="52">
        <f>IF('Year 1 Results'!AE95*COUNTIF('Event Trigger'!$C:$C,'Year 2 Results'!$Z95)&gt;SUMIF('Event Trigger'!$C:$C,$Z95,H:H),0,'Year 1 Results'!AE95)</f>
        <v>0</v>
      </c>
      <c r="AF95" s="52">
        <f>IF('Year 1 Results'!AF95*COUNTIF('Event Trigger'!$C:$C,'Year 2 Results'!$Z95)&gt;SUMIF('Event Trigger'!$C:$C,$Z95,I:I),0,'Year 1 Results'!AF95)</f>
        <v>0</v>
      </c>
      <c r="AG95" s="52">
        <f>IF('Year 1 Results'!AG95*COUNTIF('Event Trigger'!$C:$C,'Year 2 Results'!$Z95)&gt;SUMIF('Event Trigger'!$C:$C,$Z95,J:J),0,'Year 1 Results'!AG95)</f>
        <v>300000</v>
      </c>
      <c r="AH95" s="52">
        <f>IF('Year 1 Results'!AH95*COUNTIF('Event Trigger'!$C:$C,'Year 2 Results'!$Z95)&gt;SUMIF('Event Trigger'!$C:$C,$Z95,K:K),0,'Year 1 Results'!AH95)</f>
        <v>0</v>
      </c>
      <c r="AI95" s="52">
        <f>IF('Year 1 Results'!AI95*COUNTIF('Event Trigger'!$C:$C,'Year 2 Results'!$Z95)&gt;SUMIF('Event Trigger'!$C:$C,$Z95,L:L),0,'Year 1 Results'!AI95)</f>
        <v>0</v>
      </c>
      <c r="AJ95" s="52">
        <f>IF('Year 1 Results'!AJ95*COUNTIF('Event Trigger'!$C:$C,'Year 2 Results'!$Z95)&gt;SUMIF('Event Trigger'!$C:$C,$Z95,M:M),0,'Year 1 Results'!AJ95)</f>
        <v>300000</v>
      </c>
    </row>
    <row r="96" spans="1:36" ht="38.25" x14ac:dyDescent="0.25">
      <c r="A96" s="37" t="str">
        <f>'Risk Master'!B96:B183&amp;"-"&amp;'Risk Master'!D96</f>
        <v>Extremely Dangerous Super Typhoon Haiyan (Yolanda) to Strike the Philippines -Manila</v>
      </c>
      <c r="B96" s="37" t="str">
        <f>'Input Sheet year 2'!B97</f>
        <v>Hurricane-Typhoon -Manila</v>
      </c>
      <c r="C96" s="29" t="str">
        <f>'Risk Master'!F96</f>
        <v>A34</v>
      </c>
      <c r="D96" s="73">
        <f>'Year 1 Results'!O96*-1+('Year 1 Results'!O96*'Event Trigger'!$E97*(1-'Input Sheet year 2'!H97))</f>
        <v>0</v>
      </c>
      <c r="E96" s="73">
        <f>'Year 1 Results'!P96*-1+('Year 1 Results'!P96*'Event Trigger'!$E97*(1-'Input Sheet year 2'!I97))</f>
        <v>0</v>
      </c>
      <c r="F96" s="73">
        <f>'Year 1 Results'!Q96*-1+('Year 1 Results'!Q96*'Event Trigger'!$E97*(1-'Input Sheet year 2'!J97))</f>
        <v>0</v>
      </c>
      <c r="G96" s="73">
        <f>'Year 1 Results'!R96*-1+('Year 1 Results'!R96*'Event Trigger'!$E97*(1-'Input Sheet year 2'!K97))</f>
        <v>0</v>
      </c>
      <c r="H96" s="73">
        <f>'Year 1 Results'!S96*-1+('Year 1 Results'!S96*'Event Trigger'!$E97*(1-'Input Sheet year 2'!L97))</f>
        <v>0</v>
      </c>
      <c r="I96" s="73">
        <f>'Year 1 Results'!T96*-1+('Year 1 Results'!T96*'Event Trigger'!$E97*(1-'Input Sheet year 2'!M97))</f>
        <v>0</v>
      </c>
      <c r="J96" s="73">
        <f>'Year 1 Results'!U96*-1+('Year 1 Results'!U96*'Event Trigger'!$E97*(1-'Input Sheet year 2'!N97))</f>
        <v>0</v>
      </c>
      <c r="K96" s="73">
        <f>'Year 1 Results'!V96*-1+('Year 1 Results'!V96*'Event Trigger'!$E97*(1-'Input Sheet year 2'!O97))</f>
        <v>0</v>
      </c>
      <c r="L96" s="73">
        <f>'Year 1 Results'!W96*-1+('Year 1 Results'!W96*'Event Trigger'!$E97*(1-'Input Sheet year 2'!P97))</f>
        <v>0</v>
      </c>
      <c r="M96" s="73">
        <f>'Year 1 Results'!X96*-1+('Year 1 Results'!X96*'Event Trigger'!$E97*(1-'Input Sheet year 2'!Q97))</f>
        <v>0</v>
      </c>
      <c r="N96" s="88"/>
      <c r="O96" s="88">
        <f t="shared" si="10"/>
        <v>0</v>
      </c>
      <c r="P96" s="88">
        <f t="shared" si="11"/>
        <v>0</v>
      </c>
      <c r="Q96" s="88">
        <f t="shared" si="12"/>
        <v>0</v>
      </c>
      <c r="R96" s="88">
        <f t="shared" si="13"/>
        <v>0</v>
      </c>
      <c r="S96" s="88">
        <f t="shared" si="14"/>
        <v>0</v>
      </c>
      <c r="T96" s="88">
        <f t="shared" si="15"/>
        <v>0</v>
      </c>
      <c r="U96" s="88">
        <f t="shared" si="16"/>
        <v>0</v>
      </c>
      <c r="V96" s="88">
        <f t="shared" si="17"/>
        <v>0</v>
      </c>
      <c r="W96" s="88">
        <f t="shared" si="18"/>
        <v>0</v>
      </c>
      <c r="X96" s="88">
        <f t="shared" si="19"/>
        <v>0</v>
      </c>
      <c r="Z96" s="51" t="s">
        <v>259</v>
      </c>
      <c r="AA96" s="52">
        <f>IF('Year 1 Results'!AA96*COUNTIF('Event Trigger'!$C:$C,'Year 2 Results'!$Z96)&gt;SUMIF('Event Trigger'!$C:$C,$Z96,D:D),0,'Year 1 Results'!AA96)</f>
        <v>0</v>
      </c>
      <c r="AB96" s="52">
        <f>IF('Year 1 Results'!AB96*COUNTIF('Event Trigger'!$C:$C,'Year 2 Results'!$Z96)&gt;SUMIF('Event Trigger'!$C:$C,$Z96,E:E),0,'Year 1 Results'!AB96)</f>
        <v>0</v>
      </c>
      <c r="AC96" s="52">
        <f>IF('Year 1 Results'!AC96*COUNTIF('Event Trigger'!$C:$C,'Year 2 Results'!$Z96)&gt;SUMIF('Event Trigger'!$C:$C,$Z96,F:F),0,'Year 1 Results'!AC96)</f>
        <v>0</v>
      </c>
      <c r="AD96" s="52">
        <f>IF('Year 1 Results'!AD96*COUNTIF('Event Trigger'!$C:$C,'Year 2 Results'!$Z96)&gt;SUMIF('Event Trigger'!$C:$C,$Z96,G:G),0,'Year 1 Results'!AD96)</f>
        <v>0</v>
      </c>
      <c r="AE96" s="52">
        <f>IF('Year 1 Results'!AE96*COUNTIF('Event Trigger'!$C:$C,'Year 2 Results'!$Z96)&gt;SUMIF('Event Trigger'!$C:$C,$Z96,H:H),0,'Year 1 Results'!AE96)</f>
        <v>0</v>
      </c>
      <c r="AF96" s="52">
        <f>IF('Year 1 Results'!AF96*COUNTIF('Event Trigger'!$C:$C,'Year 2 Results'!$Z96)&gt;SUMIF('Event Trigger'!$C:$C,$Z96,I:I),0,'Year 1 Results'!AF96)</f>
        <v>0</v>
      </c>
      <c r="AG96" s="52">
        <f>IF('Year 1 Results'!AG96*COUNTIF('Event Trigger'!$C:$C,'Year 2 Results'!$Z96)&gt;SUMIF('Event Trigger'!$C:$C,$Z96,J:J),0,'Year 1 Results'!AG96)</f>
        <v>0</v>
      </c>
      <c r="AH96" s="52">
        <f>IF('Year 1 Results'!AH96*COUNTIF('Event Trigger'!$C:$C,'Year 2 Results'!$Z96)&gt;SUMIF('Event Trigger'!$C:$C,$Z96,K:K),0,'Year 1 Results'!AH96)</f>
        <v>0</v>
      </c>
      <c r="AI96" s="52">
        <f>IF('Year 1 Results'!AI96*COUNTIF('Event Trigger'!$C:$C,'Year 2 Results'!$Z96)&gt;SUMIF('Event Trigger'!$C:$C,$Z96,L:L),0,'Year 1 Results'!AI96)</f>
        <v>0</v>
      </c>
      <c r="AJ96" s="52">
        <f>IF('Year 1 Results'!AJ96*COUNTIF('Event Trigger'!$C:$C,'Year 2 Results'!$Z96)&gt;SUMIF('Event Trigger'!$C:$C,$Z96,M:M),0,'Year 1 Results'!AJ96)</f>
        <v>0</v>
      </c>
    </row>
    <row r="97" spans="1:36" x14ac:dyDescent="0.25">
      <c r="A97" s="37" t="str">
        <f>'Risk Master'!B97:B183&amp;"-"&amp;'Risk Master'!D97</f>
        <v>Earthquake-Manila</v>
      </c>
      <c r="B97" s="37" t="str">
        <f>'Input Sheet year 2'!B98</f>
        <v>Earthquake-Manila</v>
      </c>
      <c r="C97" s="29" t="str">
        <f>'Risk Master'!F97</f>
        <v>A34</v>
      </c>
      <c r="D97" s="73">
        <f>'Year 1 Results'!O97*-1+('Year 1 Results'!O97*'Event Trigger'!$E98*(1-'Input Sheet year 2'!H98))</f>
        <v>400000</v>
      </c>
      <c r="E97" s="73">
        <f>'Year 1 Results'!P97*-1+('Year 1 Results'!P97*'Event Trigger'!$E98*(1-'Input Sheet year 2'!I98))</f>
        <v>0</v>
      </c>
      <c r="F97" s="73">
        <f>'Year 1 Results'!Q97*-1+('Year 1 Results'!Q97*'Event Trigger'!$E98*(1-'Input Sheet year 2'!J98))</f>
        <v>400000</v>
      </c>
      <c r="G97" s="73">
        <f>'Year 1 Results'!R97*-1+('Year 1 Results'!R97*'Event Trigger'!$E98*(1-'Input Sheet year 2'!K98))</f>
        <v>0</v>
      </c>
      <c r="H97" s="73">
        <f>'Year 1 Results'!S97*-1+('Year 1 Results'!S97*'Event Trigger'!$E98*(1-'Input Sheet year 2'!L98))</f>
        <v>400000</v>
      </c>
      <c r="I97" s="73">
        <f>'Year 1 Results'!T97*-1+('Year 1 Results'!T97*'Event Trigger'!$E98*(1-'Input Sheet year 2'!M98))</f>
        <v>0</v>
      </c>
      <c r="J97" s="73">
        <f>'Year 1 Results'!U97*-1+('Year 1 Results'!U97*'Event Trigger'!$E98*(1-'Input Sheet year 2'!N98))</f>
        <v>0</v>
      </c>
      <c r="K97" s="73">
        <f>'Year 1 Results'!V97*-1+('Year 1 Results'!V97*'Event Trigger'!$E98*(1-'Input Sheet year 2'!O98))</f>
        <v>0</v>
      </c>
      <c r="L97" s="73">
        <f>'Year 1 Results'!W97*-1+('Year 1 Results'!W97*'Event Trigger'!$E98*(1-'Input Sheet year 2'!P98))</f>
        <v>0</v>
      </c>
      <c r="M97" s="73">
        <f>'Year 1 Results'!X97*-1+('Year 1 Results'!X97*'Event Trigger'!$E98*(1-'Input Sheet year 2'!Q98))</f>
        <v>400000</v>
      </c>
      <c r="N97" s="88"/>
      <c r="O97" s="88">
        <f t="shared" si="10"/>
        <v>0</v>
      </c>
      <c r="P97" s="88">
        <f t="shared" si="11"/>
        <v>0</v>
      </c>
      <c r="Q97" s="88">
        <f t="shared" si="12"/>
        <v>0</v>
      </c>
      <c r="R97" s="88">
        <f t="shared" si="13"/>
        <v>0</v>
      </c>
      <c r="S97" s="88">
        <f t="shared" si="14"/>
        <v>0</v>
      </c>
      <c r="T97" s="88">
        <f t="shared" si="15"/>
        <v>0</v>
      </c>
      <c r="U97" s="88">
        <f t="shared" si="16"/>
        <v>0</v>
      </c>
      <c r="V97" s="88">
        <f t="shared" si="17"/>
        <v>0</v>
      </c>
      <c r="W97" s="88">
        <f t="shared" si="18"/>
        <v>0</v>
      </c>
      <c r="X97" s="88">
        <f t="shared" si="19"/>
        <v>0</v>
      </c>
      <c r="Z97" s="51" t="s">
        <v>260</v>
      </c>
      <c r="AA97" s="52">
        <f>IF('Year 1 Results'!AA97*COUNTIF('Event Trigger'!$C:$C,'Year 2 Results'!$Z97)&gt;SUMIF('Event Trigger'!$C:$C,$Z97,D:D),0,'Year 1 Results'!AA97)</f>
        <v>0</v>
      </c>
      <c r="AB97" s="52">
        <f>IF('Year 1 Results'!AB97*COUNTIF('Event Trigger'!$C:$C,'Year 2 Results'!$Z97)&gt;SUMIF('Event Trigger'!$C:$C,$Z97,E:E),0,'Year 1 Results'!AB97)</f>
        <v>0</v>
      </c>
      <c r="AC97" s="52">
        <f>IF('Year 1 Results'!AC97*COUNTIF('Event Trigger'!$C:$C,'Year 2 Results'!$Z97)&gt;SUMIF('Event Trigger'!$C:$C,$Z97,F:F),0,'Year 1 Results'!AC97)</f>
        <v>0</v>
      </c>
      <c r="AD97" s="52">
        <f>IF('Year 1 Results'!AD97*COUNTIF('Event Trigger'!$C:$C,'Year 2 Results'!$Z97)&gt;SUMIF('Event Trigger'!$C:$C,$Z97,G:G),0,'Year 1 Results'!AD97)</f>
        <v>0</v>
      </c>
      <c r="AE97" s="52">
        <f>IF('Year 1 Results'!AE97*COUNTIF('Event Trigger'!$C:$C,'Year 2 Results'!$Z97)&gt;SUMIF('Event Trigger'!$C:$C,$Z97,H:H),0,'Year 1 Results'!AE97)</f>
        <v>0</v>
      </c>
      <c r="AF97" s="52">
        <f>IF('Year 1 Results'!AF97*COUNTIF('Event Trigger'!$C:$C,'Year 2 Results'!$Z97)&gt;SUMIF('Event Trigger'!$C:$C,$Z97,I:I),0,'Year 1 Results'!AF97)</f>
        <v>0</v>
      </c>
      <c r="AG97" s="52">
        <f>IF('Year 1 Results'!AG97*COUNTIF('Event Trigger'!$C:$C,'Year 2 Results'!$Z97)&gt;SUMIF('Event Trigger'!$C:$C,$Z97,J:J),0,'Year 1 Results'!AG97)</f>
        <v>0</v>
      </c>
      <c r="AH97" s="52">
        <f>IF('Year 1 Results'!AH97*COUNTIF('Event Trigger'!$C:$C,'Year 2 Results'!$Z97)&gt;SUMIF('Event Trigger'!$C:$C,$Z97,K:K),0,'Year 1 Results'!AH97)</f>
        <v>0</v>
      </c>
      <c r="AI97" s="52">
        <f>IF('Year 1 Results'!AI97*COUNTIF('Event Trigger'!$C:$C,'Year 2 Results'!$Z97)&gt;SUMIF('Event Trigger'!$C:$C,$Z97,L:L),0,'Year 1 Results'!AI97)</f>
        <v>0</v>
      </c>
      <c r="AJ97" s="52">
        <f>IF('Year 1 Results'!AJ97*COUNTIF('Event Trigger'!$C:$C,'Year 2 Results'!$Z97)&gt;SUMIF('Event Trigger'!$C:$C,$Z97,M:M),0,'Year 1 Results'!AJ97)</f>
        <v>0</v>
      </c>
    </row>
    <row r="98" spans="1:36" x14ac:dyDescent="0.25">
      <c r="A98" s="37" t="str">
        <f>'Risk Master'!B98:B183&amp;"-"&amp;'Risk Master'!D98</f>
        <v>Fire-Manila</v>
      </c>
      <c r="B98" s="37" t="str">
        <f>'Input Sheet year 2'!B99</f>
        <v>Fire-Manila</v>
      </c>
      <c r="C98" s="29" t="str">
        <f>'Risk Master'!F98</f>
        <v>A34</v>
      </c>
      <c r="D98" s="73">
        <f>'Year 1 Results'!O98*-1+('Year 1 Results'!O98*'Event Trigger'!$E99*(1-'Input Sheet year 2'!H99))</f>
        <v>400000</v>
      </c>
      <c r="E98" s="73">
        <f>'Year 1 Results'!P98*-1+('Year 1 Results'!P98*'Event Trigger'!$E99*(1-'Input Sheet year 2'!I99))</f>
        <v>0</v>
      </c>
      <c r="F98" s="73">
        <f>'Year 1 Results'!Q98*-1+('Year 1 Results'!Q98*'Event Trigger'!$E99*(1-'Input Sheet year 2'!J99))</f>
        <v>400000</v>
      </c>
      <c r="G98" s="73">
        <f>'Year 1 Results'!R98*-1+('Year 1 Results'!R98*'Event Trigger'!$E99*(1-'Input Sheet year 2'!K99))</f>
        <v>0</v>
      </c>
      <c r="H98" s="73">
        <f>'Year 1 Results'!S98*-1+('Year 1 Results'!S98*'Event Trigger'!$E99*(1-'Input Sheet year 2'!L99))</f>
        <v>400000</v>
      </c>
      <c r="I98" s="73">
        <f>'Year 1 Results'!T98*-1+('Year 1 Results'!T98*'Event Trigger'!$E99*(1-'Input Sheet year 2'!M99))</f>
        <v>0</v>
      </c>
      <c r="J98" s="73">
        <f>'Year 1 Results'!U98*-1+('Year 1 Results'!U98*'Event Trigger'!$E99*(1-'Input Sheet year 2'!N99))</f>
        <v>0</v>
      </c>
      <c r="K98" s="73">
        <f>'Year 1 Results'!V98*-1+('Year 1 Results'!V98*'Event Trigger'!$E99*(1-'Input Sheet year 2'!O99))</f>
        <v>0</v>
      </c>
      <c r="L98" s="73">
        <f>'Year 1 Results'!W98*-1+('Year 1 Results'!W98*'Event Trigger'!$E99*(1-'Input Sheet year 2'!P99))</f>
        <v>0</v>
      </c>
      <c r="M98" s="73">
        <f>'Year 1 Results'!X98*-1+('Year 1 Results'!X98*'Event Trigger'!$E99*(1-'Input Sheet year 2'!Q99))</f>
        <v>400000</v>
      </c>
      <c r="N98" s="88"/>
      <c r="O98" s="88">
        <f t="shared" si="10"/>
        <v>0</v>
      </c>
      <c r="P98" s="88">
        <f t="shared" si="11"/>
        <v>0</v>
      </c>
      <c r="Q98" s="88">
        <f t="shared" si="12"/>
        <v>0</v>
      </c>
      <c r="R98" s="88">
        <f t="shared" si="13"/>
        <v>0</v>
      </c>
      <c r="S98" s="88">
        <f t="shared" si="14"/>
        <v>0</v>
      </c>
      <c r="T98" s="88">
        <f t="shared" si="15"/>
        <v>0</v>
      </c>
      <c r="U98" s="88">
        <f t="shared" si="16"/>
        <v>0</v>
      </c>
      <c r="V98" s="88">
        <f t="shared" si="17"/>
        <v>0</v>
      </c>
      <c r="W98" s="88">
        <f t="shared" si="18"/>
        <v>0</v>
      </c>
      <c r="X98" s="88">
        <f t="shared" si="19"/>
        <v>0</v>
      </c>
      <c r="Z98" s="51" t="s">
        <v>261</v>
      </c>
      <c r="AA98" s="52">
        <f>IF('Year 1 Results'!AA98*COUNTIF('Event Trigger'!$C:$C,'Year 2 Results'!$Z98)&gt;SUMIF('Event Trigger'!$C:$C,$Z98,D:D),0,'Year 1 Results'!AA98)</f>
        <v>0</v>
      </c>
      <c r="AB98" s="52">
        <f>IF('Year 1 Results'!AB98*COUNTIF('Event Trigger'!$C:$C,'Year 2 Results'!$Z98)&gt;SUMIF('Event Trigger'!$C:$C,$Z98,E:E),0,'Year 1 Results'!AB98)</f>
        <v>0</v>
      </c>
      <c r="AC98" s="52">
        <f>IF('Year 1 Results'!AC98*COUNTIF('Event Trigger'!$C:$C,'Year 2 Results'!$Z98)&gt;SUMIF('Event Trigger'!$C:$C,$Z98,F:F),0,'Year 1 Results'!AC98)</f>
        <v>0</v>
      </c>
      <c r="AD98" s="52">
        <f>IF('Year 1 Results'!AD98*COUNTIF('Event Trigger'!$C:$C,'Year 2 Results'!$Z98)&gt;SUMIF('Event Trigger'!$C:$C,$Z98,G:G),0,'Year 1 Results'!AD98)</f>
        <v>0</v>
      </c>
      <c r="AE98" s="52">
        <f>IF('Year 1 Results'!AE98*COUNTIF('Event Trigger'!$C:$C,'Year 2 Results'!$Z98)&gt;SUMIF('Event Trigger'!$C:$C,$Z98,H:H),0,'Year 1 Results'!AE98)</f>
        <v>0</v>
      </c>
      <c r="AF98" s="52">
        <f>IF('Year 1 Results'!AF98*COUNTIF('Event Trigger'!$C:$C,'Year 2 Results'!$Z98)&gt;SUMIF('Event Trigger'!$C:$C,$Z98,I:I),0,'Year 1 Results'!AF98)</f>
        <v>0</v>
      </c>
      <c r="AG98" s="52">
        <f>IF('Year 1 Results'!AG98*COUNTIF('Event Trigger'!$C:$C,'Year 2 Results'!$Z98)&gt;SUMIF('Event Trigger'!$C:$C,$Z98,J:J),0,'Year 1 Results'!AG98)</f>
        <v>0</v>
      </c>
      <c r="AH98" s="52">
        <f>IF('Year 1 Results'!AH98*COUNTIF('Event Trigger'!$C:$C,'Year 2 Results'!$Z98)&gt;SUMIF('Event Trigger'!$C:$C,$Z98,K:K),0,'Year 1 Results'!AH98)</f>
        <v>0</v>
      </c>
      <c r="AI98" s="52">
        <f>IF('Year 1 Results'!AI98*COUNTIF('Event Trigger'!$C:$C,'Year 2 Results'!$Z98)&gt;SUMIF('Event Trigger'!$C:$C,$Z98,L:L),0,'Year 1 Results'!AI98)</f>
        <v>0</v>
      </c>
      <c r="AJ98" s="52">
        <f>IF('Year 1 Results'!AJ98*COUNTIF('Event Trigger'!$C:$C,'Year 2 Results'!$Z98)&gt;SUMIF('Event Trigger'!$C:$C,$Z98,M:M),0,'Year 1 Results'!AJ98)</f>
        <v>0</v>
      </c>
    </row>
    <row r="99" spans="1:36" x14ac:dyDescent="0.25">
      <c r="A99" s="37" t="str">
        <f>'Risk Master'!B99:B183&amp;"-"&amp;'Risk Master'!D99</f>
        <v>Earthquake-Manila</v>
      </c>
      <c r="B99" s="37" t="str">
        <f>'Input Sheet year 2'!B100</f>
        <v>Earthquake-Manila</v>
      </c>
      <c r="C99" s="29" t="str">
        <f>'Risk Master'!F99</f>
        <v>A33</v>
      </c>
      <c r="D99" s="73">
        <f>'Year 1 Results'!O99*-1+('Year 1 Results'!O99*'Event Trigger'!$E100*(1-'Input Sheet year 2'!H100))</f>
        <v>400000</v>
      </c>
      <c r="E99" s="73">
        <f>'Year 1 Results'!P99*-1+('Year 1 Results'!P99*'Event Trigger'!$E100*(1-'Input Sheet year 2'!I100))</f>
        <v>0</v>
      </c>
      <c r="F99" s="73">
        <f>'Year 1 Results'!Q99*-1+('Year 1 Results'!Q99*'Event Trigger'!$E100*(1-'Input Sheet year 2'!J100))</f>
        <v>0</v>
      </c>
      <c r="G99" s="73">
        <f>'Year 1 Results'!R99*-1+('Year 1 Results'!R99*'Event Trigger'!$E100*(1-'Input Sheet year 2'!K100))</f>
        <v>0</v>
      </c>
      <c r="H99" s="73">
        <f>'Year 1 Results'!S99*-1+('Year 1 Results'!S99*'Event Trigger'!$E100*(1-'Input Sheet year 2'!L100))</f>
        <v>0</v>
      </c>
      <c r="I99" s="73">
        <f>'Year 1 Results'!T99*-1+('Year 1 Results'!T99*'Event Trigger'!$E100*(1-'Input Sheet year 2'!M100))</f>
        <v>0</v>
      </c>
      <c r="J99" s="73">
        <f>'Year 1 Results'!U99*-1+('Year 1 Results'!U99*'Event Trigger'!$E100*(1-'Input Sheet year 2'!N100))</f>
        <v>400000</v>
      </c>
      <c r="K99" s="73">
        <f>'Year 1 Results'!V99*-1+('Year 1 Results'!V99*'Event Trigger'!$E100*(1-'Input Sheet year 2'!O100))</f>
        <v>0</v>
      </c>
      <c r="L99" s="73">
        <f>'Year 1 Results'!W99*-1+('Year 1 Results'!W99*'Event Trigger'!$E100*(1-'Input Sheet year 2'!P100))</f>
        <v>0</v>
      </c>
      <c r="M99" s="73">
        <f>'Year 1 Results'!X99*-1+('Year 1 Results'!X99*'Event Trigger'!$E100*(1-'Input Sheet year 2'!Q100))</f>
        <v>0</v>
      </c>
      <c r="N99" s="88"/>
      <c r="O99" s="88">
        <f t="shared" si="10"/>
        <v>-400000</v>
      </c>
      <c r="P99" s="88">
        <f t="shared" si="11"/>
        <v>0</v>
      </c>
      <c r="Q99" s="88">
        <f t="shared" si="12"/>
        <v>0</v>
      </c>
      <c r="R99" s="88">
        <f t="shared" si="13"/>
        <v>0</v>
      </c>
      <c r="S99" s="88">
        <f t="shared" si="14"/>
        <v>0</v>
      </c>
      <c r="T99" s="88">
        <f t="shared" si="15"/>
        <v>0</v>
      </c>
      <c r="U99" s="88">
        <f t="shared" si="16"/>
        <v>-400000</v>
      </c>
      <c r="V99" s="88">
        <f t="shared" si="17"/>
        <v>0</v>
      </c>
      <c r="W99" s="88">
        <f t="shared" si="18"/>
        <v>0</v>
      </c>
      <c r="X99" s="88">
        <f t="shared" si="19"/>
        <v>0</v>
      </c>
      <c r="Z99" s="51" t="s">
        <v>262</v>
      </c>
      <c r="AA99" s="52">
        <f>IF('Year 1 Results'!AA99*COUNTIF('Event Trigger'!$C:$C,'Year 2 Results'!$Z99)&gt;SUMIF('Event Trigger'!$C:$C,$Z99,D:D),0,'Year 1 Results'!AA99)</f>
        <v>300000</v>
      </c>
      <c r="AB99" s="52">
        <f>IF('Year 1 Results'!AB99*COUNTIF('Event Trigger'!$C:$C,'Year 2 Results'!$Z99)&gt;SUMIF('Event Trigger'!$C:$C,$Z99,E:E),0,'Year 1 Results'!AB99)</f>
        <v>300000</v>
      </c>
      <c r="AC99" s="52">
        <f>IF('Year 1 Results'!AC99*COUNTIF('Event Trigger'!$C:$C,'Year 2 Results'!$Z99)&gt;SUMIF('Event Trigger'!$C:$C,$Z99,F:F),0,'Year 1 Results'!AC99)</f>
        <v>300000</v>
      </c>
      <c r="AD99" s="52">
        <f>IF('Year 1 Results'!AD99*COUNTIF('Event Trigger'!$C:$C,'Year 2 Results'!$Z99)&gt;SUMIF('Event Trigger'!$C:$C,$Z99,G:G),0,'Year 1 Results'!AD99)</f>
        <v>300000</v>
      </c>
      <c r="AE99" s="52">
        <f>IF('Year 1 Results'!AE99*COUNTIF('Event Trigger'!$C:$C,'Year 2 Results'!$Z99)&gt;SUMIF('Event Trigger'!$C:$C,$Z99,H:H),0,'Year 1 Results'!AE99)</f>
        <v>300000</v>
      </c>
      <c r="AF99" s="52">
        <f>IF('Year 1 Results'!AF99*COUNTIF('Event Trigger'!$C:$C,'Year 2 Results'!$Z99)&gt;SUMIF('Event Trigger'!$C:$C,$Z99,I:I),0,'Year 1 Results'!AF99)</f>
        <v>300000</v>
      </c>
      <c r="AG99" s="52">
        <f>IF('Year 1 Results'!AG99*COUNTIF('Event Trigger'!$C:$C,'Year 2 Results'!$Z99)&gt;SUMIF('Event Trigger'!$C:$C,$Z99,J:J),0,'Year 1 Results'!AG99)</f>
        <v>300000</v>
      </c>
      <c r="AH99" s="52">
        <f>IF('Year 1 Results'!AH99*COUNTIF('Event Trigger'!$C:$C,'Year 2 Results'!$Z99)&gt;SUMIF('Event Trigger'!$C:$C,$Z99,K:K),0,'Year 1 Results'!AH99)</f>
        <v>300000</v>
      </c>
      <c r="AI99" s="52">
        <f>IF('Year 1 Results'!AI99*COUNTIF('Event Trigger'!$C:$C,'Year 2 Results'!$Z99)&gt;SUMIF('Event Trigger'!$C:$C,$Z99,L:L),0,'Year 1 Results'!AI99)</f>
        <v>300000</v>
      </c>
      <c r="AJ99" s="52">
        <f>IF('Year 1 Results'!AJ99*COUNTIF('Event Trigger'!$C:$C,'Year 2 Results'!$Z99)&gt;SUMIF('Event Trigger'!$C:$C,$Z99,M:M),0,'Year 1 Results'!AJ99)</f>
        <v>300000</v>
      </c>
    </row>
    <row r="100" spans="1:36" x14ac:dyDescent="0.25">
      <c r="A100" s="37" t="str">
        <f>'Risk Master'!B100:B183&amp;"-"&amp;'Risk Master'!D100</f>
        <v>Fire-Manila</v>
      </c>
      <c r="B100" s="37" t="str">
        <f>'Input Sheet year 2'!B101</f>
        <v>Fire-Manila</v>
      </c>
      <c r="C100" s="29" t="str">
        <f>'Risk Master'!F100</f>
        <v>A33</v>
      </c>
      <c r="D100" s="73">
        <f>'Year 1 Results'!O100*-1+('Year 1 Results'!O100*'Event Trigger'!$E101*(1-'Input Sheet year 2'!H101))</f>
        <v>400000</v>
      </c>
      <c r="E100" s="73">
        <f>'Year 1 Results'!P100*-1+('Year 1 Results'!P100*'Event Trigger'!$E101*(1-'Input Sheet year 2'!I101))</f>
        <v>0</v>
      </c>
      <c r="F100" s="73">
        <f>'Year 1 Results'!Q100*-1+('Year 1 Results'!Q100*'Event Trigger'!$E101*(1-'Input Sheet year 2'!J101))</f>
        <v>0</v>
      </c>
      <c r="G100" s="73">
        <f>'Year 1 Results'!R100*-1+('Year 1 Results'!R100*'Event Trigger'!$E101*(1-'Input Sheet year 2'!K101))</f>
        <v>0</v>
      </c>
      <c r="H100" s="73">
        <f>'Year 1 Results'!S100*-1+('Year 1 Results'!S100*'Event Trigger'!$E101*(1-'Input Sheet year 2'!L101))</f>
        <v>0</v>
      </c>
      <c r="I100" s="73">
        <f>'Year 1 Results'!T100*-1+('Year 1 Results'!T100*'Event Trigger'!$E101*(1-'Input Sheet year 2'!M101))</f>
        <v>0</v>
      </c>
      <c r="J100" s="73">
        <f>'Year 1 Results'!U100*-1+('Year 1 Results'!U100*'Event Trigger'!$E101*(1-'Input Sheet year 2'!N101))</f>
        <v>400000</v>
      </c>
      <c r="K100" s="73">
        <f>'Year 1 Results'!V100*-1+('Year 1 Results'!V100*'Event Trigger'!$E101*(1-'Input Sheet year 2'!O101))</f>
        <v>0</v>
      </c>
      <c r="L100" s="73">
        <f>'Year 1 Results'!W100*-1+('Year 1 Results'!W100*'Event Trigger'!$E101*(1-'Input Sheet year 2'!P101))</f>
        <v>0</v>
      </c>
      <c r="M100" s="73">
        <f>'Year 1 Results'!X100*-1+('Year 1 Results'!X100*'Event Trigger'!$E101*(1-'Input Sheet year 2'!Q101))</f>
        <v>0</v>
      </c>
      <c r="N100" s="88"/>
      <c r="O100" s="88">
        <f t="shared" si="10"/>
        <v>-400000</v>
      </c>
      <c r="P100" s="88">
        <f t="shared" si="11"/>
        <v>0</v>
      </c>
      <c r="Q100" s="88">
        <f t="shared" si="12"/>
        <v>0</v>
      </c>
      <c r="R100" s="88">
        <f t="shared" si="13"/>
        <v>0</v>
      </c>
      <c r="S100" s="88">
        <f t="shared" si="14"/>
        <v>0</v>
      </c>
      <c r="T100" s="88">
        <f t="shared" si="15"/>
        <v>0</v>
      </c>
      <c r="U100" s="88">
        <f t="shared" si="16"/>
        <v>-400000</v>
      </c>
      <c r="V100" s="88">
        <f t="shared" si="17"/>
        <v>0</v>
      </c>
      <c r="W100" s="88">
        <f t="shared" si="18"/>
        <v>0</v>
      </c>
      <c r="X100" s="88">
        <f t="shared" si="19"/>
        <v>0</v>
      </c>
      <c r="Z100" s="51" t="s">
        <v>263</v>
      </c>
      <c r="AA100" s="52">
        <f>IF('Year 1 Results'!AA100*COUNTIF('Event Trigger'!$C:$C,'Year 2 Results'!$Z100)&gt;SUMIF('Event Trigger'!$C:$C,$Z100,D:D),0,'Year 1 Results'!AA100)</f>
        <v>300000</v>
      </c>
      <c r="AB100" s="52">
        <f>IF('Year 1 Results'!AB100*COUNTIF('Event Trigger'!$C:$C,'Year 2 Results'!$Z100)&gt;SUMIF('Event Trigger'!$C:$C,$Z100,E:E),0,'Year 1 Results'!AB100)</f>
        <v>300000</v>
      </c>
      <c r="AC100" s="52">
        <f>IF('Year 1 Results'!AC100*COUNTIF('Event Trigger'!$C:$C,'Year 2 Results'!$Z100)&gt;SUMIF('Event Trigger'!$C:$C,$Z100,F:F),0,'Year 1 Results'!AC100)</f>
        <v>300000</v>
      </c>
      <c r="AD100" s="52">
        <f>IF('Year 1 Results'!AD100*COUNTIF('Event Trigger'!$C:$C,'Year 2 Results'!$Z100)&gt;SUMIF('Event Trigger'!$C:$C,$Z100,G:G),0,'Year 1 Results'!AD100)</f>
        <v>300000</v>
      </c>
      <c r="AE100" s="52">
        <f>IF('Year 1 Results'!AE100*COUNTIF('Event Trigger'!$C:$C,'Year 2 Results'!$Z100)&gt;SUMIF('Event Trigger'!$C:$C,$Z100,H:H),0,'Year 1 Results'!AE100)</f>
        <v>300000</v>
      </c>
      <c r="AF100" s="52">
        <f>IF('Year 1 Results'!AF100*COUNTIF('Event Trigger'!$C:$C,'Year 2 Results'!$Z100)&gt;SUMIF('Event Trigger'!$C:$C,$Z100,I:I),0,'Year 1 Results'!AF100)</f>
        <v>300000</v>
      </c>
      <c r="AG100" s="52">
        <f>IF('Year 1 Results'!AG100*COUNTIF('Event Trigger'!$C:$C,'Year 2 Results'!$Z100)&gt;SUMIF('Event Trigger'!$C:$C,$Z100,J:J),0,'Year 1 Results'!AG100)</f>
        <v>300000</v>
      </c>
      <c r="AH100" s="52">
        <f>IF('Year 1 Results'!AH100*COUNTIF('Event Trigger'!$C:$C,'Year 2 Results'!$Z100)&gt;SUMIF('Event Trigger'!$C:$C,$Z100,K:K),0,'Year 1 Results'!AH100)</f>
        <v>300000</v>
      </c>
      <c r="AI100" s="52">
        <f>IF('Year 1 Results'!AI100*COUNTIF('Event Trigger'!$C:$C,'Year 2 Results'!$Z100)&gt;SUMIF('Event Trigger'!$C:$C,$Z100,L:L),0,'Year 1 Results'!AI100)</f>
        <v>300000</v>
      </c>
      <c r="AJ100" s="52">
        <f>IF('Year 1 Results'!AJ100*COUNTIF('Event Trigger'!$C:$C,'Year 2 Results'!$Z100)&gt;SUMIF('Event Trigger'!$C:$C,$Z100,M:M),0,'Year 1 Results'!AJ100)</f>
        <v>300000</v>
      </c>
    </row>
    <row r="101" spans="1:36" x14ac:dyDescent="0.25">
      <c r="A101" s="37" t="str">
        <f>'Risk Master'!B101:B184&amp;"-"&amp;'Risk Master'!D101</f>
        <v>Typhoon Nari (Santi) -Manila</v>
      </c>
      <c r="B101" s="37" t="str">
        <f>'Input Sheet year 2'!B102</f>
        <v>Hurricane-Typhoon -Manila</v>
      </c>
      <c r="C101" s="29" t="str">
        <f>'Risk Master'!F101</f>
        <v>A36</v>
      </c>
      <c r="D101" s="73">
        <f>'Year 1 Results'!O101*-1+('Year 1 Results'!O101*'Event Trigger'!$E102*(1-'Input Sheet year 2'!H102))</f>
        <v>0</v>
      </c>
      <c r="E101" s="73">
        <f>'Year 1 Results'!P101*-1+('Year 1 Results'!P101*'Event Trigger'!$E102*(1-'Input Sheet year 2'!I102))</f>
        <v>300000</v>
      </c>
      <c r="F101" s="73">
        <f>'Year 1 Results'!Q101*-1+('Year 1 Results'!Q101*'Event Trigger'!$E102*(1-'Input Sheet year 2'!J102))</f>
        <v>0</v>
      </c>
      <c r="G101" s="73">
        <f>'Year 1 Results'!R101*-1+('Year 1 Results'!R101*'Event Trigger'!$E102*(1-'Input Sheet year 2'!K102))</f>
        <v>300000</v>
      </c>
      <c r="H101" s="73">
        <f>'Year 1 Results'!S101*-1+('Year 1 Results'!S101*'Event Trigger'!$E102*(1-'Input Sheet year 2'!L102))</f>
        <v>0</v>
      </c>
      <c r="I101" s="73">
        <f>'Year 1 Results'!T101*-1+('Year 1 Results'!T101*'Event Trigger'!$E102*(1-'Input Sheet year 2'!M102))</f>
        <v>300000</v>
      </c>
      <c r="J101" s="73">
        <f>'Year 1 Results'!U101*-1+('Year 1 Results'!U101*'Event Trigger'!$E102*(1-'Input Sheet year 2'!N102))</f>
        <v>0</v>
      </c>
      <c r="K101" s="73">
        <f>'Year 1 Results'!V101*-1+('Year 1 Results'!V101*'Event Trigger'!$E102*(1-'Input Sheet year 2'!O102))</f>
        <v>0</v>
      </c>
      <c r="L101" s="73">
        <f>'Year 1 Results'!W101*-1+('Year 1 Results'!W101*'Event Trigger'!$E102*(1-'Input Sheet year 2'!P102))</f>
        <v>300000</v>
      </c>
      <c r="M101" s="73">
        <f>'Year 1 Results'!X101*-1+('Year 1 Results'!X101*'Event Trigger'!$E102*(1-'Input Sheet year 2'!Q102))</f>
        <v>300000</v>
      </c>
      <c r="N101" s="88"/>
      <c r="O101" s="88">
        <f t="shared" si="10"/>
        <v>0</v>
      </c>
      <c r="P101" s="88">
        <f t="shared" si="11"/>
        <v>-300000</v>
      </c>
      <c r="Q101" s="88">
        <f t="shared" si="12"/>
        <v>0</v>
      </c>
      <c r="R101" s="88">
        <f t="shared" si="13"/>
        <v>-300000</v>
      </c>
      <c r="S101" s="88">
        <f t="shared" si="14"/>
        <v>0</v>
      </c>
      <c r="T101" s="88">
        <f t="shared" si="15"/>
        <v>-300000</v>
      </c>
      <c r="U101" s="88">
        <f t="shared" si="16"/>
        <v>0</v>
      </c>
      <c r="V101" s="88">
        <f t="shared" si="17"/>
        <v>0</v>
      </c>
      <c r="W101" s="88">
        <f t="shared" si="18"/>
        <v>-300000</v>
      </c>
      <c r="X101" s="88">
        <f t="shared" si="19"/>
        <v>-300000</v>
      </c>
      <c r="Z101" s="51" t="s">
        <v>264</v>
      </c>
      <c r="AA101" s="52">
        <f>IF('Year 1 Results'!AA101*COUNTIF('Event Trigger'!$C:$C,'Year 2 Results'!$Z101)&gt;SUMIF('Event Trigger'!$C:$C,$Z101,D:D),0,'Year 1 Results'!AA101)</f>
        <v>0</v>
      </c>
      <c r="AB101" s="52">
        <f>IF('Year 1 Results'!AB101*COUNTIF('Event Trigger'!$C:$C,'Year 2 Results'!$Z101)&gt;SUMIF('Event Trigger'!$C:$C,$Z101,E:E),0,'Year 1 Results'!AB101)</f>
        <v>0</v>
      </c>
      <c r="AC101" s="52">
        <f>IF('Year 1 Results'!AC101*COUNTIF('Event Trigger'!$C:$C,'Year 2 Results'!$Z101)&gt;SUMIF('Event Trigger'!$C:$C,$Z101,F:F),0,'Year 1 Results'!AC101)</f>
        <v>0</v>
      </c>
      <c r="AD101" s="52">
        <f>IF('Year 1 Results'!AD101*COUNTIF('Event Trigger'!$C:$C,'Year 2 Results'!$Z101)&gt;SUMIF('Event Trigger'!$C:$C,$Z101,G:G),0,'Year 1 Results'!AD101)</f>
        <v>0</v>
      </c>
      <c r="AE101" s="52">
        <f>IF('Year 1 Results'!AE101*COUNTIF('Event Trigger'!$C:$C,'Year 2 Results'!$Z101)&gt;SUMIF('Event Trigger'!$C:$C,$Z101,H:H),0,'Year 1 Results'!AE101)</f>
        <v>0</v>
      </c>
      <c r="AF101" s="52">
        <f>IF('Year 1 Results'!AF101*COUNTIF('Event Trigger'!$C:$C,'Year 2 Results'!$Z101)&gt;SUMIF('Event Trigger'!$C:$C,$Z101,I:I),0,'Year 1 Results'!AF101)</f>
        <v>0</v>
      </c>
      <c r="AG101" s="52">
        <f>IF('Year 1 Results'!AG101*COUNTIF('Event Trigger'!$C:$C,'Year 2 Results'!$Z101)&gt;SUMIF('Event Trigger'!$C:$C,$Z101,J:J),0,'Year 1 Results'!AG101)</f>
        <v>0</v>
      </c>
      <c r="AH101" s="52">
        <f>IF('Year 1 Results'!AH101*COUNTIF('Event Trigger'!$C:$C,'Year 2 Results'!$Z101)&gt;SUMIF('Event Trigger'!$C:$C,$Z101,K:K),0,'Year 1 Results'!AH101)</f>
        <v>0</v>
      </c>
      <c r="AI101" s="52">
        <f>IF('Year 1 Results'!AI101*COUNTIF('Event Trigger'!$C:$C,'Year 2 Results'!$Z101)&gt;SUMIF('Event Trigger'!$C:$C,$Z101,L:L),0,'Year 1 Results'!AI101)</f>
        <v>0</v>
      </c>
      <c r="AJ101" s="52">
        <f>IF('Year 1 Results'!AJ101*COUNTIF('Event Trigger'!$C:$C,'Year 2 Results'!$Z101)&gt;SUMIF('Event Trigger'!$C:$C,$Z101,M:M),0,'Year 1 Results'!AJ101)</f>
        <v>0</v>
      </c>
    </row>
    <row r="102" spans="1:36" x14ac:dyDescent="0.25">
      <c r="A102" s="37" t="str">
        <f>'Risk Master'!B102:B185&amp;"-"&amp;'Risk Master'!D102</f>
        <v>Earthquake-Manila</v>
      </c>
      <c r="B102" s="37" t="str">
        <f>'Input Sheet year 2'!B103</f>
        <v>Earthquake-Manila</v>
      </c>
      <c r="C102" s="29" t="str">
        <f>'Risk Master'!F102</f>
        <v>A38</v>
      </c>
      <c r="D102" s="73">
        <f>'Year 1 Results'!O102*-1+('Year 1 Results'!O102*'Event Trigger'!$E103*(1-'Input Sheet year 2'!H103))</f>
        <v>500000</v>
      </c>
      <c r="E102" s="73">
        <f>'Year 1 Results'!P102*-1+('Year 1 Results'!P102*'Event Trigger'!$E103*(1-'Input Sheet year 2'!I103))</f>
        <v>500000</v>
      </c>
      <c r="F102" s="73">
        <f>'Year 1 Results'!Q102*-1+('Year 1 Results'!Q102*'Event Trigger'!$E103*(1-'Input Sheet year 2'!J103))</f>
        <v>500000</v>
      </c>
      <c r="G102" s="73">
        <f>'Year 1 Results'!R102*-1+('Year 1 Results'!R102*'Event Trigger'!$E103*(1-'Input Sheet year 2'!K103))</f>
        <v>500000</v>
      </c>
      <c r="H102" s="73">
        <f>'Year 1 Results'!S102*-1+('Year 1 Results'!S102*'Event Trigger'!$E103*(1-'Input Sheet year 2'!L103))</f>
        <v>500000</v>
      </c>
      <c r="I102" s="73">
        <f>'Year 1 Results'!T102*-1+('Year 1 Results'!T102*'Event Trigger'!$E103*(1-'Input Sheet year 2'!M103))</f>
        <v>500000</v>
      </c>
      <c r="J102" s="73">
        <f>'Year 1 Results'!U102*-1+('Year 1 Results'!U102*'Event Trigger'!$E103*(1-'Input Sheet year 2'!N103))</f>
        <v>500000</v>
      </c>
      <c r="K102" s="73">
        <f>'Year 1 Results'!V102*-1+('Year 1 Results'!V102*'Event Trigger'!$E103*(1-'Input Sheet year 2'!O103))</f>
        <v>500000</v>
      </c>
      <c r="L102" s="73">
        <f>'Year 1 Results'!W102*-1+('Year 1 Results'!W102*'Event Trigger'!$E103*(1-'Input Sheet year 2'!P103))</f>
        <v>500000</v>
      </c>
      <c r="M102" s="73">
        <f>'Year 1 Results'!X102*-1+('Year 1 Results'!X102*'Event Trigger'!$E103*(1-'Input Sheet year 2'!Q103))</f>
        <v>500000</v>
      </c>
      <c r="N102" s="88"/>
      <c r="O102" s="88">
        <f t="shared" si="10"/>
        <v>-500000</v>
      </c>
      <c r="P102" s="88">
        <f t="shared" si="11"/>
        <v>-500000</v>
      </c>
      <c r="Q102" s="88">
        <f t="shared" si="12"/>
        <v>-500000</v>
      </c>
      <c r="R102" s="88">
        <f t="shared" si="13"/>
        <v>-500000</v>
      </c>
      <c r="S102" s="88">
        <f t="shared" si="14"/>
        <v>-500000</v>
      </c>
      <c r="T102" s="88">
        <f t="shared" si="15"/>
        <v>-500000</v>
      </c>
      <c r="U102" s="88">
        <f t="shared" si="16"/>
        <v>-500000</v>
      </c>
      <c r="V102" s="88">
        <f t="shared" si="17"/>
        <v>-500000</v>
      </c>
      <c r="W102" s="88">
        <f t="shared" si="18"/>
        <v>-500000</v>
      </c>
      <c r="X102" s="88">
        <f t="shared" si="19"/>
        <v>-500000</v>
      </c>
      <c r="Z102" s="51" t="s">
        <v>265</v>
      </c>
      <c r="AA102" s="52">
        <f>IF('Year 1 Results'!AA102*COUNTIF('Event Trigger'!$C:$C,'Year 2 Results'!$Z102)&gt;SUMIF('Event Trigger'!$C:$C,$Z102,D:D),0,'Year 1 Results'!AA102)</f>
        <v>0</v>
      </c>
      <c r="AB102" s="52">
        <f>IF('Year 1 Results'!AB102*COUNTIF('Event Trigger'!$C:$C,'Year 2 Results'!$Z102)&gt;SUMIF('Event Trigger'!$C:$C,$Z102,E:E),0,'Year 1 Results'!AB102)</f>
        <v>0</v>
      </c>
      <c r="AC102" s="52">
        <f>IF('Year 1 Results'!AC102*COUNTIF('Event Trigger'!$C:$C,'Year 2 Results'!$Z102)&gt;SUMIF('Event Trigger'!$C:$C,$Z102,F:F),0,'Year 1 Results'!AC102)</f>
        <v>0</v>
      </c>
      <c r="AD102" s="52">
        <f>IF('Year 1 Results'!AD102*COUNTIF('Event Trigger'!$C:$C,'Year 2 Results'!$Z102)&gt;SUMIF('Event Trigger'!$C:$C,$Z102,G:G),0,'Year 1 Results'!AD102)</f>
        <v>0</v>
      </c>
      <c r="AE102" s="52">
        <f>IF('Year 1 Results'!AE102*COUNTIF('Event Trigger'!$C:$C,'Year 2 Results'!$Z102)&gt;SUMIF('Event Trigger'!$C:$C,$Z102,H:H),0,'Year 1 Results'!AE102)</f>
        <v>0</v>
      </c>
      <c r="AF102" s="52">
        <f>IF('Year 1 Results'!AF102*COUNTIF('Event Trigger'!$C:$C,'Year 2 Results'!$Z102)&gt;SUMIF('Event Trigger'!$C:$C,$Z102,I:I),0,'Year 1 Results'!AF102)</f>
        <v>0</v>
      </c>
      <c r="AG102" s="52">
        <f>IF('Year 1 Results'!AG102*COUNTIF('Event Trigger'!$C:$C,'Year 2 Results'!$Z102)&gt;SUMIF('Event Trigger'!$C:$C,$Z102,J:J),0,'Year 1 Results'!AG102)</f>
        <v>0</v>
      </c>
      <c r="AH102" s="52">
        <f>IF('Year 1 Results'!AH102*COUNTIF('Event Trigger'!$C:$C,'Year 2 Results'!$Z102)&gt;SUMIF('Event Trigger'!$C:$C,$Z102,K:K),0,'Year 1 Results'!AH102)</f>
        <v>0</v>
      </c>
      <c r="AI102" s="52">
        <f>IF('Year 1 Results'!AI102*COUNTIF('Event Trigger'!$C:$C,'Year 2 Results'!$Z102)&gt;SUMIF('Event Trigger'!$C:$C,$Z102,L:L),0,'Year 1 Results'!AI102)</f>
        <v>0</v>
      </c>
      <c r="AJ102" s="52">
        <f>IF('Year 1 Results'!AJ102*COUNTIF('Event Trigger'!$C:$C,'Year 2 Results'!$Z102)&gt;SUMIF('Event Trigger'!$C:$C,$Z102,M:M),0,'Year 1 Results'!AJ102)</f>
        <v>0</v>
      </c>
    </row>
    <row r="103" spans="1:36" x14ac:dyDescent="0.25">
      <c r="A103" s="37" t="str">
        <f>'Risk Master'!B103:B186&amp;"-"&amp;'Risk Master'!D103</f>
        <v>Fire-Manila</v>
      </c>
      <c r="B103" s="37" t="str">
        <f>'Input Sheet year 2'!B104</f>
        <v>Fire-Manila</v>
      </c>
      <c r="C103" s="29" t="str">
        <f>'Risk Master'!F103</f>
        <v>A40</v>
      </c>
      <c r="D103" s="73">
        <f>'Year 1 Results'!O103*-1+('Year 1 Results'!O103*'Event Trigger'!$E104*(1-'Input Sheet year 2'!H104))</f>
        <v>0</v>
      </c>
      <c r="E103" s="73">
        <f>'Year 1 Results'!P103*-1+('Year 1 Results'!P103*'Event Trigger'!$E104*(1-'Input Sheet year 2'!I104))</f>
        <v>0</v>
      </c>
      <c r="F103" s="73">
        <f>'Year 1 Results'!Q103*-1+('Year 1 Results'!Q103*'Event Trigger'!$E104*(1-'Input Sheet year 2'!J104))</f>
        <v>0</v>
      </c>
      <c r="G103" s="73">
        <f>'Year 1 Results'!R103*-1+('Year 1 Results'!R103*'Event Trigger'!$E104*(1-'Input Sheet year 2'!K104))</f>
        <v>0</v>
      </c>
      <c r="H103" s="73">
        <f>'Year 1 Results'!S103*-1+('Year 1 Results'!S103*'Event Trigger'!$E104*(1-'Input Sheet year 2'!L104))</f>
        <v>0</v>
      </c>
      <c r="I103" s="73">
        <f>'Year 1 Results'!T103*-1+('Year 1 Results'!T103*'Event Trigger'!$E104*(1-'Input Sheet year 2'!M104))</f>
        <v>0</v>
      </c>
      <c r="J103" s="73">
        <f>'Year 1 Results'!U103*-1+('Year 1 Results'!U103*'Event Trigger'!$E104*(1-'Input Sheet year 2'!N104))</f>
        <v>0</v>
      </c>
      <c r="K103" s="73">
        <f>'Year 1 Results'!V103*-1+('Year 1 Results'!V103*'Event Trigger'!$E104*(1-'Input Sheet year 2'!O104))</f>
        <v>300000</v>
      </c>
      <c r="L103" s="73">
        <f>'Year 1 Results'!W103*-1+('Year 1 Results'!W103*'Event Trigger'!$E104*(1-'Input Sheet year 2'!P104))</f>
        <v>0</v>
      </c>
      <c r="M103" s="73">
        <f>'Year 1 Results'!X103*-1+('Year 1 Results'!X103*'Event Trigger'!$E104*(1-'Input Sheet year 2'!Q104))</f>
        <v>0</v>
      </c>
      <c r="N103" s="88"/>
      <c r="O103" s="88">
        <f t="shared" si="10"/>
        <v>0</v>
      </c>
      <c r="P103" s="88">
        <f t="shared" si="11"/>
        <v>0</v>
      </c>
      <c r="Q103" s="88">
        <f t="shared" si="12"/>
        <v>0</v>
      </c>
      <c r="R103" s="88">
        <f t="shared" si="13"/>
        <v>0</v>
      </c>
      <c r="S103" s="88">
        <f t="shared" si="14"/>
        <v>0</v>
      </c>
      <c r="T103" s="88">
        <f t="shared" si="15"/>
        <v>0</v>
      </c>
      <c r="U103" s="88">
        <f t="shared" si="16"/>
        <v>0</v>
      </c>
      <c r="V103" s="88">
        <f t="shared" si="17"/>
        <v>-300000</v>
      </c>
      <c r="W103" s="88">
        <f t="shared" si="18"/>
        <v>0</v>
      </c>
      <c r="X103" s="88">
        <f t="shared" si="19"/>
        <v>0</v>
      </c>
      <c r="Z103" s="51" t="s">
        <v>266</v>
      </c>
      <c r="AA103" s="52">
        <f>IF('Year 1 Results'!AA103*COUNTIF('Event Trigger'!$C:$C,'Year 2 Results'!$Z103)&gt;SUMIF('Event Trigger'!$C:$C,$Z103,D:D),0,'Year 1 Results'!AA103)</f>
        <v>0</v>
      </c>
      <c r="AB103" s="52">
        <f>IF('Year 1 Results'!AB103*COUNTIF('Event Trigger'!$C:$C,'Year 2 Results'!$Z103)&gt;SUMIF('Event Trigger'!$C:$C,$Z103,E:E),0,'Year 1 Results'!AB103)</f>
        <v>0</v>
      </c>
      <c r="AC103" s="52">
        <f>IF('Year 1 Results'!AC103*COUNTIF('Event Trigger'!$C:$C,'Year 2 Results'!$Z103)&gt;SUMIF('Event Trigger'!$C:$C,$Z103,F:F),0,'Year 1 Results'!AC103)</f>
        <v>0</v>
      </c>
      <c r="AD103" s="52">
        <f>IF('Year 1 Results'!AD103*COUNTIF('Event Trigger'!$C:$C,'Year 2 Results'!$Z103)&gt;SUMIF('Event Trigger'!$C:$C,$Z103,G:G),0,'Year 1 Results'!AD103)</f>
        <v>0</v>
      </c>
      <c r="AE103" s="52">
        <f>IF('Year 1 Results'!AE103*COUNTIF('Event Trigger'!$C:$C,'Year 2 Results'!$Z103)&gt;SUMIF('Event Trigger'!$C:$C,$Z103,H:H),0,'Year 1 Results'!AE103)</f>
        <v>0</v>
      </c>
      <c r="AF103" s="52">
        <f>IF('Year 1 Results'!AF103*COUNTIF('Event Trigger'!$C:$C,'Year 2 Results'!$Z103)&gt;SUMIF('Event Trigger'!$C:$C,$Z103,I:I),0,'Year 1 Results'!AF103)</f>
        <v>0</v>
      </c>
      <c r="AG103" s="52">
        <f>IF('Year 1 Results'!AG103*COUNTIF('Event Trigger'!$C:$C,'Year 2 Results'!$Z103)&gt;SUMIF('Event Trigger'!$C:$C,$Z103,J:J),0,'Year 1 Results'!AG103)</f>
        <v>0</v>
      </c>
      <c r="AH103" s="52">
        <f>IF('Year 1 Results'!AH103*COUNTIF('Event Trigger'!$C:$C,'Year 2 Results'!$Z103)&gt;SUMIF('Event Trigger'!$C:$C,$Z103,K:K),0,'Year 1 Results'!AH103)</f>
        <v>0</v>
      </c>
      <c r="AI103" s="52">
        <f>IF('Year 1 Results'!AI103*COUNTIF('Event Trigger'!$C:$C,'Year 2 Results'!$Z103)&gt;SUMIF('Event Trigger'!$C:$C,$Z103,L:L),0,'Year 1 Results'!AI103)</f>
        <v>0</v>
      </c>
      <c r="AJ103" s="52">
        <f>IF('Year 1 Results'!AJ103*COUNTIF('Event Trigger'!$C:$C,'Year 2 Results'!$Z103)&gt;SUMIF('Event Trigger'!$C:$C,$Z103,M:M),0,'Year 1 Results'!AJ103)</f>
        <v>0</v>
      </c>
    </row>
    <row r="104" spans="1:36" x14ac:dyDescent="0.25">
      <c r="A104" s="37" t="str">
        <f>'Risk Master'!B104:B187&amp;"-"&amp;'Risk Master'!D104</f>
        <v>Typhoon Utor (Labuyo)-Manila</v>
      </c>
      <c r="B104" s="37" t="str">
        <f>'Input Sheet year 2'!B105</f>
        <v>Hurricane-Typhoon -Manila</v>
      </c>
      <c r="C104" s="29" t="str">
        <f>'Risk Master'!F104</f>
        <v>A43</v>
      </c>
      <c r="D104" s="73">
        <f>'Year 1 Results'!O104*-1+('Year 1 Results'!O104*'Event Trigger'!$E105*(1-'Input Sheet year 2'!H105))</f>
        <v>0</v>
      </c>
      <c r="E104" s="73">
        <f>'Year 1 Results'!P104*-1+('Year 1 Results'!P104*'Event Trigger'!$E105*(1-'Input Sheet year 2'!I105))</f>
        <v>0</v>
      </c>
      <c r="F104" s="73">
        <f>'Year 1 Results'!Q104*-1+('Year 1 Results'!Q104*'Event Trigger'!$E105*(1-'Input Sheet year 2'!J105))</f>
        <v>0</v>
      </c>
      <c r="G104" s="73">
        <f>'Year 1 Results'!R104*-1+('Year 1 Results'!R104*'Event Trigger'!$E105*(1-'Input Sheet year 2'!K105))</f>
        <v>0</v>
      </c>
      <c r="H104" s="73">
        <f>'Year 1 Results'!S104*-1+('Year 1 Results'!S104*'Event Trigger'!$E105*(1-'Input Sheet year 2'!L105))</f>
        <v>0</v>
      </c>
      <c r="I104" s="73">
        <f>'Year 1 Results'!T104*-1+('Year 1 Results'!T104*'Event Trigger'!$E105*(1-'Input Sheet year 2'!M105))</f>
        <v>0</v>
      </c>
      <c r="J104" s="73">
        <f>'Year 1 Results'!U104*-1+('Year 1 Results'!U104*'Event Trigger'!$E105*(1-'Input Sheet year 2'!N105))</f>
        <v>0</v>
      </c>
      <c r="K104" s="73">
        <f>'Year 1 Results'!V104*-1+('Year 1 Results'!V104*'Event Trigger'!$E105*(1-'Input Sheet year 2'!O105))</f>
        <v>0</v>
      </c>
      <c r="L104" s="73">
        <f>'Year 1 Results'!W104*-1+('Year 1 Results'!W104*'Event Trigger'!$E105*(1-'Input Sheet year 2'!P105))</f>
        <v>0</v>
      </c>
      <c r="M104" s="73">
        <f>'Year 1 Results'!X104*-1+('Year 1 Results'!X104*'Event Trigger'!$E105*(1-'Input Sheet year 2'!Q105))</f>
        <v>0</v>
      </c>
      <c r="N104" s="88"/>
      <c r="O104" s="88">
        <f t="shared" si="10"/>
        <v>0</v>
      </c>
      <c r="P104" s="88">
        <f t="shared" si="11"/>
        <v>0</v>
      </c>
      <c r="Q104" s="88">
        <f t="shared" si="12"/>
        <v>0</v>
      </c>
      <c r="R104" s="88">
        <f t="shared" si="13"/>
        <v>0</v>
      </c>
      <c r="S104" s="88">
        <f t="shared" si="14"/>
        <v>0</v>
      </c>
      <c r="T104" s="88">
        <f t="shared" si="15"/>
        <v>0</v>
      </c>
      <c r="U104" s="88">
        <f t="shared" si="16"/>
        <v>0</v>
      </c>
      <c r="V104" s="88">
        <f t="shared" si="17"/>
        <v>0</v>
      </c>
      <c r="W104" s="88">
        <f t="shared" si="18"/>
        <v>0</v>
      </c>
      <c r="X104" s="88">
        <f t="shared" si="19"/>
        <v>0</v>
      </c>
      <c r="Z104" s="51" t="s">
        <v>267</v>
      </c>
      <c r="AA104" s="52">
        <f>IF('Year 1 Results'!AA104*COUNTIF('Event Trigger'!$C:$C,'Year 2 Results'!$Z104)&gt;SUMIF('Event Trigger'!$C:$C,$Z104,D:D),0,'Year 1 Results'!AA104)</f>
        <v>200000</v>
      </c>
      <c r="AB104" s="52">
        <f>IF('Year 1 Results'!AB104*COUNTIF('Event Trigger'!$C:$C,'Year 2 Results'!$Z104)&gt;SUMIF('Event Trigger'!$C:$C,$Z104,E:E),0,'Year 1 Results'!AB104)</f>
        <v>200000</v>
      </c>
      <c r="AC104" s="52">
        <f>IF('Year 1 Results'!AC104*COUNTIF('Event Trigger'!$C:$C,'Year 2 Results'!$Z104)&gt;SUMIF('Event Trigger'!$C:$C,$Z104,F:F),0,'Year 1 Results'!AC104)</f>
        <v>200000</v>
      </c>
      <c r="AD104" s="52">
        <f>IF('Year 1 Results'!AD104*COUNTIF('Event Trigger'!$C:$C,'Year 2 Results'!$Z104)&gt;SUMIF('Event Trigger'!$C:$C,$Z104,G:G),0,'Year 1 Results'!AD104)</f>
        <v>200000</v>
      </c>
      <c r="AE104" s="52">
        <f>IF('Year 1 Results'!AE104*COUNTIF('Event Trigger'!$C:$C,'Year 2 Results'!$Z104)&gt;SUMIF('Event Trigger'!$C:$C,$Z104,H:H),0,'Year 1 Results'!AE104)</f>
        <v>200000</v>
      </c>
      <c r="AF104" s="52">
        <f>IF('Year 1 Results'!AF104*COUNTIF('Event Trigger'!$C:$C,'Year 2 Results'!$Z104)&gt;SUMIF('Event Trigger'!$C:$C,$Z104,I:I),0,'Year 1 Results'!AF104)</f>
        <v>200000</v>
      </c>
      <c r="AG104" s="52">
        <f>IF('Year 1 Results'!AG104*COUNTIF('Event Trigger'!$C:$C,'Year 2 Results'!$Z104)&gt;SUMIF('Event Trigger'!$C:$C,$Z104,J:J),0,'Year 1 Results'!AG104)</f>
        <v>200000</v>
      </c>
      <c r="AH104" s="52">
        <f>IF('Year 1 Results'!AH104*COUNTIF('Event Trigger'!$C:$C,'Year 2 Results'!$Z104)&gt;SUMIF('Event Trigger'!$C:$C,$Z104,K:K),0,'Year 1 Results'!AH104)</f>
        <v>200000</v>
      </c>
      <c r="AI104" s="52">
        <f>IF('Year 1 Results'!AI104*COUNTIF('Event Trigger'!$C:$C,'Year 2 Results'!$Z104)&gt;SUMIF('Event Trigger'!$C:$C,$Z104,L:L),0,'Year 1 Results'!AI104)</f>
        <v>200000</v>
      </c>
      <c r="AJ104" s="52">
        <f>IF('Year 1 Results'!AJ104*COUNTIF('Event Trigger'!$C:$C,'Year 2 Results'!$Z104)&gt;SUMIF('Event Trigger'!$C:$C,$Z104,M:M),0,'Year 1 Results'!AJ104)</f>
        <v>200000</v>
      </c>
    </row>
    <row r="105" spans="1:36" x14ac:dyDescent="0.25">
      <c r="A105" s="37" t="str">
        <f>'Risk Master'!B105:B188&amp;"-"&amp;'Risk Master'!D105</f>
        <v>Earthquake-Manila</v>
      </c>
      <c r="B105" s="37" t="str">
        <f>'Input Sheet year 2'!B106</f>
        <v>Earthquake-Manila</v>
      </c>
      <c r="C105" s="29" t="str">
        <f>'Risk Master'!F105</f>
        <v>A43</v>
      </c>
      <c r="D105" s="73">
        <f>'Year 1 Results'!O105*-1+('Year 1 Results'!O105*'Event Trigger'!$E106*(1-'Input Sheet year 2'!H106))</f>
        <v>0</v>
      </c>
      <c r="E105" s="73">
        <f>'Year 1 Results'!P105*-1+('Year 1 Results'!P105*'Event Trigger'!$E106*(1-'Input Sheet year 2'!I106))</f>
        <v>0</v>
      </c>
      <c r="F105" s="73">
        <f>'Year 1 Results'!Q105*-1+('Year 1 Results'!Q105*'Event Trigger'!$E106*(1-'Input Sheet year 2'!J106))</f>
        <v>0</v>
      </c>
      <c r="G105" s="73">
        <f>'Year 1 Results'!R105*-1+('Year 1 Results'!R105*'Event Trigger'!$E106*(1-'Input Sheet year 2'!K106))</f>
        <v>0</v>
      </c>
      <c r="H105" s="73">
        <f>'Year 1 Results'!S105*-1+('Year 1 Results'!S105*'Event Trigger'!$E106*(1-'Input Sheet year 2'!L106))</f>
        <v>0</v>
      </c>
      <c r="I105" s="73">
        <f>'Year 1 Results'!T105*-1+('Year 1 Results'!T105*'Event Trigger'!$E106*(1-'Input Sheet year 2'!M106))</f>
        <v>0</v>
      </c>
      <c r="J105" s="73">
        <f>'Year 1 Results'!U105*-1+('Year 1 Results'!U105*'Event Trigger'!$E106*(1-'Input Sheet year 2'!N106))</f>
        <v>500000</v>
      </c>
      <c r="K105" s="73">
        <f>'Year 1 Results'!V105*-1+('Year 1 Results'!V105*'Event Trigger'!$E106*(1-'Input Sheet year 2'!O106))</f>
        <v>0</v>
      </c>
      <c r="L105" s="73">
        <f>'Year 1 Results'!W105*-1+('Year 1 Results'!W105*'Event Trigger'!$E106*(1-'Input Sheet year 2'!P106))</f>
        <v>500000</v>
      </c>
      <c r="M105" s="73">
        <f>'Year 1 Results'!X105*-1+('Year 1 Results'!X105*'Event Trigger'!$E106*(1-'Input Sheet year 2'!Q106))</f>
        <v>0</v>
      </c>
      <c r="N105" s="88"/>
      <c r="O105" s="88">
        <f t="shared" si="10"/>
        <v>0</v>
      </c>
      <c r="P105" s="88">
        <f t="shared" si="11"/>
        <v>0</v>
      </c>
      <c r="Q105" s="88">
        <f t="shared" si="12"/>
        <v>0</v>
      </c>
      <c r="R105" s="88">
        <f t="shared" si="13"/>
        <v>0</v>
      </c>
      <c r="S105" s="88">
        <f t="shared" si="14"/>
        <v>0</v>
      </c>
      <c r="T105" s="88">
        <f t="shared" si="15"/>
        <v>0</v>
      </c>
      <c r="U105" s="88">
        <f t="shared" si="16"/>
        <v>0</v>
      </c>
      <c r="V105" s="88">
        <f t="shared" si="17"/>
        <v>0</v>
      </c>
      <c r="W105" s="88">
        <f t="shared" si="18"/>
        <v>0</v>
      </c>
      <c r="X105" s="88">
        <f t="shared" si="19"/>
        <v>0</v>
      </c>
      <c r="Z105" s="51" t="s">
        <v>268</v>
      </c>
      <c r="AA105" s="52">
        <f>IF('Year 1 Results'!AA105*COUNTIF('Event Trigger'!$C:$C,'Year 2 Results'!$Z105)&gt;SUMIF('Event Trigger'!$C:$C,$Z105,D:D),0,'Year 1 Results'!AA105)</f>
        <v>0</v>
      </c>
      <c r="AB105" s="52">
        <f>IF('Year 1 Results'!AB105*COUNTIF('Event Trigger'!$C:$C,'Year 2 Results'!$Z105)&gt;SUMIF('Event Trigger'!$C:$C,$Z105,E:E),0,'Year 1 Results'!AB105)</f>
        <v>0</v>
      </c>
      <c r="AC105" s="52">
        <f>IF('Year 1 Results'!AC105*COUNTIF('Event Trigger'!$C:$C,'Year 2 Results'!$Z105)&gt;SUMIF('Event Trigger'!$C:$C,$Z105,F:F),0,'Year 1 Results'!AC105)</f>
        <v>0</v>
      </c>
      <c r="AD105" s="52">
        <f>IF('Year 1 Results'!AD105*COUNTIF('Event Trigger'!$C:$C,'Year 2 Results'!$Z105)&gt;SUMIF('Event Trigger'!$C:$C,$Z105,G:G),0,'Year 1 Results'!AD105)</f>
        <v>0</v>
      </c>
      <c r="AE105" s="52">
        <f>IF('Year 1 Results'!AE105*COUNTIF('Event Trigger'!$C:$C,'Year 2 Results'!$Z105)&gt;SUMIF('Event Trigger'!$C:$C,$Z105,H:H),0,'Year 1 Results'!AE105)</f>
        <v>0</v>
      </c>
      <c r="AF105" s="52">
        <f>IF('Year 1 Results'!AF105*COUNTIF('Event Trigger'!$C:$C,'Year 2 Results'!$Z105)&gt;SUMIF('Event Trigger'!$C:$C,$Z105,I:I),0,'Year 1 Results'!AF105)</f>
        <v>0</v>
      </c>
      <c r="AG105" s="52">
        <f>IF('Year 1 Results'!AG105*COUNTIF('Event Trigger'!$C:$C,'Year 2 Results'!$Z105)&gt;SUMIF('Event Trigger'!$C:$C,$Z105,J:J),0,'Year 1 Results'!AG105)</f>
        <v>0</v>
      </c>
      <c r="AH105" s="52">
        <f>IF('Year 1 Results'!AH105*COUNTIF('Event Trigger'!$C:$C,'Year 2 Results'!$Z105)&gt;SUMIF('Event Trigger'!$C:$C,$Z105,K:K),0,'Year 1 Results'!AH105)</f>
        <v>0</v>
      </c>
      <c r="AI105" s="52">
        <f>IF('Year 1 Results'!AI105*COUNTIF('Event Trigger'!$C:$C,'Year 2 Results'!$Z105)&gt;SUMIF('Event Trigger'!$C:$C,$Z105,L:L),0,'Year 1 Results'!AI105)</f>
        <v>0</v>
      </c>
      <c r="AJ105" s="52">
        <f>IF('Year 1 Results'!AJ105*COUNTIF('Event Trigger'!$C:$C,'Year 2 Results'!$Z105)&gt;SUMIF('Event Trigger'!$C:$C,$Z105,M:M),0,'Year 1 Results'!AJ105)</f>
        <v>0</v>
      </c>
    </row>
    <row r="106" spans="1:36" x14ac:dyDescent="0.25">
      <c r="A106" s="37" t="str">
        <f>'Risk Master'!B106:B189&amp;"-"&amp;'Risk Master'!D106</f>
        <v>Fire-Manila</v>
      </c>
      <c r="B106" s="37" t="str">
        <f>'Input Sheet year 2'!B107</f>
        <v>Fire-Manila</v>
      </c>
      <c r="C106" s="29" t="str">
        <f>'Risk Master'!F106</f>
        <v>A43</v>
      </c>
      <c r="D106" s="73">
        <f>'Year 1 Results'!O106*-1+('Year 1 Results'!O106*'Event Trigger'!$E107*(1-'Input Sheet year 2'!H107))</f>
        <v>0</v>
      </c>
      <c r="E106" s="73">
        <f>'Year 1 Results'!P106*-1+('Year 1 Results'!P106*'Event Trigger'!$E107*(1-'Input Sheet year 2'!I107))</f>
        <v>0</v>
      </c>
      <c r="F106" s="73">
        <f>'Year 1 Results'!Q106*-1+('Year 1 Results'!Q106*'Event Trigger'!$E107*(1-'Input Sheet year 2'!J107))</f>
        <v>0</v>
      </c>
      <c r="G106" s="73">
        <f>'Year 1 Results'!R106*-1+('Year 1 Results'!R106*'Event Trigger'!$E107*(1-'Input Sheet year 2'!K107))</f>
        <v>0</v>
      </c>
      <c r="H106" s="73">
        <f>'Year 1 Results'!S106*-1+('Year 1 Results'!S106*'Event Trigger'!$E107*(1-'Input Sheet year 2'!L107))</f>
        <v>0</v>
      </c>
      <c r="I106" s="73">
        <f>'Year 1 Results'!T106*-1+('Year 1 Results'!T106*'Event Trigger'!$E107*(1-'Input Sheet year 2'!M107))</f>
        <v>0</v>
      </c>
      <c r="J106" s="73">
        <f>'Year 1 Results'!U106*-1+('Year 1 Results'!U106*'Event Trigger'!$E107*(1-'Input Sheet year 2'!N107))</f>
        <v>500000</v>
      </c>
      <c r="K106" s="73">
        <f>'Year 1 Results'!V106*-1+('Year 1 Results'!V106*'Event Trigger'!$E107*(1-'Input Sheet year 2'!O107))</f>
        <v>0</v>
      </c>
      <c r="L106" s="73">
        <f>'Year 1 Results'!W106*-1+('Year 1 Results'!W106*'Event Trigger'!$E107*(1-'Input Sheet year 2'!P107))</f>
        <v>500000</v>
      </c>
      <c r="M106" s="73">
        <f>'Year 1 Results'!X106*-1+('Year 1 Results'!X106*'Event Trigger'!$E107*(1-'Input Sheet year 2'!Q107))</f>
        <v>0</v>
      </c>
      <c r="N106" s="88"/>
      <c r="O106" s="88">
        <f t="shared" si="10"/>
        <v>0</v>
      </c>
      <c r="P106" s="88">
        <f t="shared" si="11"/>
        <v>0</v>
      </c>
      <c r="Q106" s="88">
        <f t="shared" si="12"/>
        <v>0</v>
      </c>
      <c r="R106" s="88">
        <f t="shared" si="13"/>
        <v>0</v>
      </c>
      <c r="S106" s="88">
        <f t="shared" si="14"/>
        <v>0</v>
      </c>
      <c r="T106" s="88">
        <f t="shared" si="15"/>
        <v>0</v>
      </c>
      <c r="U106" s="88">
        <f t="shared" si="16"/>
        <v>0</v>
      </c>
      <c r="V106" s="88">
        <f t="shared" si="17"/>
        <v>0</v>
      </c>
      <c r="W106" s="88">
        <f t="shared" si="18"/>
        <v>0</v>
      </c>
      <c r="X106" s="88">
        <f t="shared" si="19"/>
        <v>0</v>
      </c>
      <c r="Z106" s="51" t="s">
        <v>269</v>
      </c>
      <c r="AA106" s="52">
        <f>IF('Year 1 Results'!AA106*COUNTIF('Event Trigger'!$C:$C,'Year 2 Results'!$Z106)&gt;SUMIF('Event Trigger'!$C:$C,$Z106,D:D),0,'Year 1 Results'!AA106)</f>
        <v>0</v>
      </c>
      <c r="AB106" s="52">
        <f>IF('Year 1 Results'!AB106*COUNTIF('Event Trigger'!$C:$C,'Year 2 Results'!$Z106)&gt;SUMIF('Event Trigger'!$C:$C,$Z106,E:E),0,'Year 1 Results'!AB106)</f>
        <v>0</v>
      </c>
      <c r="AC106" s="52">
        <f>IF('Year 1 Results'!AC106*COUNTIF('Event Trigger'!$C:$C,'Year 2 Results'!$Z106)&gt;SUMIF('Event Trigger'!$C:$C,$Z106,F:F),0,'Year 1 Results'!AC106)</f>
        <v>0</v>
      </c>
      <c r="AD106" s="52">
        <f>IF('Year 1 Results'!AD106*COUNTIF('Event Trigger'!$C:$C,'Year 2 Results'!$Z106)&gt;SUMIF('Event Trigger'!$C:$C,$Z106,G:G),0,'Year 1 Results'!AD106)</f>
        <v>0</v>
      </c>
      <c r="AE106" s="52">
        <f>IF('Year 1 Results'!AE106*COUNTIF('Event Trigger'!$C:$C,'Year 2 Results'!$Z106)&gt;SUMIF('Event Trigger'!$C:$C,$Z106,H:H),0,'Year 1 Results'!AE106)</f>
        <v>0</v>
      </c>
      <c r="AF106" s="52">
        <f>IF('Year 1 Results'!AF106*COUNTIF('Event Trigger'!$C:$C,'Year 2 Results'!$Z106)&gt;SUMIF('Event Trigger'!$C:$C,$Z106,I:I),0,'Year 1 Results'!AF106)</f>
        <v>0</v>
      </c>
      <c r="AG106" s="52">
        <f>IF('Year 1 Results'!AG106*COUNTIF('Event Trigger'!$C:$C,'Year 2 Results'!$Z106)&gt;SUMIF('Event Trigger'!$C:$C,$Z106,J:J),0,'Year 1 Results'!AG106)</f>
        <v>400000</v>
      </c>
      <c r="AH106" s="52">
        <f>IF('Year 1 Results'!AH106*COUNTIF('Event Trigger'!$C:$C,'Year 2 Results'!$Z106)&gt;SUMIF('Event Trigger'!$C:$C,$Z106,K:K),0,'Year 1 Results'!AH106)</f>
        <v>0</v>
      </c>
      <c r="AI106" s="52">
        <f>IF('Year 1 Results'!AI106*COUNTIF('Event Trigger'!$C:$C,'Year 2 Results'!$Z106)&gt;SUMIF('Event Trigger'!$C:$C,$Z106,L:L),0,'Year 1 Results'!AI106)</f>
        <v>0</v>
      </c>
      <c r="AJ106" s="52">
        <f>IF('Year 1 Results'!AJ106*COUNTIF('Event Trigger'!$C:$C,'Year 2 Results'!$Z106)&gt;SUMIF('Event Trigger'!$C:$C,$Z106,M:M),0,'Year 1 Results'!AJ106)</f>
        <v>400000</v>
      </c>
    </row>
    <row r="107" spans="1:36" x14ac:dyDescent="0.25">
      <c r="A107" s="37" t="str">
        <f>'Risk Master'!B107:B190&amp;"-"&amp;'Risk Master'!D107</f>
        <v>Super Typhoon Usagi-Manila</v>
      </c>
      <c r="B107" s="37" t="str">
        <f>'Input Sheet year 2'!B108</f>
        <v>Hurricane-Typhoon -Manila</v>
      </c>
      <c r="C107" s="29" t="str">
        <f>'Risk Master'!F107</f>
        <v>A45</v>
      </c>
      <c r="D107" s="73">
        <f>'Year 1 Results'!O107*-1+('Year 1 Results'!O107*'Event Trigger'!$E108*(1-'Input Sheet year 2'!H108))</f>
        <v>300000</v>
      </c>
      <c r="E107" s="73">
        <f>'Year 1 Results'!P107*-1+('Year 1 Results'!P107*'Event Trigger'!$E108*(1-'Input Sheet year 2'!I108))</f>
        <v>300000</v>
      </c>
      <c r="F107" s="73">
        <f>'Year 1 Results'!Q107*-1+('Year 1 Results'!Q107*'Event Trigger'!$E108*(1-'Input Sheet year 2'!J108))</f>
        <v>300000</v>
      </c>
      <c r="G107" s="73">
        <f>'Year 1 Results'!R107*-1+('Year 1 Results'!R107*'Event Trigger'!$E108*(1-'Input Sheet year 2'!K108))</f>
        <v>300000</v>
      </c>
      <c r="H107" s="73">
        <f>'Year 1 Results'!S107*-1+('Year 1 Results'!S107*'Event Trigger'!$E108*(1-'Input Sheet year 2'!L108))</f>
        <v>300000</v>
      </c>
      <c r="I107" s="73">
        <f>'Year 1 Results'!T107*-1+('Year 1 Results'!T107*'Event Trigger'!$E108*(1-'Input Sheet year 2'!M108))</f>
        <v>300000</v>
      </c>
      <c r="J107" s="73">
        <f>'Year 1 Results'!U107*-1+('Year 1 Results'!U107*'Event Trigger'!$E108*(1-'Input Sheet year 2'!N108))</f>
        <v>300000</v>
      </c>
      <c r="K107" s="73">
        <f>'Year 1 Results'!V107*-1+('Year 1 Results'!V107*'Event Trigger'!$E108*(1-'Input Sheet year 2'!O108))</f>
        <v>300000</v>
      </c>
      <c r="L107" s="73">
        <f>'Year 1 Results'!W107*-1+('Year 1 Results'!W107*'Event Trigger'!$E108*(1-'Input Sheet year 2'!P108))</f>
        <v>300000</v>
      </c>
      <c r="M107" s="73">
        <f>'Year 1 Results'!X107*-1+('Year 1 Results'!X107*'Event Trigger'!$E108*(1-'Input Sheet year 2'!Q108))</f>
        <v>300000</v>
      </c>
      <c r="N107" s="88"/>
      <c r="O107" s="88">
        <f t="shared" si="10"/>
        <v>-300000</v>
      </c>
      <c r="P107" s="88">
        <f t="shared" si="11"/>
        <v>-300000</v>
      </c>
      <c r="Q107" s="88">
        <f t="shared" si="12"/>
        <v>-300000</v>
      </c>
      <c r="R107" s="88">
        <f t="shared" si="13"/>
        <v>-300000</v>
      </c>
      <c r="S107" s="88">
        <f t="shared" si="14"/>
        <v>-300000</v>
      </c>
      <c r="T107" s="88">
        <f t="shared" si="15"/>
        <v>-300000</v>
      </c>
      <c r="U107" s="88">
        <f t="shared" si="16"/>
        <v>-300000</v>
      </c>
      <c r="V107" s="88">
        <f t="shared" si="17"/>
        <v>-300000</v>
      </c>
      <c r="W107" s="88">
        <f t="shared" si="18"/>
        <v>-300000</v>
      </c>
      <c r="X107" s="88">
        <f t="shared" si="19"/>
        <v>-300000</v>
      </c>
      <c r="Z107" s="51" t="s">
        <v>270</v>
      </c>
      <c r="AA107" s="52">
        <f>IF('Year 1 Results'!AA107*COUNTIF('Event Trigger'!$C:$C,'Year 2 Results'!$Z107)&gt;SUMIF('Event Trigger'!$C:$C,$Z107,D:D),0,'Year 1 Results'!AA107)</f>
        <v>0</v>
      </c>
      <c r="AB107" s="52">
        <f>IF('Year 1 Results'!AB107*COUNTIF('Event Trigger'!$C:$C,'Year 2 Results'!$Z107)&gt;SUMIF('Event Trigger'!$C:$C,$Z107,E:E),0,'Year 1 Results'!AB107)</f>
        <v>0</v>
      </c>
      <c r="AC107" s="52">
        <f>IF('Year 1 Results'!AC107*COUNTIF('Event Trigger'!$C:$C,'Year 2 Results'!$Z107)&gt;SUMIF('Event Trigger'!$C:$C,$Z107,F:F),0,'Year 1 Results'!AC107)</f>
        <v>0</v>
      </c>
      <c r="AD107" s="52">
        <f>IF('Year 1 Results'!AD107*COUNTIF('Event Trigger'!$C:$C,'Year 2 Results'!$Z107)&gt;SUMIF('Event Trigger'!$C:$C,$Z107,G:G),0,'Year 1 Results'!AD107)</f>
        <v>0</v>
      </c>
      <c r="AE107" s="52">
        <f>IF('Year 1 Results'!AE107*COUNTIF('Event Trigger'!$C:$C,'Year 2 Results'!$Z107)&gt;SUMIF('Event Trigger'!$C:$C,$Z107,H:H),0,'Year 1 Results'!AE107)</f>
        <v>0</v>
      </c>
      <c r="AF107" s="52">
        <f>IF('Year 1 Results'!AF107*COUNTIF('Event Trigger'!$C:$C,'Year 2 Results'!$Z107)&gt;SUMIF('Event Trigger'!$C:$C,$Z107,I:I),0,'Year 1 Results'!AF107)</f>
        <v>0</v>
      </c>
      <c r="AG107" s="52">
        <f>IF('Year 1 Results'!AG107*COUNTIF('Event Trigger'!$C:$C,'Year 2 Results'!$Z107)&gt;SUMIF('Event Trigger'!$C:$C,$Z107,J:J),0,'Year 1 Results'!AG107)</f>
        <v>0</v>
      </c>
      <c r="AH107" s="52">
        <f>IF('Year 1 Results'!AH107*COUNTIF('Event Trigger'!$C:$C,'Year 2 Results'!$Z107)&gt;SUMIF('Event Trigger'!$C:$C,$Z107,K:K),0,'Year 1 Results'!AH107)</f>
        <v>0</v>
      </c>
      <c r="AI107" s="52">
        <f>IF('Year 1 Results'!AI107*COUNTIF('Event Trigger'!$C:$C,'Year 2 Results'!$Z107)&gt;SUMIF('Event Trigger'!$C:$C,$Z107,L:L),0,'Year 1 Results'!AI107)</f>
        <v>0</v>
      </c>
      <c r="AJ107" s="52">
        <f>IF('Year 1 Results'!AJ107*COUNTIF('Event Trigger'!$C:$C,'Year 2 Results'!$Z107)&gt;SUMIF('Event Trigger'!$C:$C,$Z107,M:M),0,'Year 1 Results'!AJ107)</f>
        <v>0</v>
      </c>
    </row>
    <row r="108" spans="1:36" ht="25.5" x14ac:dyDescent="0.25">
      <c r="A108" s="37" t="str">
        <f>'Risk Master'!B108:B191&amp;"-"&amp;'Risk Master'!D108</f>
        <v>Thunderstorms, Tornados &amp; Hail-San Francisco</v>
      </c>
      <c r="B108" s="37" t="str">
        <f>'Input Sheet year 2'!B109</f>
        <v>Thunderstorms, Tornados &amp; Hail-San Francisco</v>
      </c>
      <c r="C108" s="29" t="str">
        <f>'Risk Master'!F108</f>
        <v>A47</v>
      </c>
      <c r="D108" s="73">
        <f>'Year 1 Results'!O108*-1+('Year 1 Results'!O108*'Event Trigger'!$E109*(1-'Input Sheet year 2'!H109))</f>
        <v>600000</v>
      </c>
      <c r="E108" s="73">
        <f>'Year 1 Results'!P108*-1+('Year 1 Results'!P108*'Event Trigger'!$E109*(1-'Input Sheet year 2'!I109))</f>
        <v>600000</v>
      </c>
      <c r="F108" s="73">
        <f>'Year 1 Results'!Q108*-1+('Year 1 Results'!Q108*'Event Trigger'!$E109*(1-'Input Sheet year 2'!J109))</f>
        <v>600000</v>
      </c>
      <c r="G108" s="73">
        <f>'Year 1 Results'!R108*-1+('Year 1 Results'!R108*'Event Trigger'!$E109*(1-'Input Sheet year 2'!K109))</f>
        <v>600000</v>
      </c>
      <c r="H108" s="73">
        <f>'Year 1 Results'!S108*-1+('Year 1 Results'!S108*'Event Trigger'!$E109*(1-'Input Sheet year 2'!L109))</f>
        <v>600000</v>
      </c>
      <c r="I108" s="73">
        <f>'Year 1 Results'!T108*-1+('Year 1 Results'!T108*'Event Trigger'!$E109*(1-'Input Sheet year 2'!M109))</f>
        <v>600000</v>
      </c>
      <c r="J108" s="73">
        <f>'Year 1 Results'!U108*-1+('Year 1 Results'!U108*'Event Trigger'!$E109*(1-'Input Sheet year 2'!N109))</f>
        <v>600000</v>
      </c>
      <c r="K108" s="73">
        <f>'Year 1 Results'!V108*-1+('Year 1 Results'!V108*'Event Trigger'!$E109*(1-'Input Sheet year 2'!O109))</f>
        <v>600000</v>
      </c>
      <c r="L108" s="73">
        <f>'Year 1 Results'!W108*-1+('Year 1 Results'!W108*'Event Trigger'!$E109*(1-'Input Sheet year 2'!P109))</f>
        <v>600000</v>
      </c>
      <c r="M108" s="73">
        <f>'Year 1 Results'!X108*-1+('Year 1 Results'!X108*'Event Trigger'!$E109*(1-'Input Sheet year 2'!Q109))</f>
        <v>600000</v>
      </c>
      <c r="N108" s="88"/>
      <c r="O108" s="88">
        <f t="shared" si="10"/>
        <v>-600000</v>
      </c>
      <c r="P108" s="88">
        <f t="shared" si="11"/>
        <v>-600000</v>
      </c>
      <c r="Q108" s="88">
        <f t="shared" si="12"/>
        <v>-600000</v>
      </c>
      <c r="R108" s="88">
        <f t="shared" si="13"/>
        <v>-600000</v>
      </c>
      <c r="S108" s="88">
        <f t="shared" si="14"/>
        <v>-600000</v>
      </c>
      <c r="T108" s="88">
        <f t="shared" si="15"/>
        <v>-600000</v>
      </c>
      <c r="U108" s="88">
        <f t="shared" si="16"/>
        <v>-600000</v>
      </c>
      <c r="V108" s="88">
        <f t="shared" si="17"/>
        <v>-600000</v>
      </c>
      <c r="W108" s="88">
        <f t="shared" si="18"/>
        <v>-600000</v>
      </c>
      <c r="X108" s="88">
        <f t="shared" si="19"/>
        <v>-600000</v>
      </c>
      <c r="Z108" s="51" t="s">
        <v>271</v>
      </c>
      <c r="AA108" s="52">
        <f>IF('Year 1 Results'!AA108*COUNTIF('Event Trigger'!$C:$C,'Year 2 Results'!$Z108)&gt;SUMIF('Event Trigger'!$C:$C,$Z108,D:D),0,'Year 1 Results'!AA108)</f>
        <v>0</v>
      </c>
      <c r="AB108" s="52">
        <f>IF('Year 1 Results'!AB108*COUNTIF('Event Trigger'!$C:$C,'Year 2 Results'!$Z108)&gt;SUMIF('Event Trigger'!$C:$C,$Z108,E:E),0,'Year 1 Results'!AB108)</f>
        <v>0</v>
      </c>
      <c r="AC108" s="52">
        <f>IF('Year 1 Results'!AC108*COUNTIF('Event Trigger'!$C:$C,'Year 2 Results'!$Z108)&gt;SUMIF('Event Trigger'!$C:$C,$Z108,F:F),0,'Year 1 Results'!AC108)</f>
        <v>0</v>
      </c>
      <c r="AD108" s="52">
        <f>IF('Year 1 Results'!AD108*COUNTIF('Event Trigger'!$C:$C,'Year 2 Results'!$Z108)&gt;SUMIF('Event Trigger'!$C:$C,$Z108,G:G),0,'Year 1 Results'!AD108)</f>
        <v>0</v>
      </c>
      <c r="AE108" s="52">
        <f>IF('Year 1 Results'!AE108*COUNTIF('Event Trigger'!$C:$C,'Year 2 Results'!$Z108)&gt;SUMIF('Event Trigger'!$C:$C,$Z108,H:H),0,'Year 1 Results'!AE108)</f>
        <v>0</v>
      </c>
      <c r="AF108" s="52">
        <f>IF('Year 1 Results'!AF108*COUNTIF('Event Trigger'!$C:$C,'Year 2 Results'!$Z108)&gt;SUMIF('Event Trigger'!$C:$C,$Z108,I:I),0,'Year 1 Results'!AF108)</f>
        <v>0</v>
      </c>
      <c r="AG108" s="52">
        <f>IF('Year 1 Results'!AG108*COUNTIF('Event Trigger'!$C:$C,'Year 2 Results'!$Z108)&gt;SUMIF('Event Trigger'!$C:$C,$Z108,J:J),0,'Year 1 Results'!AG108)</f>
        <v>0</v>
      </c>
      <c r="AH108" s="52">
        <f>IF('Year 1 Results'!AH108*COUNTIF('Event Trigger'!$C:$C,'Year 2 Results'!$Z108)&gt;SUMIF('Event Trigger'!$C:$C,$Z108,K:K),0,'Year 1 Results'!AH108)</f>
        <v>0</v>
      </c>
      <c r="AI108" s="52">
        <f>IF('Year 1 Results'!AI108*COUNTIF('Event Trigger'!$C:$C,'Year 2 Results'!$Z108)&gt;SUMIF('Event Trigger'!$C:$C,$Z108,L:L),0,'Year 1 Results'!AI108)</f>
        <v>0</v>
      </c>
      <c r="AJ108" s="52">
        <f>IF('Year 1 Results'!AJ108*COUNTIF('Event Trigger'!$C:$C,'Year 2 Results'!$Z108)&gt;SUMIF('Event Trigger'!$C:$C,$Z108,M:M),0,'Year 1 Results'!AJ108)</f>
        <v>0</v>
      </c>
    </row>
    <row r="109" spans="1:36" ht="25.5" x14ac:dyDescent="0.25">
      <c r="A109" s="37" t="str">
        <f>'Risk Master'!B109:B192&amp;"-"&amp;'Risk Master'!D109</f>
        <v>Hurricane-Typhoon -San Francisco</v>
      </c>
      <c r="B109" s="37" t="str">
        <f>'Input Sheet year 2'!B110</f>
        <v>Hurricane-Typhoon -San Francisco</v>
      </c>
      <c r="C109" s="29" t="str">
        <f>'Risk Master'!F109</f>
        <v>A47</v>
      </c>
      <c r="D109" s="73">
        <f>'Year 1 Results'!O109*-1+('Year 1 Results'!O109*'Event Trigger'!$E110*(1-'Input Sheet year 2'!H110))</f>
        <v>600000</v>
      </c>
      <c r="E109" s="73">
        <f>'Year 1 Results'!P109*-1+('Year 1 Results'!P109*'Event Trigger'!$E110*(1-'Input Sheet year 2'!I110))</f>
        <v>600000</v>
      </c>
      <c r="F109" s="73">
        <f>'Year 1 Results'!Q109*-1+('Year 1 Results'!Q109*'Event Trigger'!$E110*(1-'Input Sheet year 2'!J110))</f>
        <v>600000</v>
      </c>
      <c r="G109" s="73">
        <f>'Year 1 Results'!R109*-1+('Year 1 Results'!R109*'Event Trigger'!$E110*(1-'Input Sheet year 2'!K110))</f>
        <v>600000</v>
      </c>
      <c r="H109" s="73">
        <f>'Year 1 Results'!S109*-1+('Year 1 Results'!S109*'Event Trigger'!$E110*(1-'Input Sheet year 2'!L110))</f>
        <v>600000</v>
      </c>
      <c r="I109" s="73">
        <f>'Year 1 Results'!T109*-1+('Year 1 Results'!T109*'Event Trigger'!$E110*(1-'Input Sheet year 2'!M110))</f>
        <v>600000</v>
      </c>
      <c r="J109" s="73">
        <f>'Year 1 Results'!U109*-1+('Year 1 Results'!U109*'Event Trigger'!$E110*(1-'Input Sheet year 2'!N110))</f>
        <v>600000</v>
      </c>
      <c r="K109" s="73">
        <f>'Year 1 Results'!V109*-1+('Year 1 Results'!V109*'Event Trigger'!$E110*(1-'Input Sheet year 2'!O110))</f>
        <v>600000</v>
      </c>
      <c r="L109" s="73">
        <f>'Year 1 Results'!W109*-1+('Year 1 Results'!W109*'Event Trigger'!$E110*(1-'Input Sheet year 2'!P110))</f>
        <v>600000</v>
      </c>
      <c r="M109" s="73">
        <f>'Year 1 Results'!X109*-1+('Year 1 Results'!X109*'Event Trigger'!$E110*(1-'Input Sheet year 2'!Q110))</f>
        <v>600000</v>
      </c>
      <c r="N109" s="88"/>
      <c r="O109" s="88">
        <f t="shared" si="10"/>
        <v>-600000</v>
      </c>
      <c r="P109" s="88">
        <f t="shared" si="11"/>
        <v>-600000</v>
      </c>
      <c r="Q109" s="88">
        <f t="shared" si="12"/>
        <v>-600000</v>
      </c>
      <c r="R109" s="88">
        <f t="shared" si="13"/>
        <v>-600000</v>
      </c>
      <c r="S109" s="88">
        <f t="shared" si="14"/>
        <v>-600000</v>
      </c>
      <c r="T109" s="88">
        <f t="shared" si="15"/>
        <v>-600000</v>
      </c>
      <c r="U109" s="88">
        <f t="shared" si="16"/>
        <v>-600000</v>
      </c>
      <c r="V109" s="88">
        <f t="shared" si="17"/>
        <v>-600000</v>
      </c>
      <c r="W109" s="88">
        <f t="shared" si="18"/>
        <v>-600000</v>
      </c>
      <c r="X109" s="88">
        <f t="shared" si="19"/>
        <v>-600000</v>
      </c>
      <c r="Z109" s="51" t="s">
        <v>272</v>
      </c>
      <c r="AA109" s="52">
        <f>IF('Year 1 Results'!AA109*COUNTIF('Event Trigger'!$C:$C,'Year 2 Results'!$Z109)&gt;SUMIF('Event Trigger'!$C:$C,$Z109,D:D),0,'Year 1 Results'!AA109)</f>
        <v>0</v>
      </c>
      <c r="AB109" s="52">
        <f>IF('Year 1 Results'!AB109*COUNTIF('Event Trigger'!$C:$C,'Year 2 Results'!$Z109)&gt;SUMIF('Event Trigger'!$C:$C,$Z109,E:E),0,'Year 1 Results'!AB109)</f>
        <v>0</v>
      </c>
      <c r="AC109" s="52">
        <f>IF('Year 1 Results'!AC109*COUNTIF('Event Trigger'!$C:$C,'Year 2 Results'!$Z109)&gt;SUMIF('Event Trigger'!$C:$C,$Z109,F:F),0,'Year 1 Results'!AC109)</f>
        <v>0</v>
      </c>
      <c r="AD109" s="52">
        <f>IF('Year 1 Results'!AD109*COUNTIF('Event Trigger'!$C:$C,'Year 2 Results'!$Z109)&gt;SUMIF('Event Trigger'!$C:$C,$Z109,G:G),0,'Year 1 Results'!AD109)</f>
        <v>0</v>
      </c>
      <c r="AE109" s="52">
        <f>IF('Year 1 Results'!AE109*COUNTIF('Event Trigger'!$C:$C,'Year 2 Results'!$Z109)&gt;SUMIF('Event Trigger'!$C:$C,$Z109,H:H),0,'Year 1 Results'!AE109)</f>
        <v>0</v>
      </c>
      <c r="AF109" s="52">
        <f>IF('Year 1 Results'!AF109*COUNTIF('Event Trigger'!$C:$C,'Year 2 Results'!$Z109)&gt;SUMIF('Event Trigger'!$C:$C,$Z109,I:I),0,'Year 1 Results'!AF109)</f>
        <v>0</v>
      </c>
      <c r="AG109" s="52">
        <f>IF('Year 1 Results'!AG109*COUNTIF('Event Trigger'!$C:$C,'Year 2 Results'!$Z109)&gt;SUMIF('Event Trigger'!$C:$C,$Z109,J:J),0,'Year 1 Results'!AG109)</f>
        <v>0</v>
      </c>
      <c r="AH109" s="52">
        <f>IF('Year 1 Results'!AH109*COUNTIF('Event Trigger'!$C:$C,'Year 2 Results'!$Z109)&gt;SUMIF('Event Trigger'!$C:$C,$Z109,K:K),0,'Year 1 Results'!AH109)</f>
        <v>0</v>
      </c>
      <c r="AI109" s="52">
        <f>IF('Year 1 Results'!AI109*COUNTIF('Event Trigger'!$C:$C,'Year 2 Results'!$Z109)&gt;SUMIF('Event Trigger'!$C:$C,$Z109,L:L),0,'Year 1 Results'!AI109)</f>
        <v>0</v>
      </c>
      <c r="AJ109" s="52">
        <f>IF('Year 1 Results'!AJ109*COUNTIF('Event Trigger'!$C:$C,'Year 2 Results'!$Z109)&gt;SUMIF('Event Trigger'!$C:$C,$Z109,M:M),0,'Year 1 Results'!AJ109)</f>
        <v>0</v>
      </c>
    </row>
    <row r="110" spans="1:36" x14ac:dyDescent="0.25">
      <c r="A110" s="37" t="str">
        <f>'Risk Master'!B110:B193&amp;"-"&amp;'Risk Master'!D110</f>
        <v>Earthquake-San Francisco</v>
      </c>
      <c r="B110" s="37" t="str">
        <f>'Input Sheet year 2'!B111</f>
        <v>Earthquake-San Francisco</v>
      </c>
      <c r="C110" s="29" t="str">
        <f>'Risk Master'!F110</f>
        <v>A47</v>
      </c>
      <c r="D110" s="73">
        <f>'Year 1 Results'!O110*-1+('Year 1 Results'!O110*'Event Trigger'!$E111*(1-'Input Sheet year 2'!H111))</f>
        <v>600000</v>
      </c>
      <c r="E110" s="73">
        <f>'Year 1 Results'!P110*-1+('Year 1 Results'!P110*'Event Trigger'!$E111*(1-'Input Sheet year 2'!I111))</f>
        <v>600000</v>
      </c>
      <c r="F110" s="73">
        <f>'Year 1 Results'!Q110*-1+('Year 1 Results'!Q110*'Event Trigger'!$E111*(1-'Input Sheet year 2'!J111))</f>
        <v>600000</v>
      </c>
      <c r="G110" s="73">
        <f>'Year 1 Results'!R110*-1+('Year 1 Results'!R110*'Event Trigger'!$E111*(1-'Input Sheet year 2'!K111))</f>
        <v>600000</v>
      </c>
      <c r="H110" s="73">
        <f>'Year 1 Results'!S110*-1+('Year 1 Results'!S110*'Event Trigger'!$E111*(1-'Input Sheet year 2'!L111))</f>
        <v>600000</v>
      </c>
      <c r="I110" s="73">
        <f>'Year 1 Results'!T110*-1+('Year 1 Results'!T110*'Event Trigger'!$E111*(1-'Input Sheet year 2'!M111))</f>
        <v>600000</v>
      </c>
      <c r="J110" s="73">
        <f>'Year 1 Results'!U110*-1+('Year 1 Results'!U110*'Event Trigger'!$E111*(1-'Input Sheet year 2'!N111))</f>
        <v>600000</v>
      </c>
      <c r="K110" s="73">
        <f>'Year 1 Results'!V110*-1+('Year 1 Results'!V110*'Event Trigger'!$E111*(1-'Input Sheet year 2'!O111))</f>
        <v>600000</v>
      </c>
      <c r="L110" s="73">
        <f>'Year 1 Results'!W110*-1+('Year 1 Results'!W110*'Event Trigger'!$E111*(1-'Input Sheet year 2'!P111))</f>
        <v>600000</v>
      </c>
      <c r="M110" s="73">
        <f>'Year 1 Results'!X110*-1+('Year 1 Results'!X110*'Event Trigger'!$E111*(1-'Input Sheet year 2'!Q111))</f>
        <v>600000</v>
      </c>
      <c r="N110" s="88"/>
      <c r="O110" s="88">
        <f t="shared" si="10"/>
        <v>-600000</v>
      </c>
      <c r="P110" s="88">
        <f t="shared" si="11"/>
        <v>-600000</v>
      </c>
      <c r="Q110" s="88">
        <f t="shared" si="12"/>
        <v>-600000</v>
      </c>
      <c r="R110" s="88">
        <f t="shared" si="13"/>
        <v>-600000</v>
      </c>
      <c r="S110" s="88">
        <f t="shared" si="14"/>
        <v>-600000</v>
      </c>
      <c r="T110" s="88">
        <f t="shared" si="15"/>
        <v>-600000</v>
      </c>
      <c r="U110" s="88">
        <f t="shared" si="16"/>
        <v>-600000</v>
      </c>
      <c r="V110" s="88">
        <f t="shared" si="17"/>
        <v>-600000</v>
      </c>
      <c r="W110" s="88">
        <f t="shared" si="18"/>
        <v>-600000</v>
      </c>
      <c r="X110" s="88">
        <f t="shared" si="19"/>
        <v>-600000</v>
      </c>
      <c r="Z110" s="51" t="s">
        <v>273</v>
      </c>
      <c r="AA110" s="52">
        <f>IF('Year 1 Results'!AA110*COUNTIF('Event Trigger'!$C:$C,'Year 2 Results'!$Z110)&gt;SUMIF('Event Trigger'!$C:$C,$Z110,D:D),0,'Year 1 Results'!AA110)</f>
        <v>0</v>
      </c>
      <c r="AB110" s="52">
        <f>IF('Year 1 Results'!AB110*COUNTIF('Event Trigger'!$C:$C,'Year 2 Results'!$Z110)&gt;SUMIF('Event Trigger'!$C:$C,$Z110,E:E),0,'Year 1 Results'!AB110)</f>
        <v>0</v>
      </c>
      <c r="AC110" s="52">
        <f>IF('Year 1 Results'!AC110*COUNTIF('Event Trigger'!$C:$C,'Year 2 Results'!$Z110)&gt;SUMIF('Event Trigger'!$C:$C,$Z110,F:F),0,'Year 1 Results'!AC110)</f>
        <v>0</v>
      </c>
      <c r="AD110" s="52">
        <f>IF('Year 1 Results'!AD110*COUNTIF('Event Trigger'!$C:$C,'Year 2 Results'!$Z110)&gt;SUMIF('Event Trigger'!$C:$C,$Z110,G:G),0,'Year 1 Results'!AD110)</f>
        <v>0</v>
      </c>
      <c r="AE110" s="52">
        <f>IF('Year 1 Results'!AE110*COUNTIF('Event Trigger'!$C:$C,'Year 2 Results'!$Z110)&gt;SUMIF('Event Trigger'!$C:$C,$Z110,H:H),0,'Year 1 Results'!AE110)</f>
        <v>0</v>
      </c>
      <c r="AF110" s="52">
        <f>IF('Year 1 Results'!AF110*COUNTIF('Event Trigger'!$C:$C,'Year 2 Results'!$Z110)&gt;SUMIF('Event Trigger'!$C:$C,$Z110,I:I),0,'Year 1 Results'!AF110)</f>
        <v>0</v>
      </c>
      <c r="AG110" s="52">
        <f>IF('Year 1 Results'!AG110*COUNTIF('Event Trigger'!$C:$C,'Year 2 Results'!$Z110)&gt;SUMIF('Event Trigger'!$C:$C,$Z110,J:J),0,'Year 1 Results'!AG110)</f>
        <v>0</v>
      </c>
      <c r="AH110" s="52">
        <f>IF('Year 1 Results'!AH110*COUNTIF('Event Trigger'!$C:$C,'Year 2 Results'!$Z110)&gt;SUMIF('Event Trigger'!$C:$C,$Z110,K:K),0,'Year 1 Results'!AH110)</f>
        <v>0</v>
      </c>
      <c r="AI110" s="52">
        <f>IF('Year 1 Results'!AI110*COUNTIF('Event Trigger'!$C:$C,'Year 2 Results'!$Z110)&gt;SUMIF('Event Trigger'!$C:$C,$Z110,L:L),0,'Year 1 Results'!AI110)</f>
        <v>0</v>
      </c>
      <c r="AJ110" s="52">
        <f>IF('Year 1 Results'!AJ110*COUNTIF('Event Trigger'!$C:$C,'Year 2 Results'!$Z110)&gt;SUMIF('Event Trigger'!$C:$C,$Z110,M:M),0,'Year 1 Results'!AJ110)</f>
        <v>0</v>
      </c>
    </row>
    <row r="111" spans="1:36" ht="25.5" x14ac:dyDescent="0.25">
      <c r="A111" s="37" t="str">
        <f>'Risk Master'!B111:B194&amp;"-"&amp;'Risk Master'!D111</f>
        <v>Thunderstorms, Tornados &amp; Hail-San Francisco</v>
      </c>
      <c r="B111" s="37" t="str">
        <f>'Input Sheet year 2'!B112</f>
        <v>Thunderstorms, Tornados &amp; Hail-San Francisco</v>
      </c>
      <c r="C111" s="29" t="str">
        <f>'Risk Master'!F111</f>
        <v>A49</v>
      </c>
      <c r="D111" s="73">
        <f>'Year 1 Results'!O111*-1+('Year 1 Results'!O111*'Event Trigger'!$E112*(1-'Input Sheet year 2'!H112))</f>
        <v>800000</v>
      </c>
      <c r="E111" s="73">
        <f>'Year 1 Results'!P111*-1+('Year 1 Results'!P111*'Event Trigger'!$E112*(1-'Input Sheet year 2'!I112))</f>
        <v>800000</v>
      </c>
      <c r="F111" s="73">
        <f>'Year 1 Results'!Q111*-1+('Year 1 Results'!Q111*'Event Trigger'!$E112*(1-'Input Sheet year 2'!J112))</f>
        <v>800000</v>
      </c>
      <c r="G111" s="73">
        <f>'Year 1 Results'!R111*-1+('Year 1 Results'!R111*'Event Trigger'!$E112*(1-'Input Sheet year 2'!K112))</f>
        <v>800000</v>
      </c>
      <c r="H111" s="73">
        <f>'Year 1 Results'!S111*-1+('Year 1 Results'!S111*'Event Trigger'!$E112*(1-'Input Sheet year 2'!L112))</f>
        <v>800000</v>
      </c>
      <c r="I111" s="73">
        <f>'Year 1 Results'!T111*-1+('Year 1 Results'!T111*'Event Trigger'!$E112*(1-'Input Sheet year 2'!M112))</f>
        <v>800000</v>
      </c>
      <c r="J111" s="73">
        <f>'Year 1 Results'!U111*-1+('Year 1 Results'!U111*'Event Trigger'!$E112*(1-'Input Sheet year 2'!N112))</f>
        <v>800000</v>
      </c>
      <c r="K111" s="73">
        <f>'Year 1 Results'!V111*-1+('Year 1 Results'!V111*'Event Trigger'!$E112*(1-'Input Sheet year 2'!O112))</f>
        <v>800000</v>
      </c>
      <c r="L111" s="73">
        <f>'Year 1 Results'!W111*-1+('Year 1 Results'!W111*'Event Trigger'!$E112*(1-'Input Sheet year 2'!P112))</f>
        <v>800000</v>
      </c>
      <c r="M111" s="73">
        <f>'Year 1 Results'!X111*-1+('Year 1 Results'!X111*'Event Trigger'!$E112*(1-'Input Sheet year 2'!Q112))</f>
        <v>800000</v>
      </c>
      <c r="N111" s="88"/>
      <c r="O111" s="88">
        <f t="shared" si="10"/>
        <v>-800000</v>
      </c>
      <c r="P111" s="88">
        <f t="shared" si="11"/>
        <v>-800000</v>
      </c>
      <c r="Q111" s="88">
        <f t="shared" si="12"/>
        <v>-800000</v>
      </c>
      <c r="R111" s="88">
        <f t="shared" si="13"/>
        <v>-800000</v>
      </c>
      <c r="S111" s="88">
        <f t="shared" si="14"/>
        <v>-800000</v>
      </c>
      <c r="T111" s="88">
        <f t="shared" si="15"/>
        <v>-800000</v>
      </c>
      <c r="U111" s="88">
        <f t="shared" si="16"/>
        <v>-800000</v>
      </c>
      <c r="V111" s="88">
        <f t="shared" si="17"/>
        <v>-800000</v>
      </c>
      <c r="W111" s="88">
        <f t="shared" si="18"/>
        <v>-800000</v>
      </c>
      <c r="X111" s="88">
        <f t="shared" si="19"/>
        <v>-800000</v>
      </c>
      <c r="Z111" s="51" t="s">
        <v>274</v>
      </c>
      <c r="AA111" s="52">
        <f>IF('Year 1 Results'!AA111*COUNTIF('Event Trigger'!$C:$C,'Year 2 Results'!$Z111)&gt;SUMIF('Event Trigger'!$C:$C,$Z111,D:D),0,'Year 1 Results'!AA111)</f>
        <v>0</v>
      </c>
      <c r="AB111" s="52">
        <f>IF('Year 1 Results'!AB111*COUNTIF('Event Trigger'!$C:$C,'Year 2 Results'!$Z111)&gt;SUMIF('Event Trigger'!$C:$C,$Z111,E:E),0,'Year 1 Results'!AB111)</f>
        <v>0</v>
      </c>
      <c r="AC111" s="52">
        <f>IF('Year 1 Results'!AC111*COUNTIF('Event Trigger'!$C:$C,'Year 2 Results'!$Z111)&gt;SUMIF('Event Trigger'!$C:$C,$Z111,F:F),0,'Year 1 Results'!AC111)</f>
        <v>0</v>
      </c>
      <c r="AD111" s="52">
        <f>IF('Year 1 Results'!AD111*COUNTIF('Event Trigger'!$C:$C,'Year 2 Results'!$Z111)&gt;SUMIF('Event Trigger'!$C:$C,$Z111,G:G),0,'Year 1 Results'!AD111)</f>
        <v>0</v>
      </c>
      <c r="AE111" s="52">
        <f>IF('Year 1 Results'!AE111*COUNTIF('Event Trigger'!$C:$C,'Year 2 Results'!$Z111)&gt;SUMIF('Event Trigger'!$C:$C,$Z111,H:H),0,'Year 1 Results'!AE111)</f>
        <v>0</v>
      </c>
      <c r="AF111" s="52">
        <f>IF('Year 1 Results'!AF111*COUNTIF('Event Trigger'!$C:$C,'Year 2 Results'!$Z111)&gt;SUMIF('Event Trigger'!$C:$C,$Z111,I:I),0,'Year 1 Results'!AF111)</f>
        <v>0</v>
      </c>
      <c r="AG111" s="52">
        <f>IF('Year 1 Results'!AG111*COUNTIF('Event Trigger'!$C:$C,'Year 2 Results'!$Z111)&gt;SUMIF('Event Trigger'!$C:$C,$Z111,J:J),0,'Year 1 Results'!AG111)</f>
        <v>0</v>
      </c>
      <c r="AH111" s="52">
        <f>IF('Year 1 Results'!AH111*COUNTIF('Event Trigger'!$C:$C,'Year 2 Results'!$Z111)&gt;SUMIF('Event Trigger'!$C:$C,$Z111,K:K),0,'Year 1 Results'!AH111)</f>
        <v>0</v>
      </c>
      <c r="AI111" s="52">
        <f>IF('Year 1 Results'!AI111*COUNTIF('Event Trigger'!$C:$C,'Year 2 Results'!$Z111)&gt;SUMIF('Event Trigger'!$C:$C,$Z111,L:L),0,'Year 1 Results'!AI111)</f>
        <v>0</v>
      </c>
      <c r="AJ111" s="52">
        <f>IF('Year 1 Results'!AJ111*COUNTIF('Event Trigger'!$C:$C,'Year 2 Results'!$Z111)&gt;SUMIF('Event Trigger'!$C:$C,$Z111,M:M),0,'Year 1 Results'!AJ111)</f>
        <v>0</v>
      </c>
    </row>
    <row r="112" spans="1:36" ht="25.5" x14ac:dyDescent="0.25">
      <c r="A112" s="37" t="str">
        <f>'Risk Master'!B112:B195&amp;"-"&amp;'Risk Master'!D112</f>
        <v>Hurricane-Typhoon -San Francisco</v>
      </c>
      <c r="B112" s="37" t="str">
        <f>'Input Sheet year 2'!B113</f>
        <v>Hurricane-Typhoon -San Francisco</v>
      </c>
      <c r="C112" s="29" t="str">
        <f>'Risk Master'!F112</f>
        <v>A49</v>
      </c>
      <c r="D112" s="73">
        <f>'Year 1 Results'!O112*-1+('Year 1 Results'!O112*'Event Trigger'!$E113*(1-'Input Sheet year 2'!H113))</f>
        <v>800000</v>
      </c>
      <c r="E112" s="73">
        <f>'Year 1 Results'!P112*-1+('Year 1 Results'!P112*'Event Trigger'!$E113*(1-'Input Sheet year 2'!I113))</f>
        <v>800000</v>
      </c>
      <c r="F112" s="73">
        <f>'Year 1 Results'!Q112*-1+('Year 1 Results'!Q112*'Event Trigger'!$E113*(1-'Input Sheet year 2'!J113))</f>
        <v>800000</v>
      </c>
      <c r="G112" s="73">
        <f>'Year 1 Results'!R112*-1+('Year 1 Results'!R112*'Event Trigger'!$E113*(1-'Input Sheet year 2'!K113))</f>
        <v>800000</v>
      </c>
      <c r="H112" s="73">
        <f>'Year 1 Results'!S112*-1+('Year 1 Results'!S112*'Event Trigger'!$E113*(1-'Input Sheet year 2'!L113))</f>
        <v>800000</v>
      </c>
      <c r="I112" s="73">
        <f>'Year 1 Results'!T112*-1+('Year 1 Results'!T112*'Event Trigger'!$E113*(1-'Input Sheet year 2'!M113))</f>
        <v>800000</v>
      </c>
      <c r="J112" s="73">
        <f>'Year 1 Results'!U112*-1+('Year 1 Results'!U112*'Event Trigger'!$E113*(1-'Input Sheet year 2'!N113))</f>
        <v>800000</v>
      </c>
      <c r="K112" s="73">
        <f>'Year 1 Results'!V112*-1+('Year 1 Results'!V112*'Event Trigger'!$E113*(1-'Input Sheet year 2'!O113))</f>
        <v>800000</v>
      </c>
      <c r="L112" s="73">
        <f>'Year 1 Results'!W112*-1+('Year 1 Results'!W112*'Event Trigger'!$E113*(1-'Input Sheet year 2'!P113))</f>
        <v>800000</v>
      </c>
      <c r="M112" s="73">
        <f>'Year 1 Results'!X112*-1+('Year 1 Results'!X112*'Event Trigger'!$E113*(1-'Input Sheet year 2'!Q113))</f>
        <v>800000</v>
      </c>
      <c r="N112" s="88"/>
      <c r="O112" s="88">
        <f t="shared" si="10"/>
        <v>-800000</v>
      </c>
      <c r="P112" s="88">
        <f t="shared" si="11"/>
        <v>-800000</v>
      </c>
      <c r="Q112" s="88">
        <f t="shared" si="12"/>
        <v>-800000</v>
      </c>
      <c r="R112" s="88">
        <f t="shared" si="13"/>
        <v>-800000</v>
      </c>
      <c r="S112" s="88">
        <f t="shared" si="14"/>
        <v>-800000</v>
      </c>
      <c r="T112" s="88">
        <f t="shared" si="15"/>
        <v>-800000</v>
      </c>
      <c r="U112" s="88">
        <f t="shared" si="16"/>
        <v>-800000</v>
      </c>
      <c r="V112" s="88">
        <f t="shared" si="17"/>
        <v>-800000</v>
      </c>
      <c r="W112" s="88">
        <f t="shared" si="18"/>
        <v>-800000</v>
      </c>
      <c r="X112" s="88">
        <f t="shared" si="19"/>
        <v>-800000</v>
      </c>
      <c r="Z112" s="51" t="s">
        <v>275</v>
      </c>
      <c r="AA112" s="52">
        <f>IF('Year 1 Results'!AA112*COUNTIF('Event Trigger'!$C:$C,'Year 2 Results'!$Z112)&gt;SUMIF('Event Trigger'!$C:$C,$Z112,D:D),0,'Year 1 Results'!AA112)</f>
        <v>0</v>
      </c>
      <c r="AB112" s="52">
        <f>IF('Year 1 Results'!AB112*COUNTIF('Event Trigger'!$C:$C,'Year 2 Results'!$Z112)&gt;SUMIF('Event Trigger'!$C:$C,$Z112,E:E),0,'Year 1 Results'!AB112)</f>
        <v>0</v>
      </c>
      <c r="AC112" s="52">
        <f>IF('Year 1 Results'!AC112*COUNTIF('Event Trigger'!$C:$C,'Year 2 Results'!$Z112)&gt;SUMIF('Event Trigger'!$C:$C,$Z112,F:F),0,'Year 1 Results'!AC112)</f>
        <v>0</v>
      </c>
      <c r="AD112" s="52">
        <f>IF('Year 1 Results'!AD112*COUNTIF('Event Trigger'!$C:$C,'Year 2 Results'!$Z112)&gt;SUMIF('Event Trigger'!$C:$C,$Z112,G:G),0,'Year 1 Results'!AD112)</f>
        <v>0</v>
      </c>
      <c r="AE112" s="52">
        <f>IF('Year 1 Results'!AE112*COUNTIF('Event Trigger'!$C:$C,'Year 2 Results'!$Z112)&gt;SUMIF('Event Trigger'!$C:$C,$Z112,H:H),0,'Year 1 Results'!AE112)</f>
        <v>0</v>
      </c>
      <c r="AF112" s="52">
        <f>IF('Year 1 Results'!AF112*COUNTIF('Event Trigger'!$C:$C,'Year 2 Results'!$Z112)&gt;SUMIF('Event Trigger'!$C:$C,$Z112,I:I),0,'Year 1 Results'!AF112)</f>
        <v>0</v>
      </c>
      <c r="AG112" s="52">
        <f>IF('Year 1 Results'!AG112*COUNTIF('Event Trigger'!$C:$C,'Year 2 Results'!$Z112)&gt;SUMIF('Event Trigger'!$C:$C,$Z112,J:J),0,'Year 1 Results'!AG112)</f>
        <v>0</v>
      </c>
      <c r="AH112" s="52">
        <f>IF('Year 1 Results'!AH112*COUNTIF('Event Trigger'!$C:$C,'Year 2 Results'!$Z112)&gt;SUMIF('Event Trigger'!$C:$C,$Z112,K:K),0,'Year 1 Results'!AH112)</f>
        <v>0</v>
      </c>
      <c r="AI112" s="52">
        <f>IF('Year 1 Results'!AI112*COUNTIF('Event Trigger'!$C:$C,'Year 2 Results'!$Z112)&gt;SUMIF('Event Trigger'!$C:$C,$Z112,L:L),0,'Year 1 Results'!AI112)</f>
        <v>0</v>
      </c>
      <c r="AJ112" s="52">
        <f>IF('Year 1 Results'!AJ112*COUNTIF('Event Trigger'!$C:$C,'Year 2 Results'!$Z112)&gt;SUMIF('Event Trigger'!$C:$C,$Z112,M:M),0,'Year 1 Results'!AJ112)</f>
        <v>0</v>
      </c>
    </row>
    <row r="113" spans="1:36" x14ac:dyDescent="0.25">
      <c r="A113" s="37" t="str">
        <f>'Risk Master'!B113:B196&amp;"-"&amp;'Risk Master'!D113</f>
        <v>Earthquake-San Francisco</v>
      </c>
      <c r="B113" s="37" t="str">
        <f>'Input Sheet year 2'!B114</f>
        <v>Earthquake-San Francisco</v>
      </c>
      <c r="C113" s="29" t="str">
        <f>'Risk Master'!F113</f>
        <v>A49</v>
      </c>
      <c r="D113" s="73">
        <f>'Year 1 Results'!O113*-1+('Year 1 Results'!O113*'Event Trigger'!$E114*(1-'Input Sheet year 2'!H114))</f>
        <v>800000</v>
      </c>
      <c r="E113" s="73">
        <f>'Year 1 Results'!P113*-1+('Year 1 Results'!P113*'Event Trigger'!$E114*(1-'Input Sheet year 2'!I114))</f>
        <v>800000</v>
      </c>
      <c r="F113" s="73">
        <f>'Year 1 Results'!Q113*-1+('Year 1 Results'!Q113*'Event Trigger'!$E114*(1-'Input Sheet year 2'!J114))</f>
        <v>800000</v>
      </c>
      <c r="G113" s="73">
        <f>'Year 1 Results'!R113*-1+('Year 1 Results'!R113*'Event Trigger'!$E114*(1-'Input Sheet year 2'!K114))</f>
        <v>800000</v>
      </c>
      <c r="H113" s="73">
        <f>'Year 1 Results'!S113*-1+('Year 1 Results'!S113*'Event Trigger'!$E114*(1-'Input Sheet year 2'!L114))</f>
        <v>800000</v>
      </c>
      <c r="I113" s="73">
        <f>'Year 1 Results'!T113*-1+('Year 1 Results'!T113*'Event Trigger'!$E114*(1-'Input Sheet year 2'!M114))</f>
        <v>800000</v>
      </c>
      <c r="J113" s="73">
        <f>'Year 1 Results'!U113*-1+('Year 1 Results'!U113*'Event Trigger'!$E114*(1-'Input Sheet year 2'!N114))</f>
        <v>800000</v>
      </c>
      <c r="K113" s="73">
        <f>'Year 1 Results'!V113*-1+('Year 1 Results'!V113*'Event Trigger'!$E114*(1-'Input Sheet year 2'!O114))</f>
        <v>800000</v>
      </c>
      <c r="L113" s="73">
        <f>'Year 1 Results'!W113*-1+('Year 1 Results'!W113*'Event Trigger'!$E114*(1-'Input Sheet year 2'!P114))</f>
        <v>800000</v>
      </c>
      <c r="M113" s="73">
        <f>'Year 1 Results'!X113*-1+('Year 1 Results'!X113*'Event Trigger'!$E114*(1-'Input Sheet year 2'!Q114))</f>
        <v>800000</v>
      </c>
      <c r="N113" s="88"/>
      <c r="O113" s="88">
        <f t="shared" si="10"/>
        <v>-800000</v>
      </c>
      <c r="P113" s="88">
        <f t="shared" si="11"/>
        <v>-800000</v>
      </c>
      <c r="Q113" s="88">
        <f t="shared" si="12"/>
        <v>-800000</v>
      </c>
      <c r="R113" s="88">
        <f t="shared" si="13"/>
        <v>-800000</v>
      </c>
      <c r="S113" s="88">
        <f t="shared" si="14"/>
        <v>-800000</v>
      </c>
      <c r="T113" s="88">
        <f t="shared" si="15"/>
        <v>-800000</v>
      </c>
      <c r="U113" s="88">
        <f t="shared" si="16"/>
        <v>-800000</v>
      </c>
      <c r="V113" s="88">
        <f t="shared" si="17"/>
        <v>-800000</v>
      </c>
      <c r="W113" s="88">
        <f t="shared" si="18"/>
        <v>-800000</v>
      </c>
      <c r="X113" s="88">
        <f t="shared" si="19"/>
        <v>-800000</v>
      </c>
      <c r="Z113" s="51" t="s">
        <v>276</v>
      </c>
      <c r="AA113" s="52">
        <f>IF('Year 1 Results'!AA113*COUNTIF('Event Trigger'!$C:$C,'Year 2 Results'!$Z113)&gt;SUMIF('Event Trigger'!$C:$C,$Z113,D:D),0,'Year 1 Results'!AA113)</f>
        <v>0</v>
      </c>
      <c r="AB113" s="52">
        <f>IF('Year 1 Results'!AB113*COUNTIF('Event Trigger'!$C:$C,'Year 2 Results'!$Z113)&gt;SUMIF('Event Trigger'!$C:$C,$Z113,E:E),0,'Year 1 Results'!AB113)</f>
        <v>0</v>
      </c>
      <c r="AC113" s="52">
        <f>IF('Year 1 Results'!AC113*COUNTIF('Event Trigger'!$C:$C,'Year 2 Results'!$Z113)&gt;SUMIF('Event Trigger'!$C:$C,$Z113,F:F),0,'Year 1 Results'!AC113)</f>
        <v>0</v>
      </c>
      <c r="AD113" s="52">
        <f>IF('Year 1 Results'!AD113*COUNTIF('Event Trigger'!$C:$C,'Year 2 Results'!$Z113)&gt;SUMIF('Event Trigger'!$C:$C,$Z113,G:G),0,'Year 1 Results'!AD113)</f>
        <v>0</v>
      </c>
      <c r="AE113" s="52">
        <f>IF('Year 1 Results'!AE113*COUNTIF('Event Trigger'!$C:$C,'Year 2 Results'!$Z113)&gt;SUMIF('Event Trigger'!$C:$C,$Z113,H:H),0,'Year 1 Results'!AE113)</f>
        <v>0</v>
      </c>
      <c r="AF113" s="52">
        <f>IF('Year 1 Results'!AF113*COUNTIF('Event Trigger'!$C:$C,'Year 2 Results'!$Z113)&gt;SUMIF('Event Trigger'!$C:$C,$Z113,I:I),0,'Year 1 Results'!AF113)</f>
        <v>0</v>
      </c>
      <c r="AG113" s="52">
        <f>IF('Year 1 Results'!AG113*COUNTIF('Event Trigger'!$C:$C,'Year 2 Results'!$Z113)&gt;SUMIF('Event Trigger'!$C:$C,$Z113,J:J),0,'Year 1 Results'!AG113)</f>
        <v>0</v>
      </c>
      <c r="AH113" s="52">
        <f>IF('Year 1 Results'!AH113*COUNTIF('Event Trigger'!$C:$C,'Year 2 Results'!$Z113)&gt;SUMIF('Event Trigger'!$C:$C,$Z113,K:K),0,'Year 1 Results'!AH113)</f>
        <v>0</v>
      </c>
      <c r="AI113" s="52">
        <f>IF('Year 1 Results'!AI113*COUNTIF('Event Trigger'!$C:$C,'Year 2 Results'!$Z113)&gt;SUMIF('Event Trigger'!$C:$C,$Z113,L:L),0,'Year 1 Results'!AI113)</f>
        <v>0</v>
      </c>
      <c r="AJ113" s="52">
        <f>IF('Year 1 Results'!AJ113*COUNTIF('Event Trigger'!$C:$C,'Year 2 Results'!$Z113)&gt;SUMIF('Event Trigger'!$C:$C,$Z113,M:M),0,'Year 1 Results'!AJ113)</f>
        <v>0</v>
      </c>
    </row>
    <row r="114" spans="1:36" ht="25.5" x14ac:dyDescent="0.25">
      <c r="A114" s="37" t="str">
        <f>'Risk Master'!B114:B197&amp;"-"&amp;'Risk Master'!D114</f>
        <v>Thunderstorms, Tornados &amp; Hail-San Francisco</v>
      </c>
      <c r="B114" s="37" t="str">
        <f>'Input Sheet year 2'!B115</f>
        <v>Thunderstorms, Tornados &amp; Hail-San Francisco</v>
      </c>
      <c r="C114" s="29" t="str">
        <f>'Risk Master'!F114</f>
        <v>A53</v>
      </c>
      <c r="D114" s="73">
        <f>'Year 1 Results'!O114*-1+('Year 1 Results'!O114*'Event Trigger'!$E115*(1-'Input Sheet year 2'!H115))</f>
        <v>500000</v>
      </c>
      <c r="E114" s="73">
        <f>'Year 1 Results'!P114*-1+('Year 1 Results'!P114*'Event Trigger'!$E115*(1-'Input Sheet year 2'!I115))</f>
        <v>500000</v>
      </c>
      <c r="F114" s="73">
        <f>'Year 1 Results'!Q114*-1+('Year 1 Results'!Q114*'Event Trigger'!$E115*(1-'Input Sheet year 2'!J115))</f>
        <v>500000</v>
      </c>
      <c r="G114" s="73">
        <f>'Year 1 Results'!R114*-1+('Year 1 Results'!R114*'Event Trigger'!$E115*(1-'Input Sheet year 2'!K115))</f>
        <v>500000</v>
      </c>
      <c r="H114" s="73">
        <f>'Year 1 Results'!S114*-1+('Year 1 Results'!S114*'Event Trigger'!$E115*(1-'Input Sheet year 2'!L115))</f>
        <v>500000</v>
      </c>
      <c r="I114" s="73">
        <f>'Year 1 Results'!T114*-1+('Year 1 Results'!T114*'Event Trigger'!$E115*(1-'Input Sheet year 2'!M115))</f>
        <v>500000</v>
      </c>
      <c r="J114" s="73">
        <f>'Year 1 Results'!U114*-1+('Year 1 Results'!U114*'Event Trigger'!$E115*(1-'Input Sheet year 2'!N115))</f>
        <v>500000</v>
      </c>
      <c r="K114" s="73">
        <f>'Year 1 Results'!V114*-1+('Year 1 Results'!V114*'Event Trigger'!$E115*(1-'Input Sheet year 2'!O115))</f>
        <v>500000</v>
      </c>
      <c r="L114" s="73">
        <f>'Year 1 Results'!W114*-1+('Year 1 Results'!W114*'Event Trigger'!$E115*(1-'Input Sheet year 2'!P115))</f>
        <v>500000</v>
      </c>
      <c r="M114" s="73">
        <f>'Year 1 Results'!X114*-1+('Year 1 Results'!X114*'Event Trigger'!$E115*(1-'Input Sheet year 2'!Q115))</f>
        <v>500000</v>
      </c>
      <c r="N114" s="88"/>
      <c r="O114" s="88">
        <f t="shared" si="10"/>
        <v>-500000</v>
      </c>
      <c r="P114" s="88">
        <f t="shared" si="11"/>
        <v>-500000</v>
      </c>
      <c r="Q114" s="88">
        <f t="shared" si="12"/>
        <v>-500000</v>
      </c>
      <c r="R114" s="88">
        <f t="shared" si="13"/>
        <v>-500000</v>
      </c>
      <c r="S114" s="88">
        <f t="shared" si="14"/>
        <v>-500000</v>
      </c>
      <c r="T114" s="88">
        <f t="shared" si="15"/>
        <v>-500000</v>
      </c>
      <c r="U114" s="88">
        <f t="shared" si="16"/>
        <v>-500000</v>
      </c>
      <c r="V114" s="88">
        <f t="shared" si="17"/>
        <v>-500000</v>
      </c>
      <c r="W114" s="88">
        <f t="shared" si="18"/>
        <v>-500000</v>
      </c>
      <c r="X114" s="88">
        <f t="shared" si="19"/>
        <v>-500000</v>
      </c>
      <c r="Z114" s="51" t="s">
        <v>277</v>
      </c>
      <c r="AA114" s="52">
        <f>IF('Year 1 Results'!AA114*COUNTIF('Event Trigger'!$C:$C,'Year 2 Results'!$Z114)&gt;SUMIF('Event Trigger'!$C:$C,$Z114,D:D),0,'Year 1 Results'!AA114)</f>
        <v>0</v>
      </c>
      <c r="AB114" s="52">
        <f>IF('Year 1 Results'!AB114*COUNTIF('Event Trigger'!$C:$C,'Year 2 Results'!$Z114)&gt;SUMIF('Event Trigger'!$C:$C,$Z114,E:E),0,'Year 1 Results'!AB114)</f>
        <v>0</v>
      </c>
      <c r="AC114" s="52">
        <f>IF('Year 1 Results'!AC114*COUNTIF('Event Trigger'!$C:$C,'Year 2 Results'!$Z114)&gt;SUMIF('Event Trigger'!$C:$C,$Z114,F:F),0,'Year 1 Results'!AC114)</f>
        <v>0</v>
      </c>
      <c r="AD114" s="52">
        <f>IF('Year 1 Results'!AD114*COUNTIF('Event Trigger'!$C:$C,'Year 2 Results'!$Z114)&gt;SUMIF('Event Trigger'!$C:$C,$Z114,G:G),0,'Year 1 Results'!AD114)</f>
        <v>0</v>
      </c>
      <c r="AE114" s="52">
        <f>IF('Year 1 Results'!AE114*COUNTIF('Event Trigger'!$C:$C,'Year 2 Results'!$Z114)&gt;SUMIF('Event Trigger'!$C:$C,$Z114,H:H),0,'Year 1 Results'!AE114)</f>
        <v>0</v>
      </c>
      <c r="AF114" s="52">
        <f>IF('Year 1 Results'!AF114*COUNTIF('Event Trigger'!$C:$C,'Year 2 Results'!$Z114)&gt;SUMIF('Event Trigger'!$C:$C,$Z114,I:I),0,'Year 1 Results'!AF114)</f>
        <v>0</v>
      </c>
      <c r="AG114" s="52">
        <f>IF('Year 1 Results'!AG114*COUNTIF('Event Trigger'!$C:$C,'Year 2 Results'!$Z114)&gt;SUMIF('Event Trigger'!$C:$C,$Z114,J:J),0,'Year 1 Results'!AG114)</f>
        <v>0</v>
      </c>
      <c r="AH114" s="52">
        <f>IF('Year 1 Results'!AH114*COUNTIF('Event Trigger'!$C:$C,'Year 2 Results'!$Z114)&gt;SUMIF('Event Trigger'!$C:$C,$Z114,K:K),0,'Year 1 Results'!AH114)</f>
        <v>600000</v>
      </c>
      <c r="AI114" s="52">
        <f>IF('Year 1 Results'!AI114*COUNTIF('Event Trigger'!$C:$C,'Year 2 Results'!$Z114)&gt;SUMIF('Event Trigger'!$C:$C,$Z114,L:L),0,'Year 1 Results'!AI114)</f>
        <v>0</v>
      </c>
      <c r="AJ114" s="52">
        <f>IF('Year 1 Results'!AJ114*COUNTIF('Event Trigger'!$C:$C,'Year 2 Results'!$Z114)&gt;SUMIF('Event Trigger'!$C:$C,$Z114,M:M),0,'Year 1 Results'!AJ114)</f>
        <v>600000</v>
      </c>
    </row>
    <row r="115" spans="1:36" ht="25.5" x14ac:dyDescent="0.25">
      <c r="A115" s="37" t="str">
        <f>'Risk Master'!B115:B198&amp;"-"&amp;'Risk Master'!D115</f>
        <v>Hurricane-Typhoon -San Francisco</v>
      </c>
      <c r="B115" s="37" t="str">
        <f>'Input Sheet year 2'!B116</f>
        <v>Hurricane-Typhoon -San Francisco</v>
      </c>
      <c r="C115" s="29" t="str">
        <f>'Risk Master'!F115</f>
        <v>A53</v>
      </c>
      <c r="D115" s="73">
        <f>'Year 1 Results'!O115*-1+('Year 1 Results'!O115*'Event Trigger'!$E116*(1-'Input Sheet year 2'!H116))</f>
        <v>500000</v>
      </c>
      <c r="E115" s="73">
        <f>'Year 1 Results'!P115*-1+('Year 1 Results'!P115*'Event Trigger'!$E116*(1-'Input Sheet year 2'!I116))</f>
        <v>500000</v>
      </c>
      <c r="F115" s="73">
        <f>'Year 1 Results'!Q115*-1+('Year 1 Results'!Q115*'Event Trigger'!$E116*(1-'Input Sheet year 2'!J116))</f>
        <v>500000</v>
      </c>
      <c r="G115" s="73">
        <f>'Year 1 Results'!R115*-1+('Year 1 Results'!R115*'Event Trigger'!$E116*(1-'Input Sheet year 2'!K116))</f>
        <v>500000</v>
      </c>
      <c r="H115" s="73">
        <f>'Year 1 Results'!S115*-1+('Year 1 Results'!S115*'Event Trigger'!$E116*(1-'Input Sheet year 2'!L116))</f>
        <v>500000</v>
      </c>
      <c r="I115" s="73">
        <f>'Year 1 Results'!T115*-1+('Year 1 Results'!T115*'Event Trigger'!$E116*(1-'Input Sheet year 2'!M116))</f>
        <v>500000</v>
      </c>
      <c r="J115" s="73">
        <f>'Year 1 Results'!U115*-1+('Year 1 Results'!U115*'Event Trigger'!$E116*(1-'Input Sheet year 2'!N116))</f>
        <v>500000</v>
      </c>
      <c r="K115" s="73">
        <f>'Year 1 Results'!V115*-1+('Year 1 Results'!V115*'Event Trigger'!$E116*(1-'Input Sheet year 2'!O116))</f>
        <v>500000</v>
      </c>
      <c r="L115" s="73">
        <f>'Year 1 Results'!W115*-1+('Year 1 Results'!W115*'Event Trigger'!$E116*(1-'Input Sheet year 2'!P116))</f>
        <v>500000</v>
      </c>
      <c r="M115" s="73">
        <f>'Year 1 Results'!X115*-1+('Year 1 Results'!X115*'Event Trigger'!$E116*(1-'Input Sheet year 2'!Q116))</f>
        <v>500000</v>
      </c>
      <c r="N115" s="88"/>
      <c r="O115" s="88">
        <f t="shared" si="10"/>
        <v>-500000</v>
      </c>
      <c r="P115" s="88">
        <f t="shared" si="11"/>
        <v>-500000</v>
      </c>
      <c r="Q115" s="88">
        <f t="shared" si="12"/>
        <v>-500000</v>
      </c>
      <c r="R115" s="88">
        <f t="shared" si="13"/>
        <v>-500000</v>
      </c>
      <c r="S115" s="88">
        <f t="shared" si="14"/>
        <v>-500000</v>
      </c>
      <c r="T115" s="88">
        <f t="shared" si="15"/>
        <v>-500000</v>
      </c>
      <c r="U115" s="88">
        <f t="shared" si="16"/>
        <v>-500000</v>
      </c>
      <c r="V115" s="88">
        <f t="shared" si="17"/>
        <v>-500000</v>
      </c>
      <c r="W115" s="88">
        <f t="shared" si="18"/>
        <v>-500000</v>
      </c>
      <c r="X115" s="88">
        <f t="shared" si="19"/>
        <v>-500000</v>
      </c>
      <c r="Z115" s="51" t="s">
        <v>278</v>
      </c>
      <c r="AA115" s="52">
        <f>IF('Year 1 Results'!AA115*COUNTIF('Event Trigger'!$C:$C,'Year 2 Results'!$Z115)&gt;SUMIF('Event Trigger'!$C:$C,$Z115,D:D),0,'Year 1 Results'!AA115)</f>
        <v>0</v>
      </c>
      <c r="AB115" s="52">
        <f>IF('Year 1 Results'!AB115*COUNTIF('Event Trigger'!$C:$C,'Year 2 Results'!$Z115)&gt;SUMIF('Event Trigger'!$C:$C,$Z115,E:E),0,'Year 1 Results'!AB115)</f>
        <v>0</v>
      </c>
      <c r="AC115" s="52">
        <f>IF('Year 1 Results'!AC115*COUNTIF('Event Trigger'!$C:$C,'Year 2 Results'!$Z115)&gt;SUMIF('Event Trigger'!$C:$C,$Z115,F:F),0,'Year 1 Results'!AC115)</f>
        <v>0</v>
      </c>
      <c r="AD115" s="52">
        <f>IF('Year 1 Results'!AD115*COUNTIF('Event Trigger'!$C:$C,'Year 2 Results'!$Z115)&gt;SUMIF('Event Trigger'!$C:$C,$Z115,G:G),0,'Year 1 Results'!AD115)</f>
        <v>0</v>
      </c>
      <c r="AE115" s="52">
        <f>IF('Year 1 Results'!AE115*COUNTIF('Event Trigger'!$C:$C,'Year 2 Results'!$Z115)&gt;SUMIF('Event Trigger'!$C:$C,$Z115,H:H),0,'Year 1 Results'!AE115)</f>
        <v>0</v>
      </c>
      <c r="AF115" s="52">
        <f>IF('Year 1 Results'!AF115*COUNTIF('Event Trigger'!$C:$C,'Year 2 Results'!$Z115)&gt;SUMIF('Event Trigger'!$C:$C,$Z115,I:I),0,'Year 1 Results'!AF115)</f>
        <v>0</v>
      </c>
      <c r="AG115" s="52">
        <f>IF('Year 1 Results'!AG115*COUNTIF('Event Trigger'!$C:$C,'Year 2 Results'!$Z115)&gt;SUMIF('Event Trigger'!$C:$C,$Z115,J:J),0,'Year 1 Results'!AG115)</f>
        <v>0</v>
      </c>
      <c r="AH115" s="52">
        <f>IF('Year 1 Results'!AH115*COUNTIF('Event Trigger'!$C:$C,'Year 2 Results'!$Z115)&gt;SUMIF('Event Trigger'!$C:$C,$Z115,K:K),0,'Year 1 Results'!AH115)</f>
        <v>0</v>
      </c>
      <c r="AI115" s="52">
        <f>IF('Year 1 Results'!AI115*COUNTIF('Event Trigger'!$C:$C,'Year 2 Results'!$Z115)&gt;SUMIF('Event Trigger'!$C:$C,$Z115,L:L),0,'Year 1 Results'!AI115)</f>
        <v>0</v>
      </c>
      <c r="AJ115" s="52">
        <f>IF('Year 1 Results'!AJ115*COUNTIF('Event Trigger'!$C:$C,'Year 2 Results'!$Z115)&gt;SUMIF('Event Trigger'!$C:$C,$Z115,M:M),0,'Year 1 Results'!AJ115)</f>
        <v>0</v>
      </c>
    </row>
    <row r="116" spans="1:36" x14ac:dyDescent="0.25">
      <c r="A116" s="37" t="str">
        <f>'Risk Master'!B116:B199&amp;"-"&amp;'Risk Master'!D116</f>
        <v>Earthquake-San Francisco</v>
      </c>
      <c r="B116" s="37" t="str">
        <f>'Input Sheet year 2'!B117</f>
        <v>Earthquake-San Francisco</v>
      </c>
      <c r="C116" s="29" t="str">
        <f>'Risk Master'!F116</f>
        <v>A53</v>
      </c>
      <c r="D116" s="73">
        <f>'Year 1 Results'!O116*-1+('Year 1 Results'!O116*'Event Trigger'!$E117*(1-'Input Sheet year 2'!H117))</f>
        <v>500000</v>
      </c>
      <c r="E116" s="73">
        <f>'Year 1 Results'!P116*-1+('Year 1 Results'!P116*'Event Trigger'!$E117*(1-'Input Sheet year 2'!I117))</f>
        <v>500000</v>
      </c>
      <c r="F116" s="73">
        <f>'Year 1 Results'!Q116*-1+('Year 1 Results'!Q116*'Event Trigger'!$E117*(1-'Input Sheet year 2'!J117))</f>
        <v>500000</v>
      </c>
      <c r="G116" s="73">
        <f>'Year 1 Results'!R116*-1+('Year 1 Results'!R116*'Event Trigger'!$E117*(1-'Input Sheet year 2'!K117))</f>
        <v>500000</v>
      </c>
      <c r="H116" s="73">
        <f>'Year 1 Results'!S116*-1+('Year 1 Results'!S116*'Event Trigger'!$E117*(1-'Input Sheet year 2'!L117))</f>
        <v>500000</v>
      </c>
      <c r="I116" s="73">
        <f>'Year 1 Results'!T116*-1+('Year 1 Results'!T116*'Event Trigger'!$E117*(1-'Input Sheet year 2'!M117))</f>
        <v>500000</v>
      </c>
      <c r="J116" s="73">
        <f>'Year 1 Results'!U116*-1+('Year 1 Results'!U116*'Event Trigger'!$E117*(1-'Input Sheet year 2'!N117))</f>
        <v>500000</v>
      </c>
      <c r="K116" s="73">
        <f>'Year 1 Results'!V116*-1+('Year 1 Results'!V116*'Event Trigger'!$E117*(1-'Input Sheet year 2'!O117))</f>
        <v>500000</v>
      </c>
      <c r="L116" s="73">
        <f>'Year 1 Results'!W116*-1+('Year 1 Results'!W116*'Event Trigger'!$E117*(1-'Input Sheet year 2'!P117))</f>
        <v>500000</v>
      </c>
      <c r="M116" s="73">
        <f>'Year 1 Results'!X116*-1+('Year 1 Results'!X116*'Event Trigger'!$E117*(1-'Input Sheet year 2'!Q117))</f>
        <v>500000</v>
      </c>
      <c r="N116" s="88"/>
      <c r="O116" s="88">
        <f t="shared" si="10"/>
        <v>-500000</v>
      </c>
      <c r="P116" s="88">
        <f t="shared" si="11"/>
        <v>-500000</v>
      </c>
      <c r="Q116" s="88">
        <f t="shared" si="12"/>
        <v>-500000</v>
      </c>
      <c r="R116" s="88">
        <f t="shared" si="13"/>
        <v>-500000</v>
      </c>
      <c r="S116" s="88">
        <f t="shared" si="14"/>
        <v>-500000</v>
      </c>
      <c r="T116" s="88">
        <f t="shared" si="15"/>
        <v>-500000</v>
      </c>
      <c r="U116" s="88">
        <f t="shared" si="16"/>
        <v>-500000</v>
      </c>
      <c r="V116" s="88">
        <f t="shared" si="17"/>
        <v>-500000</v>
      </c>
      <c r="W116" s="88">
        <f t="shared" si="18"/>
        <v>-500000</v>
      </c>
      <c r="X116" s="88">
        <f t="shared" si="19"/>
        <v>-500000</v>
      </c>
      <c r="Z116" s="51" t="s">
        <v>279</v>
      </c>
      <c r="AA116" s="52">
        <f>IF('Year 1 Results'!AA116*COUNTIF('Event Trigger'!$C:$C,'Year 2 Results'!$Z116)&gt;SUMIF('Event Trigger'!$C:$C,$Z116,D:D),0,'Year 1 Results'!AA116)</f>
        <v>0</v>
      </c>
      <c r="AB116" s="52">
        <f>IF('Year 1 Results'!AB116*COUNTIF('Event Trigger'!$C:$C,'Year 2 Results'!$Z116)&gt;SUMIF('Event Trigger'!$C:$C,$Z116,E:E),0,'Year 1 Results'!AB116)</f>
        <v>0</v>
      </c>
      <c r="AC116" s="52">
        <f>IF('Year 1 Results'!AC116*COUNTIF('Event Trigger'!$C:$C,'Year 2 Results'!$Z116)&gt;SUMIF('Event Trigger'!$C:$C,$Z116,F:F),0,'Year 1 Results'!AC116)</f>
        <v>0</v>
      </c>
      <c r="AD116" s="52">
        <f>IF('Year 1 Results'!AD116*COUNTIF('Event Trigger'!$C:$C,'Year 2 Results'!$Z116)&gt;SUMIF('Event Trigger'!$C:$C,$Z116,G:G),0,'Year 1 Results'!AD116)</f>
        <v>0</v>
      </c>
      <c r="AE116" s="52">
        <f>IF('Year 1 Results'!AE116*COUNTIF('Event Trigger'!$C:$C,'Year 2 Results'!$Z116)&gt;SUMIF('Event Trigger'!$C:$C,$Z116,H:H),0,'Year 1 Results'!AE116)</f>
        <v>0</v>
      </c>
      <c r="AF116" s="52">
        <f>IF('Year 1 Results'!AF116*COUNTIF('Event Trigger'!$C:$C,'Year 2 Results'!$Z116)&gt;SUMIF('Event Trigger'!$C:$C,$Z116,I:I),0,'Year 1 Results'!AF116)</f>
        <v>0</v>
      </c>
      <c r="AG116" s="52">
        <f>IF('Year 1 Results'!AG116*COUNTIF('Event Trigger'!$C:$C,'Year 2 Results'!$Z116)&gt;SUMIF('Event Trigger'!$C:$C,$Z116,J:J),0,'Year 1 Results'!AG116)</f>
        <v>0</v>
      </c>
      <c r="AH116" s="52">
        <f>IF('Year 1 Results'!AH116*COUNTIF('Event Trigger'!$C:$C,'Year 2 Results'!$Z116)&gt;SUMIF('Event Trigger'!$C:$C,$Z116,K:K),0,'Year 1 Results'!AH116)</f>
        <v>0</v>
      </c>
      <c r="AI116" s="52">
        <f>IF('Year 1 Results'!AI116*COUNTIF('Event Trigger'!$C:$C,'Year 2 Results'!$Z116)&gt;SUMIF('Event Trigger'!$C:$C,$Z116,L:L),0,'Year 1 Results'!AI116)</f>
        <v>0</v>
      </c>
      <c r="AJ116" s="52">
        <f>IF('Year 1 Results'!AJ116*COUNTIF('Event Trigger'!$C:$C,'Year 2 Results'!$Z116)&gt;SUMIF('Event Trigger'!$C:$C,$Z116,M:M),0,'Year 1 Results'!AJ116)</f>
        <v>0</v>
      </c>
    </row>
    <row r="117" spans="1:36" ht="25.5" x14ac:dyDescent="0.25">
      <c r="A117" s="37" t="str">
        <f>'Risk Master'!B117:B200&amp;"-"&amp;'Risk Master'!D117</f>
        <v>Thunderstorms, Tornados &amp; Hail-San Francisco</v>
      </c>
      <c r="B117" s="37" t="str">
        <f>'Input Sheet year 2'!B118</f>
        <v>Thunderstorms, Tornados &amp; Hail-San Francisco</v>
      </c>
      <c r="C117" s="29" t="str">
        <f>'Risk Master'!F117</f>
        <v>A54</v>
      </c>
      <c r="D117" s="73">
        <f>'Year 1 Results'!O117*-1+('Year 1 Results'!O117*'Event Trigger'!$E118*(1-'Input Sheet year 2'!H118))</f>
        <v>300000</v>
      </c>
      <c r="E117" s="73">
        <f>'Year 1 Results'!P117*-1+('Year 1 Results'!P117*'Event Trigger'!$E118*(1-'Input Sheet year 2'!I118))</f>
        <v>300000</v>
      </c>
      <c r="F117" s="73">
        <f>'Year 1 Results'!Q117*-1+('Year 1 Results'!Q117*'Event Trigger'!$E118*(1-'Input Sheet year 2'!J118))</f>
        <v>300000</v>
      </c>
      <c r="G117" s="73">
        <f>'Year 1 Results'!R117*-1+('Year 1 Results'!R117*'Event Trigger'!$E118*(1-'Input Sheet year 2'!K118))</f>
        <v>300000</v>
      </c>
      <c r="H117" s="73">
        <f>'Year 1 Results'!S117*-1+('Year 1 Results'!S117*'Event Trigger'!$E118*(1-'Input Sheet year 2'!L118))</f>
        <v>300000</v>
      </c>
      <c r="I117" s="73">
        <f>'Year 1 Results'!T117*-1+('Year 1 Results'!T117*'Event Trigger'!$E118*(1-'Input Sheet year 2'!M118))</f>
        <v>300000</v>
      </c>
      <c r="J117" s="73">
        <f>'Year 1 Results'!U117*-1+('Year 1 Results'!U117*'Event Trigger'!$E118*(1-'Input Sheet year 2'!N118))</f>
        <v>300000</v>
      </c>
      <c r="K117" s="73">
        <f>'Year 1 Results'!V117*-1+('Year 1 Results'!V117*'Event Trigger'!$E118*(1-'Input Sheet year 2'!O118))</f>
        <v>300000</v>
      </c>
      <c r="L117" s="73">
        <f>'Year 1 Results'!W117*-1+('Year 1 Results'!W117*'Event Trigger'!$E118*(1-'Input Sheet year 2'!P118))</f>
        <v>300000</v>
      </c>
      <c r="M117" s="73">
        <f>'Year 1 Results'!X117*-1+('Year 1 Results'!X117*'Event Trigger'!$E118*(1-'Input Sheet year 2'!Q118))</f>
        <v>300000</v>
      </c>
      <c r="N117" s="88"/>
      <c r="O117" s="88">
        <f t="shared" si="10"/>
        <v>-300000</v>
      </c>
      <c r="P117" s="88">
        <f t="shared" si="11"/>
        <v>-300000</v>
      </c>
      <c r="Q117" s="88">
        <f t="shared" si="12"/>
        <v>-300000</v>
      </c>
      <c r="R117" s="88">
        <f t="shared" si="13"/>
        <v>-300000</v>
      </c>
      <c r="S117" s="88">
        <f t="shared" si="14"/>
        <v>-300000</v>
      </c>
      <c r="T117" s="88">
        <f t="shared" si="15"/>
        <v>-300000</v>
      </c>
      <c r="U117" s="88">
        <f t="shared" si="16"/>
        <v>-300000</v>
      </c>
      <c r="V117" s="88">
        <f t="shared" si="17"/>
        <v>-300000</v>
      </c>
      <c r="W117" s="88">
        <f t="shared" si="18"/>
        <v>-300000</v>
      </c>
      <c r="X117" s="88">
        <f t="shared" si="19"/>
        <v>-300000</v>
      </c>
      <c r="Z117" s="51" t="s">
        <v>280</v>
      </c>
      <c r="AA117" s="52">
        <f>IF('Year 1 Results'!AA117*COUNTIF('Event Trigger'!$C:$C,'Year 2 Results'!$Z117)&gt;SUMIF('Event Trigger'!$C:$C,$Z117,D:D),0,'Year 1 Results'!AA117)</f>
        <v>0</v>
      </c>
      <c r="AB117" s="52">
        <f>IF('Year 1 Results'!AB117*COUNTIF('Event Trigger'!$C:$C,'Year 2 Results'!$Z117)&gt;SUMIF('Event Trigger'!$C:$C,$Z117,E:E),0,'Year 1 Results'!AB117)</f>
        <v>0</v>
      </c>
      <c r="AC117" s="52">
        <f>IF('Year 1 Results'!AC117*COUNTIF('Event Trigger'!$C:$C,'Year 2 Results'!$Z117)&gt;SUMIF('Event Trigger'!$C:$C,$Z117,F:F),0,'Year 1 Results'!AC117)</f>
        <v>0</v>
      </c>
      <c r="AD117" s="52">
        <f>IF('Year 1 Results'!AD117*COUNTIF('Event Trigger'!$C:$C,'Year 2 Results'!$Z117)&gt;SUMIF('Event Trigger'!$C:$C,$Z117,G:G),0,'Year 1 Results'!AD117)</f>
        <v>0</v>
      </c>
      <c r="AE117" s="52">
        <f>IF('Year 1 Results'!AE117*COUNTIF('Event Trigger'!$C:$C,'Year 2 Results'!$Z117)&gt;SUMIF('Event Trigger'!$C:$C,$Z117,H:H),0,'Year 1 Results'!AE117)</f>
        <v>0</v>
      </c>
      <c r="AF117" s="52">
        <f>IF('Year 1 Results'!AF117*COUNTIF('Event Trigger'!$C:$C,'Year 2 Results'!$Z117)&gt;SUMIF('Event Trigger'!$C:$C,$Z117,I:I),0,'Year 1 Results'!AF117)</f>
        <v>0</v>
      </c>
      <c r="AG117" s="52">
        <f>IF('Year 1 Results'!AG117*COUNTIF('Event Trigger'!$C:$C,'Year 2 Results'!$Z117)&gt;SUMIF('Event Trigger'!$C:$C,$Z117,J:J),0,'Year 1 Results'!AG117)</f>
        <v>0</v>
      </c>
      <c r="AH117" s="52">
        <f>IF('Year 1 Results'!AH117*COUNTIF('Event Trigger'!$C:$C,'Year 2 Results'!$Z117)&gt;SUMIF('Event Trigger'!$C:$C,$Z117,K:K),0,'Year 1 Results'!AH117)</f>
        <v>0</v>
      </c>
      <c r="AI117" s="52">
        <f>IF('Year 1 Results'!AI117*COUNTIF('Event Trigger'!$C:$C,'Year 2 Results'!$Z117)&gt;SUMIF('Event Trigger'!$C:$C,$Z117,L:L),0,'Year 1 Results'!AI117)</f>
        <v>0</v>
      </c>
      <c r="AJ117" s="52">
        <f>IF('Year 1 Results'!AJ117*COUNTIF('Event Trigger'!$C:$C,'Year 2 Results'!$Z117)&gt;SUMIF('Event Trigger'!$C:$C,$Z117,M:M),0,'Year 1 Results'!AJ117)</f>
        <v>0</v>
      </c>
    </row>
    <row r="118" spans="1:36" ht="25.5" x14ac:dyDescent="0.25">
      <c r="A118" s="37" t="str">
        <f>'Risk Master'!B118:B201&amp;"-"&amp;'Risk Master'!D118</f>
        <v>Hurricane-Typhoon -San Francisco</v>
      </c>
      <c r="B118" s="37" t="str">
        <f>'Input Sheet year 2'!B119</f>
        <v>Hurricane-Typhoon -San Francisco</v>
      </c>
      <c r="C118" s="29" t="str">
        <f>'Risk Master'!F118</f>
        <v>A55</v>
      </c>
      <c r="D118" s="73">
        <f>'Year 1 Results'!O118*-1+('Year 1 Results'!O118*'Event Trigger'!$E119*(1-'Input Sheet year 2'!H119))</f>
        <v>500000</v>
      </c>
      <c r="E118" s="73">
        <f>'Year 1 Results'!P118*-1+('Year 1 Results'!P118*'Event Trigger'!$E119*(1-'Input Sheet year 2'!I119))</f>
        <v>500000</v>
      </c>
      <c r="F118" s="73">
        <f>'Year 1 Results'!Q118*-1+('Year 1 Results'!Q118*'Event Trigger'!$E119*(1-'Input Sheet year 2'!J119))</f>
        <v>500000</v>
      </c>
      <c r="G118" s="73">
        <f>'Year 1 Results'!R118*-1+('Year 1 Results'!R118*'Event Trigger'!$E119*(1-'Input Sheet year 2'!K119))</f>
        <v>500000</v>
      </c>
      <c r="H118" s="73">
        <f>'Year 1 Results'!S118*-1+('Year 1 Results'!S118*'Event Trigger'!$E119*(1-'Input Sheet year 2'!L119))</f>
        <v>500000</v>
      </c>
      <c r="I118" s="73">
        <f>'Year 1 Results'!T118*-1+('Year 1 Results'!T118*'Event Trigger'!$E119*(1-'Input Sheet year 2'!M119))</f>
        <v>500000</v>
      </c>
      <c r="J118" s="73">
        <f>'Year 1 Results'!U118*-1+('Year 1 Results'!U118*'Event Trigger'!$E119*(1-'Input Sheet year 2'!N119))</f>
        <v>500000</v>
      </c>
      <c r="K118" s="73">
        <f>'Year 1 Results'!V118*-1+('Year 1 Results'!V118*'Event Trigger'!$E119*(1-'Input Sheet year 2'!O119))</f>
        <v>500000</v>
      </c>
      <c r="L118" s="73">
        <f>'Year 1 Results'!W118*-1+('Year 1 Results'!W118*'Event Trigger'!$E119*(1-'Input Sheet year 2'!P119))</f>
        <v>500000</v>
      </c>
      <c r="M118" s="73">
        <f>'Year 1 Results'!X118*-1+('Year 1 Results'!X118*'Event Trigger'!$E119*(1-'Input Sheet year 2'!Q119))</f>
        <v>500000</v>
      </c>
      <c r="N118" s="88"/>
      <c r="O118" s="88">
        <f t="shared" si="10"/>
        <v>-500000</v>
      </c>
      <c r="P118" s="88">
        <f t="shared" si="11"/>
        <v>-500000</v>
      </c>
      <c r="Q118" s="88">
        <f t="shared" si="12"/>
        <v>-500000</v>
      </c>
      <c r="R118" s="88">
        <f t="shared" si="13"/>
        <v>-500000</v>
      </c>
      <c r="S118" s="88">
        <f t="shared" si="14"/>
        <v>-500000</v>
      </c>
      <c r="T118" s="88">
        <f t="shared" si="15"/>
        <v>-500000</v>
      </c>
      <c r="U118" s="88">
        <f t="shared" si="16"/>
        <v>-500000</v>
      </c>
      <c r="V118" s="88">
        <f t="shared" si="17"/>
        <v>-500000</v>
      </c>
      <c r="W118" s="88">
        <f t="shared" si="18"/>
        <v>-500000</v>
      </c>
      <c r="X118" s="88">
        <f t="shared" si="19"/>
        <v>-500000</v>
      </c>
      <c r="Z118" s="51" t="s">
        <v>281</v>
      </c>
      <c r="AA118" s="52">
        <f>IF('Year 1 Results'!AA118*COUNTIF('Event Trigger'!$C:$C,'Year 2 Results'!$Z118)&gt;SUMIF('Event Trigger'!$C:$C,$Z118,D:D),0,'Year 1 Results'!AA118)</f>
        <v>0</v>
      </c>
      <c r="AB118" s="52">
        <f>IF('Year 1 Results'!AB118*COUNTIF('Event Trigger'!$C:$C,'Year 2 Results'!$Z118)&gt;SUMIF('Event Trigger'!$C:$C,$Z118,E:E),0,'Year 1 Results'!AB118)</f>
        <v>0</v>
      </c>
      <c r="AC118" s="52">
        <f>IF('Year 1 Results'!AC118*COUNTIF('Event Trigger'!$C:$C,'Year 2 Results'!$Z118)&gt;SUMIF('Event Trigger'!$C:$C,$Z118,F:F),0,'Year 1 Results'!AC118)</f>
        <v>0</v>
      </c>
      <c r="AD118" s="52">
        <f>IF('Year 1 Results'!AD118*COUNTIF('Event Trigger'!$C:$C,'Year 2 Results'!$Z118)&gt;SUMIF('Event Trigger'!$C:$C,$Z118,G:G),0,'Year 1 Results'!AD118)</f>
        <v>0</v>
      </c>
      <c r="AE118" s="52">
        <f>IF('Year 1 Results'!AE118*COUNTIF('Event Trigger'!$C:$C,'Year 2 Results'!$Z118)&gt;SUMIF('Event Trigger'!$C:$C,$Z118,H:H),0,'Year 1 Results'!AE118)</f>
        <v>0</v>
      </c>
      <c r="AF118" s="52">
        <f>IF('Year 1 Results'!AF118*COUNTIF('Event Trigger'!$C:$C,'Year 2 Results'!$Z118)&gt;SUMIF('Event Trigger'!$C:$C,$Z118,I:I),0,'Year 1 Results'!AF118)</f>
        <v>0</v>
      </c>
      <c r="AG118" s="52">
        <f>IF('Year 1 Results'!AG118*COUNTIF('Event Trigger'!$C:$C,'Year 2 Results'!$Z118)&gt;SUMIF('Event Trigger'!$C:$C,$Z118,J:J),0,'Year 1 Results'!AG118)</f>
        <v>0</v>
      </c>
      <c r="AH118" s="52">
        <f>IF('Year 1 Results'!AH118*COUNTIF('Event Trigger'!$C:$C,'Year 2 Results'!$Z118)&gt;SUMIF('Event Trigger'!$C:$C,$Z118,K:K),0,'Year 1 Results'!AH118)</f>
        <v>0</v>
      </c>
      <c r="AI118" s="52">
        <f>IF('Year 1 Results'!AI118*COUNTIF('Event Trigger'!$C:$C,'Year 2 Results'!$Z118)&gt;SUMIF('Event Trigger'!$C:$C,$Z118,L:L),0,'Year 1 Results'!AI118)</f>
        <v>0</v>
      </c>
      <c r="AJ118" s="52">
        <f>IF('Year 1 Results'!AJ118*COUNTIF('Event Trigger'!$C:$C,'Year 2 Results'!$Z118)&gt;SUMIF('Event Trigger'!$C:$C,$Z118,M:M),0,'Year 1 Results'!AJ118)</f>
        <v>0</v>
      </c>
    </row>
    <row r="119" spans="1:36" x14ac:dyDescent="0.25">
      <c r="A119" s="37" t="str">
        <f>'Risk Master'!B119:B202&amp;"-"&amp;'Risk Master'!D119</f>
        <v>Earthquake-San Francisco</v>
      </c>
      <c r="B119" s="37" t="str">
        <f>'Input Sheet year 2'!B120</f>
        <v>Earthquake-San Francisco</v>
      </c>
      <c r="C119" s="29" t="str">
        <f>'Risk Master'!F119</f>
        <v>A60</v>
      </c>
      <c r="D119" s="73">
        <f>'Year 1 Results'!O119*-1+('Year 1 Results'!O119*'Event Trigger'!$E120*(1-'Input Sheet year 2'!H120))</f>
        <v>400000</v>
      </c>
      <c r="E119" s="73">
        <f>'Year 1 Results'!P119*-1+('Year 1 Results'!P119*'Event Trigger'!$E120*(1-'Input Sheet year 2'!I120))</f>
        <v>400000</v>
      </c>
      <c r="F119" s="73">
        <f>'Year 1 Results'!Q119*-1+('Year 1 Results'!Q119*'Event Trigger'!$E120*(1-'Input Sheet year 2'!J120))</f>
        <v>400000</v>
      </c>
      <c r="G119" s="73">
        <f>'Year 1 Results'!R119*-1+('Year 1 Results'!R119*'Event Trigger'!$E120*(1-'Input Sheet year 2'!K120))</f>
        <v>400000</v>
      </c>
      <c r="H119" s="73">
        <f>'Year 1 Results'!S119*-1+('Year 1 Results'!S119*'Event Trigger'!$E120*(1-'Input Sheet year 2'!L120))</f>
        <v>400000</v>
      </c>
      <c r="I119" s="73">
        <f>'Year 1 Results'!T119*-1+('Year 1 Results'!T119*'Event Trigger'!$E120*(1-'Input Sheet year 2'!M120))</f>
        <v>400000</v>
      </c>
      <c r="J119" s="73">
        <f>'Year 1 Results'!U119*-1+('Year 1 Results'!U119*'Event Trigger'!$E120*(1-'Input Sheet year 2'!N120))</f>
        <v>400000</v>
      </c>
      <c r="K119" s="73">
        <f>'Year 1 Results'!V119*-1+('Year 1 Results'!V119*'Event Trigger'!$E120*(1-'Input Sheet year 2'!O120))</f>
        <v>400000</v>
      </c>
      <c r="L119" s="73">
        <f>'Year 1 Results'!W119*-1+('Year 1 Results'!W119*'Event Trigger'!$E120*(1-'Input Sheet year 2'!P120))</f>
        <v>400000</v>
      </c>
      <c r="M119" s="73">
        <f>'Year 1 Results'!X119*-1+('Year 1 Results'!X119*'Event Trigger'!$E120*(1-'Input Sheet year 2'!Q120))</f>
        <v>400000</v>
      </c>
      <c r="N119" s="88"/>
      <c r="O119" s="88">
        <f t="shared" si="10"/>
        <v>-400000</v>
      </c>
      <c r="P119" s="88">
        <f t="shared" si="11"/>
        <v>-400000</v>
      </c>
      <c r="Q119" s="88">
        <f t="shared" si="12"/>
        <v>-400000</v>
      </c>
      <c r="R119" s="88">
        <f t="shared" si="13"/>
        <v>-400000</v>
      </c>
      <c r="S119" s="88">
        <f t="shared" si="14"/>
        <v>-400000</v>
      </c>
      <c r="T119" s="88">
        <f t="shared" si="15"/>
        <v>-400000</v>
      </c>
      <c r="U119" s="88">
        <f t="shared" si="16"/>
        <v>-400000</v>
      </c>
      <c r="V119" s="88">
        <f t="shared" si="17"/>
        <v>-400000</v>
      </c>
      <c r="W119" s="88">
        <f t="shared" si="18"/>
        <v>-400000</v>
      </c>
      <c r="X119" s="88">
        <f t="shared" si="19"/>
        <v>-400000</v>
      </c>
      <c r="Z119" s="51" t="s">
        <v>282</v>
      </c>
      <c r="AA119" s="52">
        <f>IF('Year 1 Results'!AA119*COUNTIF('Event Trigger'!$C:$C,'Year 2 Results'!$Z119)&gt;SUMIF('Event Trigger'!$C:$C,$Z119,D:D),0,'Year 1 Results'!AA119)</f>
        <v>0</v>
      </c>
      <c r="AB119" s="52">
        <f>IF('Year 1 Results'!AB119*COUNTIF('Event Trigger'!$C:$C,'Year 2 Results'!$Z119)&gt;SUMIF('Event Trigger'!$C:$C,$Z119,E:E),0,'Year 1 Results'!AB119)</f>
        <v>0</v>
      </c>
      <c r="AC119" s="52">
        <f>IF('Year 1 Results'!AC119*COUNTIF('Event Trigger'!$C:$C,'Year 2 Results'!$Z119)&gt;SUMIF('Event Trigger'!$C:$C,$Z119,F:F),0,'Year 1 Results'!AC119)</f>
        <v>0</v>
      </c>
      <c r="AD119" s="52">
        <f>IF('Year 1 Results'!AD119*COUNTIF('Event Trigger'!$C:$C,'Year 2 Results'!$Z119)&gt;SUMIF('Event Trigger'!$C:$C,$Z119,G:G),0,'Year 1 Results'!AD119)</f>
        <v>0</v>
      </c>
      <c r="AE119" s="52">
        <f>IF('Year 1 Results'!AE119*COUNTIF('Event Trigger'!$C:$C,'Year 2 Results'!$Z119)&gt;SUMIF('Event Trigger'!$C:$C,$Z119,H:H),0,'Year 1 Results'!AE119)</f>
        <v>0</v>
      </c>
      <c r="AF119" s="52">
        <f>IF('Year 1 Results'!AF119*COUNTIF('Event Trigger'!$C:$C,'Year 2 Results'!$Z119)&gt;SUMIF('Event Trigger'!$C:$C,$Z119,I:I),0,'Year 1 Results'!AF119)</f>
        <v>0</v>
      </c>
      <c r="AG119" s="52">
        <f>IF('Year 1 Results'!AG119*COUNTIF('Event Trigger'!$C:$C,'Year 2 Results'!$Z119)&gt;SUMIF('Event Trigger'!$C:$C,$Z119,J:J),0,'Year 1 Results'!AG119)</f>
        <v>0</v>
      </c>
      <c r="AH119" s="52">
        <f>IF('Year 1 Results'!AH119*COUNTIF('Event Trigger'!$C:$C,'Year 2 Results'!$Z119)&gt;SUMIF('Event Trigger'!$C:$C,$Z119,K:K),0,'Year 1 Results'!AH119)</f>
        <v>0</v>
      </c>
      <c r="AI119" s="52">
        <f>IF('Year 1 Results'!AI119*COUNTIF('Event Trigger'!$C:$C,'Year 2 Results'!$Z119)&gt;SUMIF('Event Trigger'!$C:$C,$Z119,L:L),0,'Year 1 Results'!AI119)</f>
        <v>0</v>
      </c>
      <c r="AJ119" s="52">
        <f>IF('Year 1 Results'!AJ119*COUNTIF('Event Trigger'!$C:$C,'Year 2 Results'!$Z119)&gt;SUMIF('Event Trigger'!$C:$C,$Z119,M:M),0,'Year 1 Results'!AJ119)</f>
        <v>0</v>
      </c>
    </row>
    <row r="120" spans="1:36" ht="25.5" x14ac:dyDescent="0.25">
      <c r="A120" s="37" t="str">
        <f>'Risk Master'!B120:B203&amp;"-"&amp;'Risk Master'!D120</f>
        <v>Hurricane-Typhoon -San Francisco</v>
      </c>
      <c r="B120" s="37" t="str">
        <f>'Input Sheet year 2'!B121</f>
        <v>Hurricane-Typhoon -San Francisco</v>
      </c>
      <c r="C120" s="29" t="str">
        <f>'Risk Master'!F120</f>
        <v>A58</v>
      </c>
      <c r="D120" s="73">
        <f>'Year 1 Results'!O120*-1+('Year 1 Results'!O120*'Event Trigger'!$E121*(1-'Input Sheet year 2'!H121))</f>
        <v>0</v>
      </c>
      <c r="E120" s="73">
        <f>'Year 1 Results'!P120*-1+('Year 1 Results'!P120*'Event Trigger'!$E121*(1-'Input Sheet year 2'!I121))</f>
        <v>0</v>
      </c>
      <c r="F120" s="73">
        <f>'Year 1 Results'!Q120*-1+('Year 1 Results'!Q120*'Event Trigger'!$E121*(1-'Input Sheet year 2'!J121))</f>
        <v>0</v>
      </c>
      <c r="G120" s="73">
        <f>'Year 1 Results'!R120*-1+('Year 1 Results'!R120*'Event Trigger'!$E121*(1-'Input Sheet year 2'!K121))</f>
        <v>0</v>
      </c>
      <c r="H120" s="73">
        <f>'Year 1 Results'!S120*-1+('Year 1 Results'!S120*'Event Trigger'!$E121*(1-'Input Sheet year 2'!L121))</f>
        <v>200000</v>
      </c>
      <c r="I120" s="73">
        <f>'Year 1 Results'!T120*-1+('Year 1 Results'!T120*'Event Trigger'!$E121*(1-'Input Sheet year 2'!M121))</f>
        <v>0</v>
      </c>
      <c r="J120" s="73">
        <f>'Year 1 Results'!U120*-1+('Year 1 Results'!U120*'Event Trigger'!$E121*(1-'Input Sheet year 2'!N121))</f>
        <v>200000</v>
      </c>
      <c r="K120" s="73">
        <f>'Year 1 Results'!V120*-1+('Year 1 Results'!V120*'Event Trigger'!$E121*(1-'Input Sheet year 2'!O121))</f>
        <v>0</v>
      </c>
      <c r="L120" s="73">
        <f>'Year 1 Results'!W120*-1+('Year 1 Results'!W120*'Event Trigger'!$E121*(1-'Input Sheet year 2'!P121))</f>
        <v>200000</v>
      </c>
      <c r="M120" s="73">
        <f>'Year 1 Results'!X120*-1+('Year 1 Results'!X120*'Event Trigger'!$E121*(1-'Input Sheet year 2'!Q121))</f>
        <v>0</v>
      </c>
      <c r="N120" s="88"/>
      <c r="O120" s="88">
        <f t="shared" si="10"/>
        <v>0</v>
      </c>
      <c r="P120" s="88">
        <f t="shared" si="11"/>
        <v>0</v>
      </c>
      <c r="Q120" s="88">
        <f t="shared" si="12"/>
        <v>0</v>
      </c>
      <c r="R120" s="88">
        <f t="shared" si="13"/>
        <v>0</v>
      </c>
      <c r="S120" s="88">
        <f t="shared" si="14"/>
        <v>-200000</v>
      </c>
      <c r="T120" s="88">
        <f t="shared" si="15"/>
        <v>0</v>
      </c>
      <c r="U120" s="88">
        <f t="shared" si="16"/>
        <v>-200000</v>
      </c>
      <c r="V120" s="88">
        <f t="shared" si="17"/>
        <v>0</v>
      </c>
      <c r="W120" s="88">
        <f t="shared" si="18"/>
        <v>-200000</v>
      </c>
      <c r="X120" s="88">
        <f t="shared" si="19"/>
        <v>0</v>
      </c>
      <c r="Z120" s="51" t="s">
        <v>283</v>
      </c>
      <c r="AA120" s="52">
        <f>IF('Year 1 Results'!AA120*COUNTIF('Event Trigger'!$C:$C,'Year 2 Results'!$Z120)&gt;SUMIF('Event Trigger'!$C:$C,$Z120,D:D),0,'Year 1 Results'!AA120)</f>
        <v>0</v>
      </c>
      <c r="AB120" s="52">
        <f>IF('Year 1 Results'!AB120*COUNTIF('Event Trigger'!$C:$C,'Year 2 Results'!$Z120)&gt;SUMIF('Event Trigger'!$C:$C,$Z120,E:E),0,'Year 1 Results'!AB120)</f>
        <v>0</v>
      </c>
      <c r="AC120" s="52">
        <f>IF('Year 1 Results'!AC120*COUNTIF('Event Trigger'!$C:$C,'Year 2 Results'!$Z120)&gt;SUMIF('Event Trigger'!$C:$C,$Z120,F:F),0,'Year 1 Results'!AC120)</f>
        <v>0</v>
      </c>
      <c r="AD120" s="52">
        <f>IF('Year 1 Results'!AD120*COUNTIF('Event Trigger'!$C:$C,'Year 2 Results'!$Z120)&gt;SUMIF('Event Trigger'!$C:$C,$Z120,G:G),0,'Year 1 Results'!AD120)</f>
        <v>0</v>
      </c>
      <c r="AE120" s="52">
        <f>IF('Year 1 Results'!AE120*COUNTIF('Event Trigger'!$C:$C,'Year 2 Results'!$Z120)&gt;SUMIF('Event Trigger'!$C:$C,$Z120,H:H),0,'Year 1 Results'!AE120)</f>
        <v>0</v>
      </c>
      <c r="AF120" s="52">
        <f>IF('Year 1 Results'!AF120*COUNTIF('Event Trigger'!$C:$C,'Year 2 Results'!$Z120)&gt;SUMIF('Event Trigger'!$C:$C,$Z120,I:I),0,'Year 1 Results'!AF120)</f>
        <v>0</v>
      </c>
      <c r="AG120" s="52">
        <f>IF('Year 1 Results'!AG120*COUNTIF('Event Trigger'!$C:$C,'Year 2 Results'!$Z120)&gt;SUMIF('Event Trigger'!$C:$C,$Z120,J:J),0,'Year 1 Results'!AG120)</f>
        <v>0</v>
      </c>
      <c r="AH120" s="52">
        <f>IF('Year 1 Results'!AH120*COUNTIF('Event Trigger'!$C:$C,'Year 2 Results'!$Z120)&gt;SUMIF('Event Trigger'!$C:$C,$Z120,K:K),0,'Year 1 Results'!AH120)</f>
        <v>0</v>
      </c>
      <c r="AI120" s="52">
        <f>IF('Year 1 Results'!AI120*COUNTIF('Event Trigger'!$C:$C,'Year 2 Results'!$Z120)&gt;SUMIF('Event Trigger'!$C:$C,$Z120,L:L),0,'Year 1 Results'!AI120)</f>
        <v>0</v>
      </c>
      <c r="AJ120" s="52">
        <f>IF('Year 1 Results'!AJ120*COUNTIF('Event Trigger'!$C:$C,'Year 2 Results'!$Z120)&gt;SUMIF('Event Trigger'!$C:$C,$Z120,M:M),0,'Year 1 Results'!AJ120)</f>
        <v>0</v>
      </c>
    </row>
    <row r="121" spans="1:36" ht="25.5" x14ac:dyDescent="0.25">
      <c r="A121" s="37" t="str">
        <f>'Risk Master'!B121:B204&amp;"-"&amp;'Risk Master'!D121</f>
        <v>Thunderstorms, Tornados &amp; Hail-Calgary</v>
      </c>
      <c r="B121" s="37" t="str">
        <f>'Input Sheet year 2'!B122</f>
        <v>Thunderstorms, Tornados &amp; Hail-Calgary</v>
      </c>
      <c r="C121" s="29" t="str">
        <f>'Risk Master'!F121</f>
        <v>A64</v>
      </c>
      <c r="D121" s="73">
        <f>'Year 1 Results'!O121*-1+('Year 1 Results'!O121*'Event Trigger'!$E122*(1-'Input Sheet year 2'!H122))</f>
        <v>1000000</v>
      </c>
      <c r="E121" s="73">
        <f>'Year 1 Results'!P121*-1+('Year 1 Results'!P121*'Event Trigger'!$E122*(1-'Input Sheet year 2'!I122))</f>
        <v>1000000</v>
      </c>
      <c r="F121" s="73">
        <f>'Year 1 Results'!Q121*-1+('Year 1 Results'!Q121*'Event Trigger'!$E122*(1-'Input Sheet year 2'!J122))</f>
        <v>1000000</v>
      </c>
      <c r="G121" s="73">
        <f>'Year 1 Results'!R121*-1+('Year 1 Results'!R121*'Event Trigger'!$E122*(1-'Input Sheet year 2'!K122))</f>
        <v>1000000</v>
      </c>
      <c r="H121" s="73">
        <f>'Year 1 Results'!S121*-1+('Year 1 Results'!S121*'Event Trigger'!$E122*(1-'Input Sheet year 2'!L122))</f>
        <v>1000000</v>
      </c>
      <c r="I121" s="73">
        <f>'Year 1 Results'!T121*-1+('Year 1 Results'!T121*'Event Trigger'!$E122*(1-'Input Sheet year 2'!M122))</f>
        <v>1000000</v>
      </c>
      <c r="J121" s="73">
        <f>'Year 1 Results'!U121*-1+('Year 1 Results'!U121*'Event Trigger'!$E122*(1-'Input Sheet year 2'!N122))</f>
        <v>1000000</v>
      </c>
      <c r="K121" s="73">
        <f>'Year 1 Results'!V121*-1+('Year 1 Results'!V121*'Event Trigger'!$E122*(1-'Input Sheet year 2'!O122))</f>
        <v>1000000</v>
      </c>
      <c r="L121" s="73">
        <f>'Year 1 Results'!W121*-1+('Year 1 Results'!W121*'Event Trigger'!$E122*(1-'Input Sheet year 2'!P122))</f>
        <v>1000000</v>
      </c>
      <c r="M121" s="73">
        <f>'Year 1 Results'!X121*-1+('Year 1 Results'!X121*'Event Trigger'!$E122*(1-'Input Sheet year 2'!Q122))</f>
        <v>1000000</v>
      </c>
      <c r="N121" s="88"/>
      <c r="O121" s="88">
        <f t="shared" si="10"/>
        <v>0</v>
      </c>
      <c r="P121" s="88">
        <f t="shared" si="11"/>
        <v>0</v>
      </c>
      <c r="Q121" s="88">
        <f t="shared" si="12"/>
        <v>0</v>
      </c>
      <c r="R121" s="88">
        <f t="shared" si="13"/>
        <v>0</v>
      </c>
      <c r="S121" s="88">
        <f t="shared" si="14"/>
        <v>0</v>
      </c>
      <c r="T121" s="88">
        <f t="shared" si="15"/>
        <v>0</v>
      </c>
      <c r="U121" s="88">
        <f t="shared" si="16"/>
        <v>0</v>
      </c>
      <c r="V121" s="88">
        <f t="shared" si="17"/>
        <v>0</v>
      </c>
      <c r="W121" s="88">
        <f t="shared" si="18"/>
        <v>0</v>
      </c>
      <c r="X121" s="88">
        <f t="shared" si="19"/>
        <v>0</v>
      </c>
      <c r="Z121" s="51" t="s">
        <v>284</v>
      </c>
      <c r="AA121" s="52">
        <f>IF('Year 1 Results'!AA121*COUNTIF('Event Trigger'!$C:$C,'Year 2 Results'!$Z121)&gt;SUMIF('Event Trigger'!$C:$C,$Z121,D:D),0,'Year 1 Results'!AA121)</f>
        <v>0</v>
      </c>
      <c r="AB121" s="52">
        <f>IF('Year 1 Results'!AB121*COUNTIF('Event Trigger'!$C:$C,'Year 2 Results'!$Z121)&gt;SUMIF('Event Trigger'!$C:$C,$Z121,E:E),0,'Year 1 Results'!AB121)</f>
        <v>0</v>
      </c>
      <c r="AC121" s="52">
        <f>IF('Year 1 Results'!AC121*COUNTIF('Event Trigger'!$C:$C,'Year 2 Results'!$Z121)&gt;SUMIF('Event Trigger'!$C:$C,$Z121,F:F),0,'Year 1 Results'!AC121)</f>
        <v>0</v>
      </c>
      <c r="AD121" s="52">
        <f>IF('Year 1 Results'!AD121*COUNTIF('Event Trigger'!$C:$C,'Year 2 Results'!$Z121)&gt;SUMIF('Event Trigger'!$C:$C,$Z121,G:G),0,'Year 1 Results'!AD121)</f>
        <v>0</v>
      </c>
      <c r="AE121" s="52">
        <f>IF('Year 1 Results'!AE121*COUNTIF('Event Trigger'!$C:$C,'Year 2 Results'!$Z121)&gt;SUMIF('Event Trigger'!$C:$C,$Z121,H:H),0,'Year 1 Results'!AE121)</f>
        <v>0</v>
      </c>
      <c r="AF121" s="52">
        <f>IF('Year 1 Results'!AF121*COUNTIF('Event Trigger'!$C:$C,'Year 2 Results'!$Z121)&gt;SUMIF('Event Trigger'!$C:$C,$Z121,I:I),0,'Year 1 Results'!AF121)</f>
        <v>200000</v>
      </c>
      <c r="AG121" s="52">
        <f>IF('Year 1 Results'!AG121*COUNTIF('Event Trigger'!$C:$C,'Year 2 Results'!$Z121)&gt;SUMIF('Event Trigger'!$C:$C,$Z121,J:J),0,'Year 1 Results'!AG121)</f>
        <v>0</v>
      </c>
      <c r="AH121" s="52">
        <f>IF('Year 1 Results'!AH121*COUNTIF('Event Trigger'!$C:$C,'Year 2 Results'!$Z121)&gt;SUMIF('Event Trigger'!$C:$C,$Z121,K:K),0,'Year 1 Results'!AH121)</f>
        <v>0</v>
      </c>
      <c r="AI121" s="52">
        <f>IF('Year 1 Results'!AI121*COUNTIF('Event Trigger'!$C:$C,'Year 2 Results'!$Z121)&gt;SUMIF('Event Trigger'!$C:$C,$Z121,L:L),0,'Year 1 Results'!AI121)</f>
        <v>0</v>
      </c>
      <c r="AJ121" s="52">
        <f>IF('Year 1 Results'!AJ121*COUNTIF('Event Trigger'!$C:$C,'Year 2 Results'!$Z121)&gt;SUMIF('Event Trigger'!$C:$C,$Z121,M:M),0,'Year 1 Results'!AJ121)</f>
        <v>0</v>
      </c>
    </row>
    <row r="122" spans="1:36" x14ac:dyDescent="0.25">
      <c r="A122" s="37" t="str">
        <f>'Risk Master'!B122:B205&amp;"-"&amp;'Risk Master'!D122</f>
        <v>Hurricane-Typhoon -Calgary</v>
      </c>
      <c r="B122" s="37" t="str">
        <f>'Input Sheet year 2'!B123</f>
        <v>Hurricane-Typhoon -Calgary</v>
      </c>
      <c r="C122" s="29" t="str">
        <f>'Risk Master'!F122</f>
        <v>A64</v>
      </c>
      <c r="D122" s="73">
        <f>'Year 1 Results'!O122*-1+('Year 1 Results'!O122*'Event Trigger'!$E123*(1-'Input Sheet year 2'!H123))</f>
        <v>0</v>
      </c>
      <c r="E122" s="73">
        <f>'Year 1 Results'!P122*-1+('Year 1 Results'!P122*'Event Trigger'!$E123*(1-'Input Sheet year 2'!I123))</f>
        <v>0</v>
      </c>
      <c r="F122" s="73">
        <f>'Year 1 Results'!Q122*-1+('Year 1 Results'!Q122*'Event Trigger'!$E123*(1-'Input Sheet year 2'!J123))</f>
        <v>1000000</v>
      </c>
      <c r="G122" s="73">
        <f>'Year 1 Results'!R122*-1+('Year 1 Results'!R122*'Event Trigger'!$E123*(1-'Input Sheet year 2'!K123))</f>
        <v>0</v>
      </c>
      <c r="H122" s="73">
        <f>'Year 1 Results'!S122*-1+('Year 1 Results'!S122*'Event Trigger'!$E123*(1-'Input Sheet year 2'!L123))</f>
        <v>1000000</v>
      </c>
      <c r="I122" s="73">
        <f>'Year 1 Results'!T122*-1+('Year 1 Results'!T122*'Event Trigger'!$E123*(1-'Input Sheet year 2'!M123))</f>
        <v>0</v>
      </c>
      <c r="J122" s="73">
        <f>'Year 1 Results'!U122*-1+('Year 1 Results'!U122*'Event Trigger'!$E123*(1-'Input Sheet year 2'!N123))</f>
        <v>0</v>
      </c>
      <c r="K122" s="73">
        <f>'Year 1 Results'!V122*-1+('Year 1 Results'!V122*'Event Trigger'!$E123*(1-'Input Sheet year 2'!O123))</f>
        <v>0</v>
      </c>
      <c r="L122" s="73">
        <f>'Year 1 Results'!W122*-1+('Year 1 Results'!W122*'Event Trigger'!$E123*(1-'Input Sheet year 2'!P123))</f>
        <v>1000000</v>
      </c>
      <c r="M122" s="73">
        <f>'Year 1 Results'!X122*-1+('Year 1 Results'!X122*'Event Trigger'!$E123*(1-'Input Sheet year 2'!Q123))</f>
        <v>0</v>
      </c>
      <c r="N122" s="88"/>
      <c r="O122" s="88">
        <f t="shared" si="10"/>
        <v>0</v>
      </c>
      <c r="P122" s="88">
        <f t="shared" si="11"/>
        <v>0</v>
      </c>
      <c r="Q122" s="88">
        <f t="shared" si="12"/>
        <v>0</v>
      </c>
      <c r="R122" s="88">
        <f t="shared" si="13"/>
        <v>0</v>
      </c>
      <c r="S122" s="88">
        <f t="shared" si="14"/>
        <v>0</v>
      </c>
      <c r="T122" s="88">
        <f t="shared" si="15"/>
        <v>0</v>
      </c>
      <c r="U122" s="88">
        <f t="shared" si="16"/>
        <v>0</v>
      </c>
      <c r="V122" s="88">
        <f t="shared" si="17"/>
        <v>0</v>
      </c>
      <c r="W122" s="88">
        <f t="shared" si="18"/>
        <v>0</v>
      </c>
      <c r="X122" s="88">
        <f t="shared" si="19"/>
        <v>0</v>
      </c>
      <c r="Z122" s="51" t="s">
        <v>285</v>
      </c>
      <c r="AA122" s="52">
        <f>IF('Year 1 Results'!AA122*COUNTIF('Event Trigger'!$C:$C,'Year 2 Results'!$Z122)&gt;SUMIF('Event Trigger'!$C:$C,$Z122,D:D),0,'Year 1 Results'!AA122)</f>
        <v>0</v>
      </c>
      <c r="AB122" s="52">
        <f>IF('Year 1 Results'!AB122*COUNTIF('Event Trigger'!$C:$C,'Year 2 Results'!$Z122)&gt;SUMIF('Event Trigger'!$C:$C,$Z122,E:E),0,'Year 1 Results'!AB122)</f>
        <v>0</v>
      </c>
      <c r="AC122" s="52">
        <f>IF('Year 1 Results'!AC122*COUNTIF('Event Trigger'!$C:$C,'Year 2 Results'!$Z122)&gt;SUMIF('Event Trigger'!$C:$C,$Z122,F:F),0,'Year 1 Results'!AC122)</f>
        <v>0</v>
      </c>
      <c r="AD122" s="52">
        <f>IF('Year 1 Results'!AD122*COUNTIF('Event Trigger'!$C:$C,'Year 2 Results'!$Z122)&gt;SUMIF('Event Trigger'!$C:$C,$Z122,G:G),0,'Year 1 Results'!AD122)</f>
        <v>0</v>
      </c>
      <c r="AE122" s="52">
        <f>IF('Year 1 Results'!AE122*COUNTIF('Event Trigger'!$C:$C,'Year 2 Results'!$Z122)&gt;SUMIF('Event Trigger'!$C:$C,$Z122,H:H),0,'Year 1 Results'!AE122)</f>
        <v>0</v>
      </c>
      <c r="AF122" s="52">
        <f>IF('Year 1 Results'!AF122*COUNTIF('Event Trigger'!$C:$C,'Year 2 Results'!$Z122)&gt;SUMIF('Event Trigger'!$C:$C,$Z122,I:I),0,'Year 1 Results'!AF122)</f>
        <v>0</v>
      </c>
      <c r="AG122" s="52">
        <f>IF('Year 1 Results'!AG122*COUNTIF('Event Trigger'!$C:$C,'Year 2 Results'!$Z122)&gt;SUMIF('Event Trigger'!$C:$C,$Z122,J:J),0,'Year 1 Results'!AG122)</f>
        <v>0</v>
      </c>
      <c r="AH122" s="52">
        <f>IF('Year 1 Results'!AH122*COUNTIF('Event Trigger'!$C:$C,'Year 2 Results'!$Z122)&gt;SUMIF('Event Trigger'!$C:$C,$Z122,K:K),0,'Year 1 Results'!AH122)</f>
        <v>0</v>
      </c>
      <c r="AI122" s="52">
        <f>IF('Year 1 Results'!AI122*COUNTIF('Event Trigger'!$C:$C,'Year 2 Results'!$Z122)&gt;SUMIF('Event Trigger'!$C:$C,$Z122,L:L),0,'Year 1 Results'!AI122)</f>
        <v>0</v>
      </c>
      <c r="AJ122" s="52">
        <f>IF('Year 1 Results'!AJ122*COUNTIF('Event Trigger'!$C:$C,'Year 2 Results'!$Z122)&gt;SUMIF('Event Trigger'!$C:$C,$Z122,M:M),0,'Year 1 Results'!AJ122)</f>
        <v>0</v>
      </c>
    </row>
    <row r="123" spans="1:36" x14ac:dyDescent="0.25">
      <c r="A123" s="37" t="str">
        <f>'Risk Master'!B123:B206&amp;"-"&amp;'Risk Master'!D123</f>
        <v>Earthquake-Calgary</v>
      </c>
      <c r="B123" s="37" t="str">
        <f>'Input Sheet year 2'!B124</f>
        <v>Earthquake-Calgary</v>
      </c>
      <c r="C123" s="29" t="str">
        <f>'Risk Master'!F123</f>
        <v>A64</v>
      </c>
      <c r="D123" s="73">
        <f>'Year 1 Results'!O123*-1+('Year 1 Results'!O123*'Event Trigger'!$E124*(1-'Input Sheet year 2'!H124))</f>
        <v>0</v>
      </c>
      <c r="E123" s="73">
        <f>'Year 1 Results'!P123*-1+('Year 1 Results'!P123*'Event Trigger'!$E124*(1-'Input Sheet year 2'!I124))</f>
        <v>0</v>
      </c>
      <c r="F123" s="73">
        <f>'Year 1 Results'!Q123*-1+('Year 1 Results'!Q123*'Event Trigger'!$E124*(1-'Input Sheet year 2'!J124))</f>
        <v>0</v>
      </c>
      <c r="G123" s="73">
        <f>'Year 1 Results'!R123*-1+('Year 1 Results'!R123*'Event Trigger'!$E124*(1-'Input Sheet year 2'!K124))</f>
        <v>0</v>
      </c>
      <c r="H123" s="73">
        <f>'Year 1 Results'!S123*-1+('Year 1 Results'!S123*'Event Trigger'!$E124*(1-'Input Sheet year 2'!L124))</f>
        <v>0</v>
      </c>
      <c r="I123" s="73">
        <f>'Year 1 Results'!T123*-1+('Year 1 Results'!T123*'Event Trigger'!$E124*(1-'Input Sheet year 2'!M124))</f>
        <v>0</v>
      </c>
      <c r="J123" s="73">
        <f>'Year 1 Results'!U123*-1+('Year 1 Results'!U123*'Event Trigger'!$E124*(1-'Input Sheet year 2'!N124))</f>
        <v>0</v>
      </c>
      <c r="K123" s="73">
        <f>'Year 1 Results'!V123*-1+('Year 1 Results'!V123*'Event Trigger'!$E124*(1-'Input Sheet year 2'!O124))</f>
        <v>0</v>
      </c>
      <c r="L123" s="73">
        <f>'Year 1 Results'!W123*-1+('Year 1 Results'!W123*'Event Trigger'!$E124*(1-'Input Sheet year 2'!P124))</f>
        <v>0</v>
      </c>
      <c r="M123" s="73">
        <f>'Year 1 Results'!X123*-1+('Year 1 Results'!X123*'Event Trigger'!$E124*(1-'Input Sheet year 2'!Q124))</f>
        <v>0</v>
      </c>
      <c r="N123" s="88"/>
      <c r="O123" s="88">
        <f t="shared" si="10"/>
        <v>0</v>
      </c>
      <c r="P123" s="88">
        <f t="shared" si="11"/>
        <v>0</v>
      </c>
      <c r="Q123" s="88">
        <f t="shared" si="12"/>
        <v>0</v>
      </c>
      <c r="R123" s="88">
        <f t="shared" si="13"/>
        <v>0</v>
      </c>
      <c r="S123" s="88">
        <f t="shared" si="14"/>
        <v>0</v>
      </c>
      <c r="T123" s="88">
        <f t="shared" si="15"/>
        <v>0</v>
      </c>
      <c r="U123" s="88">
        <f t="shared" si="16"/>
        <v>0</v>
      </c>
      <c r="V123" s="88">
        <f t="shared" si="17"/>
        <v>0</v>
      </c>
      <c r="W123" s="88">
        <f t="shared" si="18"/>
        <v>0</v>
      </c>
      <c r="X123" s="88">
        <f t="shared" si="19"/>
        <v>0</v>
      </c>
      <c r="Z123" s="51" t="s">
        <v>286</v>
      </c>
      <c r="AA123" s="52">
        <f>IF('Year 1 Results'!AA123*COUNTIF('Event Trigger'!$C:$C,'Year 2 Results'!$Z123)&gt;SUMIF('Event Trigger'!$C:$C,$Z123,D:D),0,'Year 1 Results'!AA123)</f>
        <v>0</v>
      </c>
      <c r="AB123" s="52">
        <f>IF('Year 1 Results'!AB123*COUNTIF('Event Trigger'!$C:$C,'Year 2 Results'!$Z123)&gt;SUMIF('Event Trigger'!$C:$C,$Z123,E:E),0,'Year 1 Results'!AB123)</f>
        <v>0</v>
      </c>
      <c r="AC123" s="52">
        <f>IF('Year 1 Results'!AC123*COUNTIF('Event Trigger'!$C:$C,'Year 2 Results'!$Z123)&gt;SUMIF('Event Trigger'!$C:$C,$Z123,F:F),0,'Year 1 Results'!AC123)</f>
        <v>0</v>
      </c>
      <c r="AD123" s="52">
        <f>IF('Year 1 Results'!AD123*COUNTIF('Event Trigger'!$C:$C,'Year 2 Results'!$Z123)&gt;SUMIF('Event Trigger'!$C:$C,$Z123,G:G),0,'Year 1 Results'!AD123)</f>
        <v>0</v>
      </c>
      <c r="AE123" s="52">
        <f>IF('Year 1 Results'!AE123*COUNTIF('Event Trigger'!$C:$C,'Year 2 Results'!$Z123)&gt;SUMIF('Event Trigger'!$C:$C,$Z123,H:H),0,'Year 1 Results'!AE123)</f>
        <v>0</v>
      </c>
      <c r="AF123" s="52">
        <f>IF('Year 1 Results'!AF123*COUNTIF('Event Trigger'!$C:$C,'Year 2 Results'!$Z123)&gt;SUMIF('Event Trigger'!$C:$C,$Z123,I:I),0,'Year 1 Results'!AF123)</f>
        <v>0</v>
      </c>
      <c r="AG123" s="52">
        <f>IF('Year 1 Results'!AG123*COUNTIF('Event Trigger'!$C:$C,'Year 2 Results'!$Z123)&gt;SUMIF('Event Trigger'!$C:$C,$Z123,J:J),0,'Year 1 Results'!AG123)</f>
        <v>0</v>
      </c>
      <c r="AH123" s="52">
        <f>IF('Year 1 Results'!AH123*COUNTIF('Event Trigger'!$C:$C,'Year 2 Results'!$Z123)&gt;SUMIF('Event Trigger'!$C:$C,$Z123,K:K),0,'Year 1 Results'!AH123)</f>
        <v>0</v>
      </c>
      <c r="AI123" s="52">
        <f>IF('Year 1 Results'!AI123*COUNTIF('Event Trigger'!$C:$C,'Year 2 Results'!$Z123)&gt;SUMIF('Event Trigger'!$C:$C,$Z123,L:L),0,'Year 1 Results'!AI123)</f>
        <v>0</v>
      </c>
      <c r="AJ123" s="52">
        <f>IF('Year 1 Results'!AJ123*COUNTIF('Event Trigger'!$C:$C,'Year 2 Results'!$Z123)&gt;SUMIF('Event Trigger'!$C:$C,$Z123,M:M),0,'Year 1 Results'!AJ123)</f>
        <v>0</v>
      </c>
    </row>
    <row r="124" spans="1:36" ht="25.5" x14ac:dyDescent="0.25">
      <c r="A124" s="37" t="str">
        <f>'Risk Master'!B124:B207&amp;"-"&amp;'Risk Master'!D124</f>
        <v>Thunderstorms, Tornados &amp; Hail-Calgary</v>
      </c>
      <c r="B124" s="37" t="str">
        <f>'Input Sheet year 2'!B125</f>
        <v>Thunderstorms, Tornados &amp; Hail-Calgary</v>
      </c>
      <c r="C124" s="29" t="str">
        <f>'Risk Master'!F124</f>
        <v>A67</v>
      </c>
      <c r="D124" s="73">
        <f>'Year 1 Results'!O124*-1+('Year 1 Results'!O124*'Event Trigger'!$E125*(1-'Input Sheet year 2'!H125))</f>
        <v>1100000</v>
      </c>
      <c r="E124" s="73">
        <f>'Year 1 Results'!P124*-1+('Year 1 Results'!P124*'Event Trigger'!$E125*(1-'Input Sheet year 2'!I125))</f>
        <v>1100000</v>
      </c>
      <c r="F124" s="73">
        <f>'Year 1 Results'!Q124*-1+('Year 1 Results'!Q124*'Event Trigger'!$E125*(1-'Input Sheet year 2'!J125))</f>
        <v>1100000</v>
      </c>
      <c r="G124" s="73">
        <f>'Year 1 Results'!R124*-1+('Year 1 Results'!R124*'Event Trigger'!$E125*(1-'Input Sheet year 2'!K125))</f>
        <v>1100000</v>
      </c>
      <c r="H124" s="73">
        <f>'Year 1 Results'!S124*-1+('Year 1 Results'!S124*'Event Trigger'!$E125*(1-'Input Sheet year 2'!L125))</f>
        <v>1100000</v>
      </c>
      <c r="I124" s="73">
        <f>'Year 1 Results'!T124*-1+('Year 1 Results'!T124*'Event Trigger'!$E125*(1-'Input Sheet year 2'!M125))</f>
        <v>1100000</v>
      </c>
      <c r="J124" s="73">
        <f>'Year 1 Results'!U124*-1+('Year 1 Results'!U124*'Event Trigger'!$E125*(1-'Input Sheet year 2'!N125))</f>
        <v>1100000</v>
      </c>
      <c r="K124" s="73">
        <f>'Year 1 Results'!V124*-1+('Year 1 Results'!V124*'Event Trigger'!$E125*(1-'Input Sheet year 2'!O125))</f>
        <v>1100000</v>
      </c>
      <c r="L124" s="73">
        <f>'Year 1 Results'!W124*-1+('Year 1 Results'!W124*'Event Trigger'!$E125*(1-'Input Sheet year 2'!P125))</f>
        <v>1100000</v>
      </c>
      <c r="M124" s="73">
        <f>'Year 1 Results'!X124*-1+('Year 1 Results'!X124*'Event Trigger'!$E125*(1-'Input Sheet year 2'!Q125))</f>
        <v>1100000</v>
      </c>
      <c r="N124" s="88"/>
      <c r="O124" s="88">
        <f t="shared" si="10"/>
        <v>-1100000</v>
      </c>
      <c r="P124" s="88">
        <f t="shared" si="11"/>
        <v>0</v>
      </c>
      <c r="Q124" s="88">
        <f t="shared" si="12"/>
        <v>0</v>
      </c>
      <c r="R124" s="88">
        <f t="shared" si="13"/>
        <v>-1100000</v>
      </c>
      <c r="S124" s="88">
        <f t="shared" si="14"/>
        <v>0</v>
      </c>
      <c r="T124" s="88">
        <f t="shared" si="15"/>
        <v>0</v>
      </c>
      <c r="U124" s="88">
        <f t="shared" si="16"/>
        <v>0</v>
      </c>
      <c r="V124" s="88">
        <f t="shared" si="17"/>
        <v>-1100000</v>
      </c>
      <c r="W124" s="88">
        <f t="shared" si="18"/>
        <v>0</v>
      </c>
      <c r="X124" s="88">
        <f t="shared" si="19"/>
        <v>0</v>
      </c>
      <c r="Z124" s="51" t="s">
        <v>287</v>
      </c>
      <c r="AA124" s="52">
        <f>IF('Year 1 Results'!AA124*COUNTIF('Event Trigger'!$C:$C,'Year 2 Results'!$Z124)&gt;SUMIF('Event Trigger'!$C:$C,$Z124,D:D),0,'Year 1 Results'!AA124)</f>
        <v>0</v>
      </c>
      <c r="AB124" s="52">
        <f>IF('Year 1 Results'!AB124*COUNTIF('Event Trigger'!$C:$C,'Year 2 Results'!$Z124)&gt;SUMIF('Event Trigger'!$C:$C,$Z124,E:E),0,'Year 1 Results'!AB124)</f>
        <v>0</v>
      </c>
      <c r="AC124" s="52">
        <f>IF('Year 1 Results'!AC124*COUNTIF('Event Trigger'!$C:$C,'Year 2 Results'!$Z124)&gt;SUMIF('Event Trigger'!$C:$C,$Z124,F:F),0,'Year 1 Results'!AC124)</f>
        <v>0</v>
      </c>
      <c r="AD124" s="52">
        <f>IF('Year 1 Results'!AD124*COUNTIF('Event Trigger'!$C:$C,'Year 2 Results'!$Z124)&gt;SUMIF('Event Trigger'!$C:$C,$Z124,G:G),0,'Year 1 Results'!AD124)</f>
        <v>0</v>
      </c>
      <c r="AE124" s="52">
        <f>IF('Year 1 Results'!AE124*COUNTIF('Event Trigger'!$C:$C,'Year 2 Results'!$Z124)&gt;SUMIF('Event Trigger'!$C:$C,$Z124,H:H),0,'Year 1 Results'!AE124)</f>
        <v>0</v>
      </c>
      <c r="AF124" s="52">
        <f>IF('Year 1 Results'!AF124*COUNTIF('Event Trigger'!$C:$C,'Year 2 Results'!$Z124)&gt;SUMIF('Event Trigger'!$C:$C,$Z124,I:I),0,'Year 1 Results'!AF124)</f>
        <v>0</v>
      </c>
      <c r="AG124" s="52">
        <f>IF('Year 1 Results'!AG124*COUNTIF('Event Trigger'!$C:$C,'Year 2 Results'!$Z124)&gt;SUMIF('Event Trigger'!$C:$C,$Z124,J:J),0,'Year 1 Results'!AG124)</f>
        <v>0</v>
      </c>
      <c r="AH124" s="52">
        <f>IF('Year 1 Results'!AH124*COUNTIF('Event Trigger'!$C:$C,'Year 2 Results'!$Z124)&gt;SUMIF('Event Trigger'!$C:$C,$Z124,K:K),0,'Year 1 Results'!AH124)</f>
        <v>0</v>
      </c>
      <c r="AI124" s="52">
        <f>IF('Year 1 Results'!AI124*COUNTIF('Event Trigger'!$C:$C,'Year 2 Results'!$Z124)&gt;SUMIF('Event Trigger'!$C:$C,$Z124,L:L),0,'Year 1 Results'!AI124)</f>
        <v>0</v>
      </c>
      <c r="AJ124" s="52">
        <f>IF('Year 1 Results'!AJ124*COUNTIF('Event Trigger'!$C:$C,'Year 2 Results'!$Z124)&gt;SUMIF('Event Trigger'!$C:$C,$Z124,M:M),0,'Year 1 Results'!AJ124)</f>
        <v>0</v>
      </c>
    </row>
    <row r="125" spans="1:36" x14ac:dyDescent="0.25">
      <c r="A125" s="37" t="str">
        <f>'Risk Master'!B125:B208&amp;"-"&amp;'Risk Master'!D125</f>
        <v>Hurricane-Typhoon -Calgary</v>
      </c>
      <c r="B125" s="37" t="str">
        <f>'Input Sheet year 2'!B126</f>
        <v>Hurricane-Typhoon -Calgary</v>
      </c>
      <c r="C125" s="29" t="str">
        <f>'Risk Master'!F125</f>
        <v>A68</v>
      </c>
      <c r="D125" s="73">
        <f>'Year 1 Results'!O125*-1+('Year 1 Results'!O125*'Event Trigger'!$E126*(1-'Input Sheet year 2'!H126))</f>
        <v>0</v>
      </c>
      <c r="E125" s="73">
        <f>'Year 1 Results'!P125*-1+('Year 1 Results'!P125*'Event Trigger'!$E126*(1-'Input Sheet year 2'!I126))</f>
        <v>0</v>
      </c>
      <c r="F125" s="73">
        <f>'Year 1 Results'!Q125*-1+('Year 1 Results'!Q125*'Event Trigger'!$E126*(1-'Input Sheet year 2'!J126))</f>
        <v>0</v>
      </c>
      <c r="G125" s="73">
        <f>'Year 1 Results'!R125*-1+('Year 1 Results'!R125*'Event Trigger'!$E126*(1-'Input Sheet year 2'!K126))</f>
        <v>0</v>
      </c>
      <c r="H125" s="73">
        <f>'Year 1 Results'!S125*-1+('Year 1 Results'!S125*'Event Trigger'!$E126*(1-'Input Sheet year 2'!L126))</f>
        <v>0</v>
      </c>
      <c r="I125" s="73">
        <f>'Year 1 Results'!T125*-1+('Year 1 Results'!T125*'Event Trigger'!$E126*(1-'Input Sheet year 2'!M126))</f>
        <v>0</v>
      </c>
      <c r="J125" s="73">
        <f>'Year 1 Results'!U125*-1+('Year 1 Results'!U125*'Event Trigger'!$E126*(1-'Input Sheet year 2'!N126))</f>
        <v>0</v>
      </c>
      <c r="K125" s="73">
        <f>'Year 1 Results'!V125*-1+('Year 1 Results'!V125*'Event Trigger'!$E126*(1-'Input Sheet year 2'!O126))</f>
        <v>0</v>
      </c>
      <c r="L125" s="73">
        <f>'Year 1 Results'!W125*-1+('Year 1 Results'!W125*'Event Trigger'!$E126*(1-'Input Sheet year 2'!P126))</f>
        <v>0</v>
      </c>
      <c r="M125" s="73">
        <f>'Year 1 Results'!X125*-1+('Year 1 Results'!X125*'Event Trigger'!$E126*(1-'Input Sheet year 2'!Q126))</f>
        <v>0</v>
      </c>
      <c r="N125" s="88"/>
      <c r="O125" s="88">
        <f t="shared" si="10"/>
        <v>0</v>
      </c>
      <c r="P125" s="88">
        <f t="shared" si="11"/>
        <v>0</v>
      </c>
      <c r="Q125" s="88">
        <f t="shared" si="12"/>
        <v>0</v>
      </c>
      <c r="R125" s="88">
        <f t="shared" si="13"/>
        <v>0</v>
      </c>
      <c r="S125" s="88">
        <f t="shared" si="14"/>
        <v>0</v>
      </c>
      <c r="T125" s="88">
        <f t="shared" si="15"/>
        <v>0</v>
      </c>
      <c r="U125" s="88">
        <f t="shared" si="16"/>
        <v>0</v>
      </c>
      <c r="V125" s="88">
        <f t="shared" si="17"/>
        <v>0</v>
      </c>
      <c r="W125" s="88">
        <f t="shared" si="18"/>
        <v>0</v>
      </c>
      <c r="X125" s="88">
        <f t="shared" si="19"/>
        <v>0</v>
      </c>
      <c r="Z125" s="51" t="s">
        <v>288</v>
      </c>
      <c r="AA125" s="52">
        <f>IF('Year 1 Results'!AA125*COUNTIF('Event Trigger'!$C:$C,'Year 2 Results'!$Z125)&gt;SUMIF('Event Trigger'!$C:$C,$Z125,D:D),0,'Year 1 Results'!AA125)</f>
        <v>1200000</v>
      </c>
      <c r="AB125" s="52">
        <f>IF('Year 1 Results'!AB125*COUNTIF('Event Trigger'!$C:$C,'Year 2 Results'!$Z125)&gt;SUMIF('Event Trigger'!$C:$C,$Z125,E:E),0,'Year 1 Results'!AB125)</f>
        <v>1200000</v>
      </c>
      <c r="AC125" s="52">
        <f>IF('Year 1 Results'!AC125*COUNTIF('Event Trigger'!$C:$C,'Year 2 Results'!$Z125)&gt;SUMIF('Event Trigger'!$C:$C,$Z125,F:F),0,'Year 1 Results'!AC125)</f>
        <v>1200000</v>
      </c>
      <c r="AD125" s="52">
        <f>IF('Year 1 Results'!AD125*COUNTIF('Event Trigger'!$C:$C,'Year 2 Results'!$Z125)&gt;SUMIF('Event Trigger'!$C:$C,$Z125,G:G),0,'Year 1 Results'!AD125)</f>
        <v>1200000</v>
      </c>
      <c r="AE125" s="52">
        <f>IF('Year 1 Results'!AE125*COUNTIF('Event Trigger'!$C:$C,'Year 2 Results'!$Z125)&gt;SUMIF('Event Trigger'!$C:$C,$Z125,H:H),0,'Year 1 Results'!AE125)</f>
        <v>1200000</v>
      </c>
      <c r="AF125" s="52">
        <f>IF('Year 1 Results'!AF125*COUNTIF('Event Trigger'!$C:$C,'Year 2 Results'!$Z125)&gt;SUMIF('Event Trigger'!$C:$C,$Z125,I:I),0,'Year 1 Results'!AF125)</f>
        <v>1200000</v>
      </c>
      <c r="AG125" s="52">
        <f>IF('Year 1 Results'!AG125*COUNTIF('Event Trigger'!$C:$C,'Year 2 Results'!$Z125)&gt;SUMIF('Event Trigger'!$C:$C,$Z125,J:J),0,'Year 1 Results'!AG125)</f>
        <v>1200000</v>
      </c>
      <c r="AH125" s="52">
        <f>IF('Year 1 Results'!AH125*COUNTIF('Event Trigger'!$C:$C,'Year 2 Results'!$Z125)&gt;SUMIF('Event Trigger'!$C:$C,$Z125,K:K),0,'Year 1 Results'!AH125)</f>
        <v>1200000</v>
      </c>
      <c r="AI125" s="52">
        <f>IF('Year 1 Results'!AI125*COUNTIF('Event Trigger'!$C:$C,'Year 2 Results'!$Z125)&gt;SUMIF('Event Trigger'!$C:$C,$Z125,L:L),0,'Year 1 Results'!AI125)</f>
        <v>1200000</v>
      </c>
      <c r="AJ125" s="52">
        <f>IF('Year 1 Results'!AJ125*COUNTIF('Event Trigger'!$C:$C,'Year 2 Results'!$Z125)&gt;SUMIF('Event Trigger'!$C:$C,$Z125,M:M),0,'Year 1 Results'!AJ125)</f>
        <v>1200000</v>
      </c>
    </row>
    <row r="126" spans="1:36" x14ac:dyDescent="0.25">
      <c r="A126" s="37" t="str">
        <f>'Risk Master'!B126:B209&amp;"-"&amp;'Risk Master'!D126</f>
        <v>Earthquake-Calgary</v>
      </c>
      <c r="B126" s="37" t="str">
        <f>'Input Sheet year 2'!B127</f>
        <v>Earthquake-Calgary</v>
      </c>
      <c r="C126" s="29" t="str">
        <f>'Risk Master'!F126</f>
        <v>A69</v>
      </c>
      <c r="D126" s="73">
        <f>'Year 1 Results'!O126*-1+('Year 1 Results'!O126*'Event Trigger'!$E127*(1-'Input Sheet year 2'!H127))</f>
        <v>0</v>
      </c>
      <c r="E126" s="73">
        <f>'Year 1 Results'!P126*-1+('Year 1 Results'!P126*'Event Trigger'!$E127*(1-'Input Sheet year 2'!I127))</f>
        <v>0</v>
      </c>
      <c r="F126" s="73">
        <f>'Year 1 Results'!Q126*-1+('Year 1 Results'!Q126*'Event Trigger'!$E127*(1-'Input Sheet year 2'!J127))</f>
        <v>0</v>
      </c>
      <c r="G126" s="73">
        <f>'Year 1 Results'!R126*-1+('Year 1 Results'!R126*'Event Trigger'!$E127*(1-'Input Sheet year 2'!K127))</f>
        <v>0</v>
      </c>
      <c r="H126" s="73">
        <f>'Year 1 Results'!S126*-1+('Year 1 Results'!S126*'Event Trigger'!$E127*(1-'Input Sheet year 2'!L127))</f>
        <v>0</v>
      </c>
      <c r="I126" s="73">
        <f>'Year 1 Results'!T126*-1+('Year 1 Results'!T126*'Event Trigger'!$E127*(1-'Input Sheet year 2'!M127))</f>
        <v>0</v>
      </c>
      <c r="J126" s="73">
        <f>'Year 1 Results'!U126*-1+('Year 1 Results'!U126*'Event Trigger'!$E127*(1-'Input Sheet year 2'!N127))</f>
        <v>300000</v>
      </c>
      <c r="K126" s="73">
        <f>'Year 1 Results'!V126*-1+('Year 1 Results'!V126*'Event Trigger'!$E127*(1-'Input Sheet year 2'!O127))</f>
        <v>0</v>
      </c>
      <c r="L126" s="73">
        <f>'Year 1 Results'!W126*-1+('Year 1 Results'!W126*'Event Trigger'!$E127*(1-'Input Sheet year 2'!P127))</f>
        <v>0</v>
      </c>
      <c r="M126" s="73">
        <f>'Year 1 Results'!X126*-1+('Year 1 Results'!X126*'Event Trigger'!$E127*(1-'Input Sheet year 2'!Q127))</f>
        <v>0</v>
      </c>
      <c r="N126" s="88"/>
      <c r="O126" s="88">
        <f t="shared" si="10"/>
        <v>0</v>
      </c>
      <c r="P126" s="88">
        <f t="shared" si="11"/>
        <v>0</v>
      </c>
      <c r="Q126" s="88">
        <f t="shared" si="12"/>
        <v>0</v>
      </c>
      <c r="R126" s="88">
        <f t="shared" si="13"/>
        <v>0</v>
      </c>
      <c r="S126" s="88">
        <f t="shared" si="14"/>
        <v>0</v>
      </c>
      <c r="T126" s="88">
        <f t="shared" si="15"/>
        <v>0</v>
      </c>
      <c r="U126" s="88">
        <f t="shared" si="16"/>
        <v>-300000</v>
      </c>
      <c r="V126" s="88">
        <f t="shared" si="17"/>
        <v>0</v>
      </c>
      <c r="W126" s="88">
        <f t="shared" si="18"/>
        <v>0</v>
      </c>
      <c r="X126" s="88">
        <f t="shared" si="19"/>
        <v>0</v>
      </c>
      <c r="Z126" s="51" t="s">
        <v>289</v>
      </c>
      <c r="AA126" s="52">
        <f>IF('Year 1 Results'!AA126*COUNTIF('Event Trigger'!$C:$C,'Year 2 Results'!$Z126)&gt;SUMIF('Event Trigger'!$C:$C,$Z126,D:D),0,'Year 1 Results'!AA126)</f>
        <v>300000</v>
      </c>
      <c r="AB126" s="52">
        <f>IF('Year 1 Results'!AB126*COUNTIF('Event Trigger'!$C:$C,'Year 2 Results'!$Z126)&gt;SUMIF('Event Trigger'!$C:$C,$Z126,E:E),0,'Year 1 Results'!AB126)</f>
        <v>300000</v>
      </c>
      <c r="AC126" s="52">
        <f>IF('Year 1 Results'!AC126*COUNTIF('Event Trigger'!$C:$C,'Year 2 Results'!$Z126)&gt;SUMIF('Event Trigger'!$C:$C,$Z126,F:F),0,'Year 1 Results'!AC126)</f>
        <v>300000</v>
      </c>
      <c r="AD126" s="52">
        <f>IF('Year 1 Results'!AD126*COUNTIF('Event Trigger'!$C:$C,'Year 2 Results'!$Z126)&gt;SUMIF('Event Trigger'!$C:$C,$Z126,G:G),0,'Year 1 Results'!AD126)</f>
        <v>300000</v>
      </c>
      <c r="AE126" s="52">
        <f>IF('Year 1 Results'!AE126*COUNTIF('Event Trigger'!$C:$C,'Year 2 Results'!$Z126)&gt;SUMIF('Event Trigger'!$C:$C,$Z126,H:H),0,'Year 1 Results'!AE126)</f>
        <v>300000</v>
      </c>
      <c r="AF126" s="52">
        <f>IF('Year 1 Results'!AF126*COUNTIF('Event Trigger'!$C:$C,'Year 2 Results'!$Z126)&gt;SUMIF('Event Trigger'!$C:$C,$Z126,I:I),0,'Year 1 Results'!AF126)</f>
        <v>300000</v>
      </c>
      <c r="AG126" s="52">
        <f>IF('Year 1 Results'!AG126*COUNTIF('Event Trigger'!$C:$C,'Year 2 Results'!$Z126)&gt;SUMIF('Event Trigger'!$C:$C,$Z126,J:J),0,'Year 1 Results'!AG126)</f>
        <v>300000</v>
      </c>
      <c r="AH126" s="52">
        <f>IF('Year 1 Results'!AH126*COUNTIF('Event Trigger'!$C:$C,'Year 2 Results'!$Z126)&gt;SUMIF('Event Trigger'!$C:$C,$Z126,K:K),0,'Year 1 Results'!AH126)</f>
        <v>300000</v>
      </c>
      <c r="AI126" s="52">
        <f>IF('Year 1 Results'!AI126*COUNTIF('Event Trigger'!$C:$C,'Year 2 Results'!$Z126)&gt;SUMIF('Event Trigger'!$C:$C,$Z126,L:L),0,'Year 1 Results'!AI126)</f>
        <v>300000</v>
      </c>
      <c r="AJ126" s="52">
        <f>IF('Year 1 Results'!AJ126*COUNTIF('Event Trigger'!$C:$C,'Year 2 Results'!$Z126)&gt;SUMIF('Event Trigger'!$C:$C,$Z126,M:M),0,'Year 1 Results'!AJ126)</f>
        <v>300000</v>
      </c>
    </row>
    <row r="127" spans="1:36" ht="25.5" x14ac:dyDescent="0.25">
      <c r="A127" s="37" t="str">
        <f>'Risk Master'!B127:B210&amp;"-"&amp;'Risk Master'!D127</f>
        <v>Thunderstorms, Tornados &amp; Hail-Calgary</v>
      </c>
      <c r="B127" s="37" t="str">
        <f>'Input Sheet year 2'!B128</f>
        <v>Thunderstorms, Tornados &amp; Hail-Calgary</v>
      </c>
      <c r="C127" s="29" t="str">
        <f>'Risk Master'!F127</f>
        <v>A71</v>
      </c>
      <c r="D127" s="73">
        <f>'Year 1 Results'!O127*-1+('Year 1 Results'!O127*'Event Trigger'!$E128*(1-'Input Sheet year 2'!H128))</f>
        <v>1000000</v>
      </c>
      <c r="E127" s="73">
        <f>'Year 1 Results'!P127*-1+('Year 1 Results'!P127*'Event Trigger'!$E128*(1-'Input Sheet year 2'!I128))</f>
        <v>1000000</v>
      </c>
      <c r="F127" s="73">
        <f>'Year 1 Results'!Q127*-1+('Year 1 Results'!Q127*'Event Trigger'!$E128*(1-'Input Sheet year 2'!J128))</f>
        <v>1000000</v>
      </c>
      <c r="G127" s="73">
        <f>'Year 1 Results'!R127*-1+('Year 1 Results'!R127*'Event Trigger'!$E128*(1-'Input Sheet year 2'!K128))</f>
        <v>1000000</v>
      </c>
      <c r="H127" s="73">
        <f>'Year 1 Results'!S127*-1+('Year 1 Results'!S127*'Event Trigger'!$E128*(1-'Input Sheet year 2'!L128))</f>
        <v>1000000</v>
      </c>
      <c r="I127" s="73">
        <f>'Year 1 Results'!T127*-1+('Year 1 Results'!T127*'Event Trigger'!$E128*(1-'Input Sheet year 2'!M128))</f>
        <v>1000000</v>
      </c>
      <c r="J127" s="73">
        <f>'Year 1 Results'!U127*-1+('Year 1 Results'!U127*'Event Trigger'!$E128*(1-'Input Sheet year 2'!N128))</f>
        <v>1000000</v>
      </c>
      <c r="K127" s="73">
        <f>'Year 1 Results'!V127*-1+('Year 1 Results'!V127*'Event Trigger'!$E128*(1-'Input Sheet year 2'!O128))</f>
        <v>1000000</v>
      </c>
      <c r="L127" s="73">
        <f>'Year 1 Results'!W127*-1+('Year 1 Results'!W127*'Event Trigger'!$E128*(1-'Input Sheet year 2'!P128))</f>
        <v>1000000</v>
      </c>
      <c r="M127" s="73">
        <f>'Year 1 Results'!X127*-1+('Year 1 Results'!X127*'Event Trigger'!$E128*(1-'Input Sheet year 2'!Q128))</f>
        <v>1000000</v>
      </c>
      <c r="N127" s="88"/>
      <c r="O127" s="88">
        <f t="shared" si="10"/>
        <v>-1000000</v>
      </c>
      <c r="P127" s="88">
        <f t="shared" si="11"/>
        <v>-1000000</v>
      </c>
      <c r="Q127" s="88">
        <f t="shared" si="12"/>
        <v>-1000000</v>
      </c>
      <c r="R127" s="88">
        <f t="shared" si="13"/>
        <v>-1000000</v>
      </c>
      <c r="S127" s="88">
        <f t="shared" si="14"/>
        <v>-1000000</v>
      </c>
      <c r="T127" s="88">
        <f t="shared" si="15"/>
        <v>-1000000</v>
      </c>
      <c r="U127" s="88">
        <f t="shared" si="16"/>
        <v>-1000000</v>
      </c>
      <c r="V127" s="88">
        <f t="shared" si="17"/>
        <v>-1000000</v>
      </c>
      <c r="W127" s="88">
        <f t="shared" si="18"/>
        <v>-1000000</v>
      </c>
      <c r="X127" s="88">
        <f t="shared" si="19"/>
        <v>-1000000</v>
      </c>
      <c r="Z127" s="51" t="s">
        <v>290</v>
      </c>
      <c r="AA127" s="52">
        <f>IF('Year 1 Results'!AA127*COUNTIF('Event Trigger'!$C:$C,'Year 2 Results'!$Z127)&gt;SUMIF('Event Trigger'!$C:$C,$Z127,D:D),0,'Year 1 Results'!AA127)</f>
        <v>0</v>
      </c>
      <c r="AB127" s="52">
        <f>IF('Year 1 Results'!AB127*COUNTIF('Event Trigger'!$C:$C,'Year 2 Results'!$Z127)&gt;SUMIF('Event Trigger'!$C:$C,$Z127,E:E),0,'Year 1 Results'!AB127)</f>
        <v>0</v>
      </c>
      <c r="AC127" s="52">
        <f>IF('Year 1 Results'!AC127*COUNTIF('Event Trigger'!$C:$C,'Year 2 Results'!$Z127)&gt;SUMIF('Event Trigger'!$C:$C,$Z127,F:F),0,'Year 1 Results'!AC127)</f>
        <v>0</v>
      </c>
      <c r="AD127" s="52">
        <f>IF('Year 1 Results'!AD127*COUNTIF('Event Trigger'!$C:$C,'Year 2 Results'!$Z127)&gt;SUMIF('Event Trigger'!$C:$C,$Z127,G:G),0,'Year 1 Results'!AD127)</f>
        <v>0</v>
      </c>
      <c r="AE127" s="52">
        <f>IF('Year 1 Results'!AE127*COUNTIF('Event Trigger'!$C:$C,'Year 2 Results'!$Z127)&gt;SUMIF('Event Trigger'!$C:$C,$Z127,H:H),0,'Year 1 Results'!AE127)</f>
        <v>0</v>
      </c>
      <c r="AF127" s="52">
        <f>IF('Year 1 Results'!AF127*COUNTIF('Event Trigger'!$C:$C,'Year 2 Results'!$Z127)&gt;SUMIF('Event Trigger'!$C:$C,$Z127,I:I),0,'Year 1 Results'!AF127)</f>
        <v>0</v>
      </c>
      <c r="AG127" s="52">
        <f>IF('Year 1 Results'!AG127*COUNTIF('Event Trigger'!$C:$C,'Year 2 Results'!$Z127)&gt;SUMIF('Event Trigger'!$C:$C,$Z127,J:J),0,'Year 1 Results'!AG127)</f>
        <v>0</v>
      </c>
      <c r="AH127" s="52">
        <f>IF('Year 1 Results'!AH127*COUNTIF('Event Trigger'!$C:$C,'Year 2 Results'!$Z127)&gt;SUMIF('Event Trigger'!$C:$C,$Z127,K:K),0,'Year 1 Results'!AH127)</f>
        <v>0</v>
      </c>
      <c r="AI127" s="52">
        <f>IF('Year 1 Results'!AI127*COUNTIF('Event Trigger'!$C:$C,'Year 2 Results'!$Z127)&gt;SUMIF('Event Trigger'!$C:$C,$Z127,L:L),0,'Year 1 Results'!AI127)</f>
        <v>0</v>
      </c>
      <c r="AJ127" s="52">
        <f>IF('Year 1 Results'!AJ127*COUNTIF('Event Trigger'!$C:$C,'Year 2 Results'!$Z127)&gt;SUMIF('Event Trigger'!$C:$C,$Z127,M:M),0,'Year 1 Results'!AJ127)</f>
        <v>0</v>
      </c>
    </row>
    <row r="128" spans="1:36" x14ac:dyDescent="0.25">
      <c r="A128" s="37" t="str">
        <f>'Risk Master'!B128:B211&amp;"-"&amp;'Risk Master'!D128</f>
        <v>Hurricane-Typhoon -Calgary</v>
      </c>
      <c r="B128" s="37" t="str">
        <f>'Input Sheet year 2'!B129</f>
        <v>Hurricane-Typhoon -Calgary</v>
      </c>
      <c r="C128" s="29" t="str">
        <f>'Risk Master'!F128</f>
        <v>A72</v>
      </c>
      <c r="D128" s="73">
        <f>'Year 1 Results'!O128*-1+('Year 1 Results'!O128*'Event Trigger'!$E129*(1-'Input Sheet year 2'!H129))</f>
        <v>0</v>
      </c>
      <c r="E128" s="73">
        <f>'Year 1 Results'!P128*-1+('Year 1 Results'!P128*'Event Trigger'!$E129*(1-'Input Sheet year 2'!I129))</f>
        <v>500000</v>
      </c>
      <c r="F128" s="73">
        <f>'Year 1 Results'!Q128*-1+('Year 1 Results'!Q128*'Event Trigger'!$E129*(1-'Input Sheet year 2'!J129))</f>
        <v>0</v>
      </c>
      <c r="G128" s="73">
        <f>'Year 1 Results'!R128*-1+('Year 1 Results'!R128*'Event Trigger'!$E129*(1-'Input Sheet year 2'!K129))</f>
        <v>500000</v>
      </c>
      <c r="H128" s="73">
        <f>'Year 1 Results'!S128*-1+('Year 1 Results'!S128*'Event Trigger'!$E129*(1-'Input Sheet year 2'!L129))</f>
        <v>0</v>
      </c>
      <c r="I128" s="73">
        <f>'Year 1 Results'!T128*-1+('Year 1 Results'!T128*'Event Trigger'!$E129*(1-'Input Sheet year 2'!M129))</f>
        <v>500000</v>
      </c>
      <c r="J128" s="73">
        <f>'Year 1 Results'!U128*-1+('Year 1 Results'!U128*'Event Trigger'!$E129*(1-'Input Sheet year 2'!N129))</f>
        <v>0</v>
      </c>
      <c r="K128" s="73">
        <f>'Year 1 Results'!V128*-1+('Year 1 Results'!V128*'Event Trigger'!$E129*(1-'Input Sheet year 2'!O129))</f>
        <v>500000</v>
      </c>
      <c r="L128" s="73">
        <f>'Year 1 Results'!W128*-1+('Year 1 Results'!W128*'Event Trigger'!$E129*(1-'Input Sheet year 2'!P129))</f>
        <v>500000</v>
      </c>
      <c r="M128" s="73">
        <f>'Year 1 Results'!X128*-1+('Year 1 Results'!X128*'Event Trigger'!$E129*(1-'Input Sheet year 2'!Q129))</f>
        <v>0</v>
      </c>
      <c r="N128" s="88"/>
      <c r="O128" s="88">
        <f t="shared" si="10"/>
        <v>0</v>
      </c>
      <c r="P128" s="88">
        <f t="shared" si="11"/>
        <v>-500000</v>
      </c>
      <c r="Q128" s="88">
        <f t="shared" si="12"/>
        <v>0</v>
      </c>
      <c r="R128" s="88">
        <f t="shared" si="13"/>
        <v>-500000</v>
      </c>
      <c r="S128" s="88">
        <f t="shared" si="14"/>
        <v>0</v>
      </c>
      <c r="T128" s="88">
        <f t="shared" si="15"/>
        <v>-500000</v>
      </c>
      <c r="U128" s="88">
        <f t="shared" si="16"/>
        <v>0</v>
      </c>
      <c r="V128" s="88">
        <f t="shared" si="17"/>
        <v>-500000</v>
      </c>
      <c r="W128" s="88">
        <f t="shared" si="18"/>
        <v>-500000</v>
      </c>
      <c r="X128" s="88">
        <f t="shared" si="19"/>
        <v>0</v>
      </c>
      <c r="Z128" s="51" t="s">
        <v>291</v>
      </c>
      <c r="AA128" s="52">
        <f>IF('Year 1 Results'!AA128*COUNTIF('Event Trigger'!$C:$C,'Year 2 Results'!$Z128)&gt;SUMIF('Event Trigger'!$C:$C,$Z128,D:D),0,'Year 1 Results'!AA128)</f>
        <v>1000000</v>
      </c>
      <c r="AB128" s="52">
        <f>IF('Year 1 Results'!AB128*COUNTIF('Event Trigger'!$C:$C,'Year 2 Results'!$Z128)&gt;SUMIF('Event Trigger'!$C:$C,$Z128,E:E),0,'Year 1 Results'!AB128)</f>
        <v>1000000</v>
      </c>
      <c r="AC128" s="52">
        <f>IF('Year 1 Results'!AC128*COUNTIF('Event Trigger'!$C:$C,'Year 2 Results'!$Z128)&gt;SUMIF('Event Trigger'!$C:$C,$Z128,F:F),0,'Year 1 Results'!AC128)</f>
        <v>1000000</v>
      </c>
      <c r="AD128" s="52">
        <f>IF('Year 1 Results'!AD128*COUNTIF('Event Trigger'!$C:$C,'Year 2 Results'!$Z128)&gt;SUMIF('Event Trigger'!$C:$C,$Z128,G:G),0,'Year 1 Results'!AD128)</f>
        <v>1000000</v>
      </c>
      <c r="AE128" s="52">
        <f>IF('Year 1 Results'!AE128*COUNTIF('Event Trigger'!$C:$C,'Year 2 Results'!$Z128)&gt;SUMIF('Event Trigger'!$C:$C,$Z128,H:H),0,'Year 1 Results'!AE128)</f>
        <v>1000000</v>
      </c>
      <c r="AF128" s="52">
        <f>IF('Year 1 Results'!AF128*COUNTIF('Event Trigger'!$C:$C,'Year 2 Results'!$Z128)&gt;SUMIF('Event Trigger'!$C:$C,$Z128,I:I),0,'Year 1 Results'!AF128)</f>
        <v>1000000</v>
      </c>
      <c r="AG128" s="52">
        <f>IF('Year 1 Results'!AG128*COUNTIF('Event Trigger'!$C:$C,'Year 2 Results'!$Z128)&gt;SUMIF('Event Trigger'!$C:$C,$Z128,J:J),0,'Year 1 Results'!AG128)</f>
        <v>1000000</v>
      </c>
      <c r="AH128" s="52">
        <f>IF('Year 1 Results'!AH128*COUNTIF('Event Trigger'!$C:$C,'Year 2 Results'!$Z128)&gt;SUMIF('Event Trigger'!$C:$C,$Z128,K:K),0,'Year 1 Results'!AH128)</f>
        <v>1000000</v>
      </c>
      <c r="AI128" s="52">
        <f>IF('Year 1 Results'!AI128*COUNTIF('Event Trigger'!$C:$C,'Year 2 Results'!$Z128)&gt;SUMIF('Event Trigger'!$C:$C,$Z128,L:L),0,'Year 1 Results'!AI128)</f>
        <v>1000000</v>
      </c>
      <c r="AJ128" s="52">
        <f>IF('Year 1 Results'!AJ128*COUNTIF('Event Trigger'!$C:$C,'Year 2 Results'!$Z128)&gt;SUMIF('Event Trigger'!$C:$C,$Z128,M:M),0,'Year 1 Results'!AJ128)</f>
        <v>1000000</v>
      </c>
    </row>
    <row r="129" spans="1:36" x14ac:dyDescent="0.25">
      <c r="A129" s="37" t="str">
        <f>'Risk Master'!B129:B212&amp;"-"&amp;'Risk Master'!D129</f>
        <v>Earthquake-Calgary</v>
      </c>
      <c r="B129" s="37" t="str">
        <f>'Input Sheet year 2'!B130</f>
        <v>Earthquake-Calgary</v>
      </c>
      <c r="C129" s="29" t="str">
        <f>'Risk Master'!F129</f>
        <v>A73</v>
      </c>
      <c r="D129" s="73">
        <f>'Year 1 Results'!O129*-1+('Year 1 Results'!O129*'Event Trigger'!$E130*(1-'Input Sheet year 2'!H130))</f>
        <v>0</v>
      </c>
      <c r="E129" s="73">
        <f>'Year 1 Results'!P129*-1+('Year 1 Results'!P129*'Event Trigger'!$E130*(1-'Input Sheet year 2'!I130))</f>
        <v>200000</v>
      </c>
      <c r="F129" s="73">
        <f>'Year 1 Results'!Q129*-1+('Year 1 Results'!Q129*'Event Trigger'!$E130*(1-'Input Sheet year 2'!J130))</f>
        <v>0</v>
      </c>
      <c r="G129" s="73">
        <f>'Year 1 Results'!R129*-1+('Year 1 Results'!R129*'Event Trigger'!$E130*(1-'Input Sheet year 2'!K130))</f>
        <v>200000</v>
      </c>
      <c r="H129" s="73">
        <f>'Year 1 Results'!S129*-1+('Year 1 Results'!S129*'Event Trigger'!$E130*(1-'Input Sheet year 2'!L130))</f>
        <v>200000</v>
      </c>
      <c r="I129" s="73">
        <f>'Year 1 Results'!T129*-1+('Year 1 Results'!T129*'Event Trigger'!$E130*(1-'Input Sheet year 2'!M130))</f>
        <v>0</v>
      </c>
      <c r="J129" s="73">
        <f>'Year 1 Results'!U129*-1+('Year 1 Results'!U129*'Event Trigger'!$E130*(1-'Input Sheet year 2'!N130))</f>
        <v>0</v>
      </c>
      <c r="K129" s="73">
        <f>'Year 1 Results'!V129*-1+('Year 1 Results'!V129*'Event Trigger'!$E130*(1-'Input Sheet year 2'!O130))</f>
        <v>200000</v>
      </c>
      <c r="L129" s="73">
        <f>'Year 1 Results'!W129*-1+('Year 1 Results'!W129*'Event Trigger'!$E130*(1-'Input Sheet year 2'!P130))</f>
        <v>200000</v>
      </c>
      <c r="M129" s="73">
        <f>'Year 1 Results'!X129*-1+('Year 1 Results'!X129*'Event Trigger'!$E130*(1-'Input Sheet year 2'!Q130))</f>
        <v>0</v>
      </c>
      <c r="N129" s="88"/>
      <c r="O129" s="88">
        <f t="shared" si="10"/>
        <v>0</v>
      </c>
      <c r="P129" s="88">
        <f t="shared" si="11"/>
        <v>0</v>
      </c>
      <c r="Q129" s="88">
        <f t="shared" si="12"/>
        <v>0</v>
      </c>
      <c r="R129" s="88">
        <f t="shared" si="13"/>
        <v>0</v>
      </c>
      <c r="S129" s="88">
        <f t="shared" si="14"/>
        <v>0</v>
      </c>
      <c r="T129" s="88">
        <f t="shared" si="15"/>
        <v>0</v>
      </c>
      <c r="U129" s="88">
        <f t="shared" si="16"/>
        <v>0</v>
      </c>
      <c r="V129" s="88">
        <f t="shared" si="17"/>
        <v>0</v>
      </c>
      <c r="W129" s="88">
        <f t="shared" si="18"/>
        <v>0</v>
      </c>
      <c r="X129" s="88">
        <f t="shared" si="19"/>
        <v>0</v>
      </c>
      <c r="Z129" s="51" t="s">
        <v>292</v>
      </c>
      <c r="AA129" s="52">
        <f>IF('Year 1 Results'!AA129*COUNTIF('Event Trigger'!$C:$C,'Year 2 Results'!$Z129)&gt;SUMIF('Event Trigger'!$C:$C,$Z129,D:D),0,'Year 1 Results'!AA129)</f>
        <v>300000</v>
      </c>
      <c r="AB129" s="52">
        <f>IF('Year 1 Results'!AB129*COUNTIF('Event Trigger'!$C:$C,'Year 2 Results'!$Z129)&gt;SUMIF('Event Trigger'!$C:$C,$Z129,E:E),0,'Year 1 Results'!AB129)</f>
        <v>300000</v>
      </c>
      <c r="AC129" s="52">
        <f>IF('Year 1 Results'!AC129*COUNTIF('Event Trigger'!$C:$C,'Year 2 Results'!$Z129)&gt;SUMIF('Event Trigger'!$C:$C,$Z129,F:F),0,'Year 1 Results'!AC129)</f>
        <v>300000</v>
      </c>
      <c r="AD129" s="52">
        <f>IF('Year 1 Results'!AD129*COUNTIF('Event Trigger'!$C:$C,'Year 2 Results'!$Z129)&gt;SUMIF('Event Trigger'!$C:$C,$Z129,G:G),0,'Year 1 Results'!AD129)</f>
        <v>300000</v>
      </c>
      <c r="AE129" s="52">
        <f>IF('Year 1 Results'!AE129*COUNTIF('Event Trigger'!$C:$C,'Year 2 Results'!$Z129)&gt;SUMIF('Event Trigger'!$C:$C,$Z129,H:H),0,'Year 1 Results'!AE129)</f>
        <v>300000</v>
      </c>
      <c r="AF129" s="52">
        <f>IF('Year 1 Results'!AF129*COUNTIF('Event Trigger'!$C:$C,'Year 2 Results'!$Z129)&gt;SUMIF('Event Trigger'!$C:$C,$Z129,I:I),0,'Year 1 Results'!AF129)</f>
        <v>300000</v>
      </c>
      <c r="AG129" s="52">
        <f>IF('Year 1 Results'!AG129*COUNTIF('Event Trigger'!$C:$C,'Year 2 Results'!$Z129)&gt;SUMIF('Event Trigger'!$C:$C,$Z129,J:J),0,'Year 1 Results'!AG129)</f>
        <v>300000</v>
      </c>
      <c r="AH129" s="52">
        <f>IF('Year 1 Results'!AH129*COUNTIF('Event Trigger'!$C:$C,'Year 2 Results'!$Z129)&gt;SUMIF('Event Trigger'!$C:$C,$Z129,K:K),0,'Year 1 Results'!AH129)</f>
        <v>300000</v>
      </c>
      <c r="AI129" s="52">
        <f>IF('Year 1 Results'!AI129*COUNTIF('Event Trigger'!$C:$C,'Year 2 Results'!$Z129)&gt;SUMIF('Event Trigger'!$C:$C,$Z129,L:L),0,'Year 1 Results'!AI129)</f>
        <v>300000</v>
      </c>
      <c r="AJ129" s="52">
        <f>IF('Year 1 Results'!AJ129*COUNTIF('Event Trigger'!$C:$C,'Year 2 Results'!$Z129)&gt;SUMIF('Event Trigger'!$C:$C,$Z129,M:M),0,'Year 1 Results'!AJ129)</f>
        <v>300000</v>
      </c>
    </row>
    <row r="130" spans="1:36" ht="25.5" x14ac:dyDescent="0.25">
      <c r="A130" s="37" t="str">
        <f>'Risk Master'!B130:B213&amp;"-"&amp;'Risk Master'!D130</f>
        <v>Thunderstorms, Tornados &amp; Hail-Calgary</v>
      </c>
      <c r="B130" s="37" t="str">
        <f>'Input Sheet year 2'!B131</f>
        <v>Thunderstorms, Tornados &amp; Hail-Calgary</v>
      </c>
      <c r="C130" s="29" t="str">
        <f>'Risk Master'!F130</f>
        <v>A75</v>
      </c>
      <c r="D130" s="73">
        <f>'Year 1 Results'!O130*-1+('Year 1 Results'!O130*'Event Trigger'!$E131*(1-'Input Sheet year 2'!H131))</f>
        <v>200000</v>
      </c>
      <c r="E130" s="73">
        <f>'Year 1 Results'!P130*-1+('Year 1 Results'!P130*'Event Trigger'!$E131*(1-'Input Sheet year 2'!I131))</f>
        <v>200000</v>
      </c>
      <c r="F130" s="73">
        <f>'Year 1 Results'!Q130*-1+('Year 1 Results'!Q130*'Event Trigger'!$E131*(1-'Input Sheet year 2'!J131))</f>
        <v>200000</v>
      </c>
      <c r="G130" s="73">
        <f>'Year 1 Results'!R130*-1+('Year 1 Results'!R130*'Event Trigger'!$E131*(1-'Input Sheet year 2'!K131))</f>
        <v>200000</v>
      </c>
      <c r="H130" s="73">
        <f>'Year 1 Results'!S130*-1+('Year 1 Results'!S130*'Event Trigger'!$E131*(1-'Input Sheet year 2'!L131))</f>
        <v>200000</v>
      </c>
      <c r="I130" s="73">
        <f>'Year 1 Results'!T130*-1+('Year 1 Results'!T130*'Event Trigger'!$E131*(1-'Input Sheet year 2'!M131))</f>
        <v>200000</v>
      </c>
      <c r="J130" s="73">
        <f>'Year 1 Results'!U130*-1+('Year 1 Results'!U130*'Event Trigger'!$E131*(1-'Input Sheet year 2'!N131))</f>
        <v>200000</v>
      </c>
      <c r="K130" s="73">
        <f>'Year 1 Results'!V130*-1+('Year 1 Results'!V130*'Event Trigger'!$E131*(1-'Input Sheet year 2'!O131))</f>
        <v>200000</v>
      </c>
      <c r="L130" s="73">
        <f>'Year 1 Results'!W130*-1+('Year 1 Results'!W130*'Event Trigger'!$E131*(1-'Input Sheet year 2'!P131))</f>
        <v>200000</v>
      </c>
      <c r="M130" s="73">
        <f>'Year 1 Results'!X130*-1+('Year 1 Results'!X130*'Event Trigger'!$E131*(1-'Input Sheet year 2'!Q131))</f>
        <v>200000</v>
      </c>
      <c r="N130" s="88"/>
      <c r="O130" s="88">
        <f t="shared" si="10"/>
        <v>-200000</v>
      </c>
      <c r="P130" s="88">
        <f t="shared" si="11"/>
        <v>-200000</v>
      </c>
      <c r="Q130" s="88">
        <f t="shared" si="12"/>
        <v>-200000</v>
      </c>
      <c r="R130" s="88">
        <f t="shared" si="13"/>
        <v>-200000</v>
      </c>
      <c r="S130" s="88">
        <f t="shared" si="14"/>
        <v>-200000</v>
      </c>
      <c r="T130" s="88">
        <f t="shared" si="15"/>
        <v>-200000</v>
      </c>
      <c r="U130" s="88">
        <f t="shared" si="16"/>
        <v>-200000</v>
      </c>
      <c r="V130" s="88">
        <f t="shared" si="17"/>
        <v>-200000</v>
      </c>
      <c r="W130" s="88">
        <f t="shared" si="18"/>
        <v>-200000</v>
      </c>
      <c r="X130" s="88">
        <f t="shared" si="19"/>
        <v>-200000</v>
      </c>
      <c r="Z130" s="51" t="s">
        <v>293</v>
      </c>
      <c r="AA130" s="52">
        <f>IF('Year 1 Results'!AA130*COUNTIF('Event Trigger'!$C:$C,'Year 2 Results'!$Z130)&gt;SUMIF('Event Trigger'!$C:$C,$Z130,D:D),0,'Year 1 Results'!AA130)</f>
        <v>0</v>
      </c>
      <c r="AB130" s="52">
        <f>IF('Year 1 Results'!AB130*COUNTIF('Event Trigger'!$C:$C,'Year 2 Results'!$Z130)&gt;SUMIF('Event Trigger'!$C:$C,$Z130,E:E),0,'Year 1 Results'!AB130)</f>
        <v>0</v>
      </c>
      <c r="AC130" s="52">
        <f>IF('Year 1 Results'!AC130*COUNTIF('Event Trigger'!$C:$C,'Year 2 Results'!$Z130)&gt;SUMIF('Event Trigger'!$C:$C,$Z130,F:F),0,'Year 1 Results'!AC130)</f>
        <v>0</v>
      </c>
      <c r="AD130" s="52">
        <f>IF('Year 1 Results'!AD130*COUNTIF('Event Trigger'!$C:$C,'Year 2 Results'!$Z130)&gt;SUMIF('Event Trigger'!$C:$C,$Z130,G:G),0,'Year 1 Results'!AD130)</f>
        <v>0</v>
      </c>
      <c r="AE130" s="52">
        <f>IF('Year 1 Results'!AE130*COUNTIF('Event Trigger'!$C:$C,'Year 2 Results'!$Z130)&gt;SUMIF('Event Trigger'!$C:$C,$Z130,H:H),0,'Year 1 Results'!AE130)</f>
        <v>0</v>
      </c>
      <c r="AF130" s="52">
        <f>IF('Year 1 Results'!AF130*COUNTIF('Event Trigger'!$C:$C,'Year 2 Results'!$Z130)&gt;SUMIF('Event Trigger'!$C:$C,$Z130,I:I),0,'Year 1 Results'!AF130)</f>
        <v>0</v>
      </c>
      <c r="AG130" s="52">
        <f>IF('Year 1 Results'!AG130*COUNTIF('Event Trigger'!$C:$C,'Year 2 Results'!$Z130)&gt;SUMIF('Event Trigger'!$C:$C,$Z130,J:J),0,'Year 1 Results'!AG130)</f>
        <v>0</v>
      </c>
      <c r="AH130" s="52">
        <f>IF('Year 1 Results'!AH130*COUNTIF('Event Trigger'!$C:$C,'Year 2 Results'!$Z130)&gt;SUMIF('Event Trigger'!$C:$C,$Z130,K:K),0,'Year 1 Results'!AH130)</f>
        <v>0</v>
      </c>
      <c r="AI130" s="52">
        <f>IF('Year 1 Results'!AI130*COUNTIF('Event Trigger'!$C:$C,'Year 2 Results'!$Z130)&gt;SUMIF('Event Trigger'!$C:$C,$Z130,L:L),0,'Year 1 Results'!AI130)</f>
        <v>0</v>
      </c>
      <c r="AJ130" s="52">
        <f>IF('Year 1 Results'!AJ130*COUNTIF('Event Trigger'!$C:$C,'Year 2 Results'!$Z130)&gt;SUMIF('Event Trigger'!$C:$C,$Z130,M:M),0,'Year 1 Results'!AJ130)</f>
        <v>0</v>
      </c>
    </row>
    <row r="131" spans="1:36" x14ac:dyDescent="0.25">
      <c r="A131" s="37" t="str">
        <f>'Risk Master'!B131:B214&amp;"-"&amp;'Risk Master'!D131</f>
        <v>Hurricane-Typhoon -Calgary</v>
      </c>
      <c r="B131" s="37" t="str">
        <f>'Input Sheet year 2'!B132</f>
        <v>Hurricane-Typhoon -Calgary</v>
      </c>
      <c r="C131" s="29" t="str">
        <f>'Risk Master'!F131</f>
        <v>A67</v>
      </c>
      <c r="D131" s="73">
        <f>'Year 1 Results'!O131*-1+('Year 1 Results'!O131*'Event Trigger'!$E132*(1-'Input Sheet year 2'!H132))</f>
        <v>1100000</v>
      </c>
      <c r="E131" s="73">
        <f>'Year 1 Results'!P131*-1+('Year 1 Results'!P131*'Event Trigger'!$E132*(1-'Input Sheet year 2'!I132))</f>
        <v>0</v>
      </c>
      <c r="F131" s="73">
        <f>'Year 1 Results'!Q131*-1+('Year 1 Results'!Q131*'Event Trigger'!$E132*(1-'Input Sheet year 2'!J132))</f>
        <v>0</v>
      </c>
      <c r="G131" s="73">
        <f>'Year 1 Results'!R131*-1+('Year 1 Results'!R131*'Event Trigger'!$E132*(1-'Input Sheet year 2'!K132))</f>
        <v>1100000</v>
      </c>
      <c r="H131" s="73">
        <f>'Year 1 Results'!S131*-1+('Year 1 Results'!S131*'Event Trigger'!$E132*(1-'Input Sheet year 2'!L132))</f>
        <v>0</v>
      </c>
      <c r="I131" s="73">
        <f>'Year 1 Results'!T131*-1+('Year 1 Results'!T131*'Event Trigger'!$E132*(1-'Input Sheet year 2'!M132))</f>
        <v>0</v>
      </c>
      <c r="J131" s="73">
        <f>'Year 1 Results'!U131*-1+('Year 1 Results'!U131*'Event Trigger'!$E132*(1-'Input Sheet year 2'!N132))</f>
        <v>0</v>
      </c>
      <c r="K131" s="73">
        <f>'Year 1 Results'!V131*-1+('Year 1 Results'!V131*'Event Trigger'!$E132*(1-'Input Sheet year 2'!O132))</f>
        <v>1100000</v>
      </c>
      <c r="L131" s="73">
        <f>'Year 1 Results'!W131*-1+('Year 1 Results'!W131*'Event Trigger'!$E132*(1-'Input Sheet year 2'!P132))</f>
        <v>0</v>
      </c>
      <c r="M131" s="73">
        <f>'Year 1 Results'!X131*-1+('Year 1 Results'!X131*'Event Trigger'!$E132*(1-'Input Sheet year 2'!Q132))</f>
        <v>0</v>
      </c>
      <c r="N131" s="88"/>
      <c r="O131" s="88">
        <f t="shared" ref="O131:O183" si="20">VLOOKUP($C131,$Z:$AJ,2,FALSE)*-1</f>
        <v>-1100000</v>
      </c>
      <c r="P131" s="88">
        <f t="shared" ref="P131:P183" si="21">VLOOKUP($C131,$Z:$AJ,3,FALSE)*-1</f>
        <v>0</v>
      </c>
      <c r="Q131" s="88">
        <f t="shared" ref="Q131:Q183" si="22">VLOOKUP($C131,$Z:$AJ,4,FALSE)*-1</f>
        <v>0</v>
      </c>
      <c r="R131" s="88">
        <f t="shared" ref="R131:R183" si="23">VLOOKUP($C131,$Z:$AJ,5,FALSE)*-1</f>
        <v>-1100000</v>
      </c>
      <c r="S131" s="88">
        <f t="shared" ref="S131:S183" si="24">VLOOKUP($C131,$Z:$AJ,6,FALSE)*-1</f>
        <v>0</v>
      </c>
      <c r="T131" s="88">
        <f t="shared" ref="T131:T183" si="25">VLOOKUP($C131,$Z:$AJ,7,FALSE)*-1</f>
        <v>0</v>
      </c>
      <c r="U131" s="88">
        <f t="shared" ref="U131:U183" si="26">VLOOKUP($C131,$Z:$AJ,8,FALSE)*-1</f>
        <v>0</v>
      </c>
      <c r="V131" s="88">
        <f t="shared" ref="V131:V183" si="27">VLOOKUP($C131,$Z:$AJ,9,FALSE)*-1</f>
        <v>-1100000</v>
      </c>
      <c r="W131" s="88">
        <f t="shared" ref="W131:W183" si="28">VLOOKUP($C131,$Z:$AJ,10,FALSE)*-1</f>
        <v>0</v>
      </c>
      <c r="X131" s="88">
        <f t="shared" ref="X131:X183" si="29">VLOOKUP($C131,$Z:$AJ,11,FALSE)*-1</f>
        <v>0</v>
      </c>
      <c r="Z131" s="51" t="s">
        <v>294</v>
      </c>
      <c r="AA131" s="52">
        <f>IF('Year 1 Results'!AA131*COUNTIF('Event Trigger'!$C:$C,'Year 2 Results'!$Z131)&gt;SUMIF('Event Trigger'!$C:$C,$Z131,D:D),0,'Year 1 Results'!AA131)</f>
        <v>0</v>
      </c>
      <c r="AB131" s="52">
        <f>IF('Year 1 Results'!AB131*COUNTIF('Event Trigger'!$C:$C,'Year 2 Results'!$Z131)&gt;SUMIF('Event Trigger'!$C:$C,$Z131,E:E),0,'Year 1 Results'!AB131)</f>
        <v>0</v>
      </c>
      <c r="AC131" s="52">
        <f>IF('Year 1 Results'!AC131*COUNTIF('Event Trigger'!$C:$C,'Year 2 Results'!$Z131)&gt;SUMIF('Event Trigger'!$C:$C,$Z131,F:F),0,'Year 1 Results'!AC131)</f>
        <v>0</v>
      </c>
      <c r="AD131" s="52">
        <f>IF('Year 1 Results'!AD131*COUNTIF('Event Trigger'!$C:$C,'Year 2 Results'!$Z131)&gt;SUMIF('Event Trigger'!$C:$C,$Z131,G:G),0,'Year 1 Results'!AD131)</f>
        <v>0</v>
      </c>
      <c r="AE131" s="52">
        <f>IF('Year 1 Results'!AE131*COUNTIF('Event Trigger'!$C:$C,'Year 2 Results'!$Z131)&gt;SUMIF('Event Trigger'!$C:$C,$Z131,H:H),0,'Year 1 Results'!AE131)</f>
        <v>0</v>
      </c>
      <c r="AF131" s="52">
        <f>IF('Year 1 Results'!AF131*COUNTIF('Event Trigger'!$C:$C,'Year 2 Results'!$Z131)&gt;SUMIF('Event Trigger'!$C:$C,$Z131,I:I),0,'Year 1 Results'!AF131)</f>
        <v>0</v>
      </c>
      <c r="AG131" s="52">
        <f>IF('Year 1 Results'!AG131*COUNTIF('Event Trigger'!$C:$C,'Year 2 Results'!$Z131)&gt;SUMIF('Event Trigger'!$C:$C,$Z131,J:J),0,'Year 1 Results'!AG131)</f>
        <v>0</v>
      </c>
      <c r="AH131" s="52">
        <f>IF('Year 1 Results'!AH131*COUNTIF('Event Trigger'!$C:$C,'Year 2 Results'!$Z131)&gt;SUMIF('Event Trigger'!$C:$C,$Z131,K:K),0,'Year 1 Results'!AH131)</f>
        <v>0</v>
      </c>
      <c r="AI131" s="52">
        <f>IF('Year 1 Results'!AI131*COUNTIF('Event Trigger'!$C:$C,'Year 2 Results'!$Z131)&gt;SUMIF('Event Trigger'!$C:$C,$Z131,L:L),0,'Year 1 Results'!AI131)</f>
        <v>0</v>
      </c>
      <c r="AJ131" s="52">
        <f>IF('Year 1 Results'!AJ131*COUNTIF('Event Trigger'!$C:$C,'Year 2 Results'!$Z131)&gt;SUMIF('Event Trigger'!$C:$C,$Z131,M:M),0,'Year 1 Results'!AJ131)</f>
        <v>0</v>
      </c>
    </row>
    <row r="132" spans="1:36" x14ac:dyDescent="0.25">
      <c r="A132" s="37" t="str">
        <f>'Risk Master'!B132:B215&amp;"-"&amp;'Risk Master'!D132</f>
        <v>Earthquake-Calgary</v>
      </c>
      <c r="B132" s="37" t="str">
        <f>'Input Sheet year 2'!B133</f>
        <v>Earthquake-Calgary</v>
      </c>
      <c r="C132" s="29" t="str">
        <f>'Risk Master'!F132</f>
        <v>A68</v>
      </c>
      <c r="D132" s="73">
        <f>'Year 1 Results'!O132*-1+('Year 1 Results'!O132*'Event Trigger'!$E133*(1-'Input Sheet year 2'!H133))</f>
        <v>300000</v>
      </c>
      <c r="E132" s="73">
        <f>'Year 1 Results'!P132*-1+('Year 1 Results'!P132*'Event Trigger'!$E133*(1-'Input Sheet year 2'!I133))</f>
        <v>300000</v>
      </c>
      <c r="F132" s="73">
        <f>'Year 1 Results'!Q132*-1+('Year 1 Results'!Q132*'Event Trigger'!$E133*(1-'Input Sheet year 2'!J133))</f>
        <v>300000</v>
      </c>
      <c r="G132" s="73">
        <f>'Year 1 Results'!R132*-1+('Year 1 Results'!R132*'Event Trigger'!$E133*(1-'Input Sheet year 2'!K133))</f>
        <v>300000</v>
      </c>
      <c r="H132" s="73">
        <f>'Year 1 Results'!S132*-1+('Year 1 Results'!S132*'Event Trigger'!$E133*(1-'Input Sheet year 2'!L133))</f>
        <v>300000</v>
      </c>
      <c r="I132" s="73">
        <f>'Year 1 Results'!T132*-1+('Year 1 Results'!T132*'Event Trigger'!$E133*(1-'Input Sheet year 2'!M133))</f>
        <v>300000</v>
      </c>
      <c r="J132" s="73">
        <f>'Year 1 Results'!U132*-1+('Year 1 Results'!U132*'Event Trigger'!$E133*(1-'Input Sheet year 2'!N133))</f>
        <v>300000</v>
      </c>
      <c r="K132" s="73">
        <f>'Year 1 Results'!V132*-1+('Year 1 Results'!V132*'Event Trigger'!$E133*(1-'Input Sheet year 2'!O133))</f>
        <v>300000</v>
      </c>
      <c r="L132" s="73">
        <f>'Year 1 Results'!W132*-1+('Year 1 Results'!W132*'Event Trigger'!$E133*(1-'Input Sheet year 2'!P133))</f>
        <v>300000</v>
      </c>
      <c r="M132" s="73">
        <f>'Year 1 Results'!X132*-1+('Year 1 Results'!X132*'Event Trigger'!$E133*(1-'Input Sheet year 2'!Q133))</f>
        <v>300000</v>
      </c>
      <c r="N132" s="88"/>
      <c r="O132" s="88">
        <f t="shared" si="20"/>
        <v>0</v>
      </c>
      <c r="P132" s="88">
        <f t="shared" si="21"/>
        <v>0</v>
      </c>
      <c r="Q132" s="88">
        <f t="shared" si="22"/>
        <v>0</v>
      </c>
      <c r="R132" s="88">
        <f t="shared" si="23"/>
        <v>0</v>
      </c>
      <c r="S132" s="88">
        <f t="shared" si="24"/>
        <v>0</v>
      </c>
      <c r="T132" s="88">
        <f t="shared" si="25"/>
        <v>0</v>
      </c>
      <c r="U132" s="88">
        <f t="shared" si="26"/>
        <v>0</v>
      </c>
      <c r="V132" s="88">
        <f t="shared" si="27"/>
        <v>0</v>
      </c>
      <c r="W132" s="88">
        <f t="shared" si="28"/>
        <v>0</v>
      </c>
      <c r="X132" s="88">
        <f t="shared" si="29"/>
        <v>0</v>
      </c>
      <c r="Z132" s="51" t="s">
        <v>295</v>
      </c>
      <c r="AA132" s="52">
        <f>IF('Year 1 Results'!AA132*COUNTIF('Event Trigger'!$C:$C,'Year 2 Results'!$Z132)&gt;SUMIF('Event Trigger'!$C:$C,$Z132,D:D),0,'Year 1 Results'!AA132)</f>
        <v>1000000</v>
      </c>
      <c r="AB132" s="52">
        <f>IF('Year 1 Results'!AB132*COUNTIF('Event Trigger'!$C:$C,'Year 2 Results'!$Z132)&gt;SUMIF('Event Trigger'!$C:$C,$Z132,E:E),0,'Year 1 Results'!AB132)</f>
        <v>1000000</v>
      </c>
      <c r="AC132" s="52">
        <f>IF('Year 1 Results'!AC132*COUNTIF('Event Trigger'!$C:$C,'Year 2 Results'!$Z132)&gt;SUMIF('Event Trigger'!$C:$C,$Z132,F:F),0,'Year 1 Results'!AC132)</f>
        <v>1000000</v>
      </c>
      <c r="AD132" s="52">
        <f>IF('Year 1 Results'!AD132*COUNTIF('Event Trigger'!$C:$C,'Year 2 Results'!$Z132)&gt;SUMIF('Event Trigger'!$C:$C,$Z132,G:G),0,'Year 1 Results'!AD132)</f>
        <v>1000000</v>
      </c>
      <c r="AE132" s="52">
        <f>IF('Year 1 Results'!AE132*COUNTIF('Event Trigger'!$C:$C,'Year 2 Results'!$Z132)&gt;SUMIF('Event Trigger'!$C:$C,$Z132,H:H),0,'Year 1 Results'!AE132)</f>
        <v>1000000</v>
      </c>
      <c r="AF132" s="52">
        <f>IF('Year 1 Results'!AF132*COUNTIF('Event Trigger'!$C:$C,'Year 2 Results'!$Z132)&gt;SUMIF('Event Trigger'!$C:$C,$Z132,I:I),0,'Year 1 Results'!AF132)</f>
        <v>1000000</v>
      </c>
      <c r="AG132" s="52">
        <f>IF('Year 1 Results'!AG132*COUNTIF('Event Trigger'!$C:$C,'Year 2 Results'!$Z132)&gt;SUMIF('Event Trigger'!$C:$C,$Z132,J:J),0,'Year 1 Results'!AG132)</f>
        <v>1000000</v>
      </c>
      <c r="AH132" s="52">
        <f>IF('Year 1 Results'!AH132*COUNTIF('Event Trigger'!$C:$C,'Year 2 Results'!$Z132)&gt;SUMIF('Event Trigger'!$C:$C,$Z132,K:K),0,'Year 1 Results'!AH132)</f>
        <v>1000000</v>
      </c>
      <c r="AI132" s="52">
        <f>IF('Year 1 Results'!AI132*COUNTIF('Event Trigger'!$C:$C,'Year 2 Results'!$Z132)&gt;SUMIF('Event Trigger'!$C:$C,$Z132,L:L),0,'Year 1 Results'!AI132)</f>
        <v>1000000</v>
      </c>
      <c r="AJ132" s="52">
        <f>IF('Year 1 Results'!AJ132*COUNTIF('Event Trigger'!$C:$C,'Year 2 Results'!$Z132)&gt;SUMIF('Event Trigger'!$C:$C,$Z132,M:M),0,'Year 1 Results'!AJ132)</f>
        <v>1000000</v>
      </c>
    </row>
    <row r="133" spans="1:36" x14ac:dyDescent="0.25">
      <c r="A133" s="37" t="str">
        <f>'Risk Master'!B133:B216&amp;"-"&amp;'Risk Master'!D133</f>
        <v>Hurricane-Typhoon -Calgary</v>
      </c>
      <c r="B133" s="37" t="str">
        <f>'Input Sheet year 2'!B134</f>
        <v>Hurricane-Typhoon -Calgary</v>
      </c>
      <c r="C133" s="29" t="str">
        <f>'Risk Master'!F133</f>
        <v>A73</v>
      </c>
      <c r="D133" s="73">
        <f>'Year 1 Results'!O133*-1+('Year 1 Results'!O133*'Event Trigger'!$E134*(1-'Input Sheet year 2'!H134))</f>
        <v>200000</v>
      </c>
      <c r="E133" s="73">
        <f>'Year 1 Results'!P133*-1+('Year 1 Results'!P133*'Event Trigger'!$E134*(1-'Input Sheet year 2'!I134))</f>
        <v>0</v>
      </c>
      <c r="F133" s="73">
        <f>'Year 1 Results'!Q133*-1+('Year 1 Results'!Q133*'Event Trigger'!$E134*(1-'Input Sheet year 2'!J134))</f>
        <v>0</v>
      </c>
      <c r="G133" s="73">
        <f>'Year 1 Results'!R133*-1+('Year 1 Results'!R133*'Event Trigger'!$E134*(1-'Input Sheet year 2'!K134))</f>
        <v>0</v>
      </c>
      <c r="H133" s="73">
        <f>'Year 1 Results'!S133*-1+('Year 1 Results'!S133*'Event Trigger'!$E134*(1-'Input Sheet year 2'!L134))</f>
        <v>0</v>
      </c>
      <c r="I133" s="73">
        <f>'Year 1 Results'!T133*-1+('Year 1 Results'!T133*'Event Trigger'!$E134*(1-'Input Sheet year 2'!M134))</f>
        <v>0</v>
      </c>
      <c r="J133" s="73">
        <f>'Year 1 Results'!U133*-1+('Year 1 Results'!U133*'Event Trigger'!$E134*(1-'Input Sheet year 2'!N134))</f>
        <v>0</v>
      </c>
      <c r="K133" s="73">
        <f>'Year 1 Results'!V133*-1+('Year 1 Results'!V133*'Event Trigger'!$E134*(1-'Input Sheet year 2'!O134))</f>
        <v>0</v>
      </c>
      <c r="L133" s="73">
        <f>'Year 1 Results'!W133*-1+('Year 1 Results'!W133*'Event Trigger'!$E134*(1-'Input Sheet year 2'!P134))</f>
        <v>0</v>
      </c>
      <c r="M133" s="73">
        <f>'Year 1 Results'!X133*-1+('Year 1 Results'!X133*'Event Trigger'!$E134*(1-'Input Sheet year 2'!Q134))</f>
        <v>0</v>
      </c>
      <c r="N133" s="88"/>
      <c r="O133" s="88">
        <f t="shared" si="20"/>
        <v>0</v>
      </c>
      <c r="P133" s="88">
        <f t="shared" si="21"/>
        <v>0</v>
      </c>
      <c r="Q133" s="88">
        <f t="shared" si="22"/>
        <v>0</v>
      </c>
      <c r="R133" s="88">
        <f t="shared" si="23"/>
        <v>0</v>
      </c>
      <c r="S133" s="88">
        <f t="shared" si="24"/>
        <v>0</v>
      </c>
      <c r="T133" s="88">
        <f t="shared" si="25"/>
        <v>0</v>
      </c>
      <c r="U133" s="88">
        <f t="shared" si="26"/>
        <v>0</v>
      </c>
      <c r="V133" s="88">
        <f t="shared" si="27"/>
        <v>0</v>
      </c>
      <c r="W133" s="88">
        <f t="shared" si="28"/>
        <v>0</v>
      </c>
      <c r="X133" s="88">
        <f t="shared" si="29"/>
        <v>0</v>
      </c>
      <c r="Z133" s="51" t="s">
        <v>296</v>
      </c>
      <c r="AA133" s="52">
        <f>IF('Year 1 Results'!AA133*COUNTIF('Event Trigger'!$C:$C,'Year 2 Results'!$Z133)&gt;SUMIF('Event Trigger'!$C:$C,$Z133,D:D),0,'Year 1 Results'!AA133)</f>
        <v>500000</v>
      </c>
      <c r="AB133" s="52">
        <f>IF('Year 1 Results'!AB133*COUNTIF('Event Trigger'!$C:$C,'Year 2 Results'!$Z133)&gt;SUMIF('Event Trigger'!$C:$C,$Z133,E:E),0,'Year 1 Results'!AB133)</f>
        <v>500000</v>
      </c>
      <c r="AC133" s="52">
        <f>IF('Year 1 Results'!AC133*COUNTIF('Event Trigger'!$C:$C,'Year 2 Results'!$Z133)&gt;SUMIF('Event Trigger'!$C:$C,$Z133,F:F),0,'Year 1 Results'!AC133)</f>
        <v>500000</v>
      </c>
      <c r="AD133" s="52">
        <f>IF('Year 1 Results'!AD133*COUNTIF('Event Trigger'!$C:$C,'Year 2 Results'!$Z133)&gt;SUMIF('Event Trigger'!$C:$C,$Z133,G:G),0,'Year 1 Results'!AD133)</f>
        <v>500000</v>
      </c>
      <c r="AE133" s="52">
        <f>IF('Year 1 Results'!AE133*COUNTIF('Event Trigger'!$C:$C,'Year 2 Results'!$Z133)&gt;SUMIF('Event Trigger'!$C:$C,$Z133,H:H),0,'Year 1 Results'!AE133)</f>
        <v>500000</v>
      </c>
      <c r="AF133" s="52">
        <f>IF('Year 1 Results'!AF133*COUNTIF('Event Trigger'!$C:$C,'Year 2 Results'!$Z133)&gt;SUMIF('Event Trigger'!$C:$C,$Z133,I:I),0,'Year 1 Results'!AF133)</f>
        <v>500000</v>
      </c>
      <c r="AG133" s="52">
        <f>IF('Year 1 Results'!AG133*COUNTIF('Event Trigger'!$C:$C,'Year 2 Results'!$Z133)&gt;SUMIF('Event Trigger'!$C:$C,$Z133,J:J),0,'Year 1 Results'!AG133)</f>
        <v>500000</v>
      </c>
      <c r="AH133" s="52">
        <f>IF('Year 1 Results'!AH133*COUNTIF('Event Trigger'!$C:$C,'Year 2 Results'!$Z133)&gt;SUMIF('Event Trigger'!$C:$C,$Z133,K:K),0,'Year 1 Results'!AH133)</f>
        <v>500000</v>
      </c>
      <c r="AI133" s="52">
        <f>IF('Year 1 Results'!AI133*COUNTIF('Event Trigger'!$C:$C,'Year 2 Results'!$Z133)&gt;SUMIF('Event Trigger'!$C:$C,$Z133,L:L),0,'Year 1 Results'!AI133)</f>
        <v>500000</v>
      </c>
      <c r="AJ133" s="52">
        <f>IF('Year 1 Results'!AJ133*COUNTIF('Event Trigger'!$C:$C,'Year 2 Results'!$Z133)&gt;SUMIF('Event Trigger'!$C:$C,$Z133,M:M),0,'Year 1 Results'!AJ133)</f>
        <v>500000</v>
      </c>
    </row>
    <row r="134" spans="1:36" ht="38.25" x14ac:dyDescent="0.25">
      <c r="A134" s="37" t="str">
        <f>'Risk Master'!B134:B217&amp;"-"&amp;'Risk Master'!D134</f>
        <v>Tropical Storm Manuel-Gulf of Mexico</v>
      </c>
      <c r="B134" s="37" t="str">
        <f>'Input Sheet year 2'!B135</f>
        <v>Thunderstorms, Tornados &amp; Tropical storms-Gulf of Mexico</v>
      </c>
      <c r="C134" s="29" t="str">
        <f>'Risk Master'!F134</f>
        <v>A78</v>
      </c>
      <c r="D134" s="73">
        <f>'Year 1 Results'!O134*-1+('Year 1 Results'!O134*'Event Trigger'!$E135*(1-'Input Sheet year 2'!H135))</f>
        <v>400000</v>
      </c>
      <c r="E134" s="73">
        <f>'Year 1 Results'!P134*-1+('Year 1 Results'!P134*'Event Trigger'!$E135*(1-'Input Sheet year 2'!I135))</f>
        <v>400000</v>
      </c>
      <c r="F134" s="73">
        <f>'Year 1 Results'!Q134*-1+('Year 1 Results'!Q134*'Event Trigger'!$E135*(1-'Input Sheet year 2'!J135))</f>
        <v>400000</v>
      </c>
      <c r="G134" s="73">
        <f>'Year 1 Results'!R134*-1+('Year 1 Results'!R134*'Event Trigger'!$E135*(1-'Input Sheet year 2'!K135))</f>
        <v>400000</v>
      </c>
      <c r="H134" s="73">
        <f>'Year 1 Results'!S134*-1+('Year 1 Results'!S134*'Event Trigger'!$E135*(1-'Input Sheet year 2'!L135))</f>
        <v>400000</v>
      </c>
      <c r="I134" s="73">
        <f>'Year 1 Results'!T134*-1+('Year 1 Results'!T134*'Event Trigger'!$E135*(1-'Input Sheet year 2'!M135))</f>
        <v>400000</v>
      </c>
      <c r="J134" s="73">
        <f>'Year 1 Results'!U134*-1+('Year 1 Results'!U134*'Event Trigger'!$E135*(1-'Input Sheet year 2'!N135))</f>
        <v>400000</v>
      </c>
      <c r="K134" s="73">
        <f>'Year 1 Results'!V134*-1+('Year 1 Results'!V134*'Event Trigger'!$E135*(1-'Input Sheet year 2'!O135))</f>
        <v>400000</v>
      </c>
      <c r="L134" s="73">
        <f>'Year 1 Results'!W134*-1+('Year 1 Results'!W134*'Event Trigger'!$E135*(1-'Input Sheet year 2'!P135))</f>
        <v>400000</v>
      </c>
      <c r="M134" s="73">
        <f>'Year 1 Results'!X134*-1+('Year 1 Results'!X134*'Event Trigger'!$E135*(1-'Input Sheet year 2'!Q135))</f>
        <v>400000</v>
      </c>
      <c r="N134" s="88"/>
      <c r="O134" s="88">
        <f t="shared" si="20"/>
        <v>-400000</v>
      </c>
      <c r="P134" s="88">
        <f t="shared" si="21"/>
        <v>-400000</v>
      </c>
      <c r="Q134" s="88">
        <f t="shared" si="22"/>
        <v>-400000</v>
      </c>
      <c r="R134" s="88">
        <f t="shared" si="23"/>
        <v>-400000</v>
      </c>
      <c r="S134" s="88">
        <f t="shared" si="24"/>
        <v>-400000</v>
      </c>
      <c r="T134" s="88">
        <f t="shared" si="25"/>
        <v>-400000</v>
      </c>
      <c r="U134" s="88">
        <f t="shared" si="26"/>
        <v>-400000</v>
      </c>
      <c r="V134" s="88">
        <f t="shared" si="27"/>
        <v>-400000</v>
      </c>
      <c r="W134" s="88">
        <f t="shared" si="28"/>
        <v>-400000</v>
      </c>
      <c r="X134" s="88">
        <f t="shared" si="29"/>
        <v>-400000</v>
      </c>
      <c r="Z134" s="51" t="s">
        <v>297</v>
      </c>
      <c r="AA134" s="52">
        <f>IF('Year 1 Results'!AA134*COUNTIF('Event Trigger'!$C:$C,'Year 2 Results'!$Z134)&gt;SUMIF('Event Trigger'!$C:$C,$Z134,D:D),0,'Year 1 Results'!AA134)</f>
        <v>200000</v>
      </c>
      <c r="AB134" s="52">
        <f>IF('Year 1 Results'!AB134*COUNTIF('Event Trigger'!$C:$C,'Year 2 Results'!$Z134)&gt;SUMIF('Event Trigger'!$C:$C,$Z134,E:E),0,'Year 1 Results'!AB134)</f>
        <v>200000</v>
      </c>
      <c r="AC134" s="52">
        <f>IF('Year 1 Results'!AC134*COUNTIF('Event Trigger'!$C:$C,'Year 2 Results'!$Z134)&gt;SUMIF('Event Trigger'!$C:$C,$Z134,F:F),0,'Year 1 Results'!AC134)</f>
        <v>200000</v>
      </c>
      <c r="AD134" s="52">
        <f>IF('Year 1 Results'!AD134*COUNTIF('Event Trigger'!$C:$C,'Year 2 Results'!$Z134)&gt;SUMIF('Event Trigger'!$C:$C,$Z134,G:G),0,'Year 1 Results'!AD134)</f>
        <v>200000</v>
      </c>
      <c r="AE134" s="52">
        <f>IF('Year 1 Results'!AE134*COUNTIF('Event Trigger'!$C:$C,'Year 2 Results'!$Z134)&gt;SUMIF('Event Trigger'!$C:$C,$Z134,H:H),0,'Year 1 Results'!AE134)</f>
        <v>200000</v>
      </c>
      <c r="AF134" s="52">
        <f>IF('Year 1 Results'!AF134*COUNTIF('Event Trigger'!$C:$C,'Year 2 Results'!$Z134)&gt;SUMIF('Event Trigger'!$C:$C,$Z134,I:I),0,'Year 1 Results'!AF134)</f>
        <v>200000</v>
      </c>
      <c r="AG134" s="52">
        <f>IF('Year 1 Results'!AG134*COUNTIF('Event Trigger'!$C:$C,'Year 2 Results'!$Z134)&gt;SUMIF('Event Trigger'!$C:$C,$Z134,J:J),0,'Year 1 Results'!AG134)</f>
        <v>200000</v>
      </c>
      <c r="AH134" s="52">
        <f>IF('Year 1 Results'!AH134*COUNTIF('Event Trigger'!$C:$C,'Year 2 Results'!$Z134)&gt;SUMIF('Event Trigger'!$C:$C,$Z134,K:K),0,'Year 1 Results'!AH134)</f>
        <v>200000</v>
      </c>
      <c r="AI134" s="52">
        <f>IF('Year 1 Results'!AI134*COUNTIF('Event Trigger'!$C:$C,'Year 2 Results'!$Z134)&gt;SUMIF('Event Trigger'!$C:$C,$Z134,L:L),0,'Year 1 Results'!AI134)</f>
        <v>200000</v>
      </c>
      <c r="AJ134" s="52">
        <f>IF('Year 1 Results'!AJ134*COUNTIF('Event Trigger'!$C:$C,'Year 2 Results'!$Z134)&gt;SUMIF('Event Trigger'!$C:$C,$Z134,M:M),0,'Year 1 Results'!AJ134)</f>
        <v>200000</v>
      </c>
    </row>
    <row r="135" spans="1:36" ht="25.5" x14ac:dyDescent="0.25">
      <c r="A135" s="37" t="str">
        <f>'Risk Master'!B135:B218&amp;"-"&amp;'Risk Master'!D135</f>
        <v>Hurricane Ingrid-Gulf of Mexico</v>
      </c>
      <c r="B135" s="37" t="str">
        <f>'Input Sheet year 2'!B136</f>
        <v>Hurricane-Typhoon -Gulf of Mexico</v>
      </c>
      <c r="C135" s="29" t="str">
        <f>'Risk Master'!F135</f>
        <v>A79</v>
      </c>
      <c r="D135" s="73">
        <f>'Year 1 Results'!O135*-1+('Year 1 Results'!O135*'Event Trigger'!$E136*(1-'Input Sheet year 2'!H136))</f>
        <v>0</v>
      </c>
      <c r="E135" s="73">
        <f>'Year 1 Results'!P135*-1+('Year 1 Results'!P135*'Event Trigger'!$E136*(1-'Input Sheet year 2'!I136))</f>
        <v>500000</v>
      </c>
      <c r="F135" s="73">
        <f>'Year 1 Results'!Q135*-1+('Year 1 Results'!Q135*'Event Trigger'!$E136*(1-'Input Sheet year 2'!J136))</f>
        <v>0</v>
      </c>
      <c r="G135" s="73">
        <f>'Year 1 Results'!R135*-1+('Year 1 Results'!R135*'Event Trigger'!$E136*(1-'Input Sheet year 2'!K136))</f>
        <v>500000</v>
      </c>
      <c r="H135" s="73">
        <f>'Year 1 Results'!S135*-1+('Year 1 Results'!S135*'Event Trigger'!$E136*(1-'Input Sheet year 2'!L136))</f>
        <v>0</v>
      </c>
      <c r="I135" s="73">
        <f>'Year 1 Results'!T135*-1+('Year 1 Results'!T135*'Event Trigger'!$E136*(1-'Input Sheet year 2'!M136))</f>
        <v>0</v>
      </c>
      <c r="J135" s="73">
        <f>'Year 1 Results'!U135*-1+('Year 1 Results'!U135*'Event Trigger'!$E136*(1-'Input Sheet year 2'!N136))</f>
        <v>0</v>
      </c>
      <c r="K135" s="73">
        <f>'Year 1 Results'!V135*-1+('Year 1 Results'!V135*'Event Trigger'!$E136*(1-'Input Sheet year 2'!O136))</f>
        <v>500000</v>
      </c>
      <c r="L135" s="73">
        <f>'Year 1 Results'!W135*-1+('Year 1 Results'!W135*'Event Trigger'!$E136*(1-'Input Sheet year 2'!P136))</f>
        <v>0</v>
      </c>
      <c r="M135" s="73">
        <f>'Year 1 Results'!X135*-1+('Year 1 Results'!X135*'Event Trigger'!$E136*(1-'Input Sheet year 2'!Q136))</f>
        <v>500000</v>
      </c>
      <c r="N135" s="88"/>
      <c r="O135" s="88">
        <f t="shared" si="20"/>
        <v>0</v>
      </c>
      <c r="P135" s="88">
        <f t="shared" si="21"/>
        <v>-500000</v>
      </c>
      <c r="Q135" s="88">
        <f t="shared" si="22"/>
        <v>0</v>
      </c>
      <c r="R135" s="88">
        <f t="shared" si="23"/>
        <v>-500000</v>
      </c>
      <c r="S135" s="88">
        <f t="shared" si="24"/>
        <v>0</v>
      </c>
      <c r="T135" s="88">
        <f t="shared" si="25"/>
        <v>0</v>
      </c>
      <c r="U135" s="88">
        <f t="shared" si="26"/>
        <v>0</v>
      </c>
      <c r="V135" s="88">
        <f t="shared" si="27"/>
        <v>-500000</v>
      </c>
      <c r="W135" s="88">
        <f t="shared" si="28"/>
        <v>0</v>
      </c>
      <c r="X135" s="88">
        <f t="shared" si="29"/>
        <v>-500000</v>
      </c>
      <c r="Z135" s="51" t="s">
        <v>298</v>
      </c>
      <c r="AA135" s="52">
        <f>IF('Year 1 Results'!AA135*COUNTIF('Event Trigger'!$C:$C,'Year 2 Results'!$Z135)&gt;SUMIF('Event Trigger'!$C:$C,$Z135,D:D),0,'Year 1 Results'!AA135)</f>
        <v>0</v>
      </c>
      <c r="AB135" s="52">
        <f>IF('Year 1 Results'!AB135*COUNTIF('Event Trigger'!$C:$C,'Year 2 Results'!$Z135)&gt;SUMIF('Event Trigger'!$C:$C,$Z135,E:E),0,'Year 1 Results'!AB135)</f>
        <v>0</v>
      </c>
      <c r="AC135" s="52">
        <f>IF('Year 1 Results'!AC135*COUNTIF('Event Trigger'!$C:$C,'Year 2 Results'!$Z135)&gt;SUMIF('Event Trigger'!$C:$C,$Z135,F:F),0,'Year 1 Results'!AC135)</f>
        <v>0</v>
      </c>
      <c r="AD135" s="52">
        <f>IF('Year 1 Results'!AD135*COUNTIF('Event Trigger'!$C:$C,'Year 2 Results'!$Z135)&gt;SUMIF('Event Trigger'!$C:$C,$Z135,G:G),0,'Year 1 Results'!AD135)</f>
        <v>0</v>
      </c>
      <c r="AE135" s="52">
        <f>IF('Year 1 Results'!AE135*COUNTIF('Event Trigger'!$C:$C,'Year 2 Results'!$Z135)&gt;SUMIF('Event Trigger'!$C:$C,$Z135,H:H),0,'Year 1 Results'!AE135)</f>
        <v>0</v>
      </c>
      <c r="AF135" s="52">
        <f>IF('Year 1 Results'!AF135*COUNTIF('Event Trigger'!$C:$C,'Year 2 Results'!$Z135)&gt;SUMIF('Event Trigger'!$C:$C,$Z135,I:I),0,'Year 1 Results'!AF135)</f>
        <v>0</v>
      </c>
      <c r="AG135" s="52">
        <f>IF('Year 1 Results'!AG135*COUNTIF('Event Trigger'!$C:$C,'Year 2 Results'!$Z135)&gt;SUMIF('Event Trigger'!$C:$C,$Z135,J:J),0,'Year 1 Results'!AG135)</f>
        <v>0</v>
      </c>
      <c r="AH135" s="52">
        <f>IF('Year 1 Results'!AH135*COUNTIF('Event Trigger'!$C:$C,'Year 2 Results'!$Z135)&gt;SUMIF('Event Trigger'!$C:$C,$Z135,K:K),0,'Year 1 Results'!AH135)</f>
        <v>0</v>
      </c>
      <c r="AI135" s="52">
        <f>IF('Year 1 Results'!AI135*COUNTIF('Event Trigger'!$C:$C,'Year 2 Results'!$Z135)&gt;SUMIF('Event Trigger'!$C:$C,$Z135,L:L),0,'Year 1 Results'!AI135)</f>
        <v>0</v>
      </c>
      <c r="AJ135" s="52">
        <f>IF('Year 1 Results'!AJ135*COUNTIF('Event Trigger'!$C:$C,'Year 2 Results'!$Z135)&gt;SUMIF('Event Trigger'!$C:$C,$Z135,M:M),0,'Year 1 Results'!AJ135)</f>
        <v>0</v>
      </c>
    </row>
    <row r="136" spans="1:36" ht="38.25" x14ac:dyDescent="0.25">
      <c r="A136" s="37" t="str">
        <f>'Risk Master'!B136:B219&amp;"-"&amp;'Risk Master'!D136</f>
        <v>Tropical Storm Lorena-Gulf of Mexico</v>
      </c>
      <c r="B136" s="37" t="str">
        <f>'Input Sheet year 2'!B137</f>
        <v>Thunderstorms, Tornados &amp; Tropical storms-Gulf of Mexico</v>
      </c>
      <c r="C136" s="29" t="str">
        <f>'Risk Master'!F136</f>
        <v>A81</v>
      </c>
      <c r="D136" s="73">
        <f>'Year 1 Results'!O136*-1+('Year 1 Results'!O136*'Event Trigger'!$E137*(1-'Input Sheet year 2'!H137))</f>
        <v>0</v>
      </c>
      <c r="E136" s="73">
        <f>'Year 1 Results'!P136*-1+('Year 1 Results'!P136*'Event Trigger'!$E137*(1-'Input Sheet year 2'!I137))</f>
        <v>0</v>
      </c>
      <c r="F136" s="73">
        <f>'Year 1 Results'!Q136*-1+('Year 1 Results'!Q136*'Event Trigger'!$E137*(1-'Input Sheet year 2'!J137))</f>
        <v>200000</v>
      </c>
      <c r="G136" s="73">
        <f>'Year 1 Results'!R136*-1+('Year 1 Results'!R136*'Event Trigger'!$E137*(1-'Input Sheet year 2'!K137))</f>
        <v>0</v>
      </c>
      <c r="H136" s="73">
        <f>'Year 1 Results'!S136*-1+('Year 1 Results'!S136*'Event Trigger'!$E137*(1-'Input Sheet year 2'!L137))</f>
        <v>200000</v>
      </c>
      <c r="I136" s="73">
        <f>'Year 1 Results'!T136*-1+('Year 1 Results'!T136*'Event Trigger'!$E137*(1-'Input Sheet year 2'!M137))</f>
        <v>0</v>
      </c>
      <c r="J136" s="73">
        <f>'Year 1 Results'!U136*-1+('Year 1 Results'!U136*'Event Trigger'!$E137*(1-'Input Sheet year 2'!N137))</f>
        <v>0</v>
      </c>
      <c r="K136" s="73">
        <f>'Year 1 Results'!V136*-1+('Year 1 Results'!V136*'Event Trigger'!$E137*(1-'Input Sheet year 2'!O137))</f>
        <v>0</v>
      </c>
      <c r="L136" s="73">
        <f>'Year 1 Results'!W136*-1+('Year 1 Results'!W136*'Event Trigger'!$E137*(1-'Input Sheet year 2'!P137))</f>
        <v>0</v>
      </c>
      <c r="M136" s="73">
        <f>'Year 1 Results'!X136*-1+('Year 1 Results'!X136*'Event Trigger'!$E137*(1-'Input Sheet year 2'!Q137))</f>
        <v>0</v>
      </c>
      <c r="N136" s="88"/>
      <c r="O136" s="88">
        <f t="shared" si="20"/>
        <v>0</v>
      </c>
      <c r="P136" s="88">
        <f t="shared" si="21"/>
        <v>0</v>
      </c>
      <c r="Q136" s="88">
        <f t="shared" si="22"/>
        <v>-200000</v>
      </c>
      <c r="R136" s="88">
        <f t="shared" si="23"/>
        <v>0</v>
      </c>
      <c r="S136" s="88">
        <f t="shared" si="24"/>
        <v>-200000</v>
      </c>
      <c r="T136" s="88">
        <f t="shared" si="25"/>
        <v>0</v>
      </c>
      <c r="U136" s="88">
        <f t="shared" si="26"/>
        <v>0</v>
      </c>
      <c r="V136" s="88">
        <f t="shared" si="27"/>
        <v>0</v>
      </c>
      <c r="W136" s="88">
        <f t="shared" si="28"/>
        <v>0</v>
      </c>
      <c r="X136" s="88">
        <f t="shared" si="29"/>
        <v>0</v>
      </c>
      <c r="Z136" s="51" t="s">
        <v>299</v>
      </c>
      <c r="AA136" s="52">
        <f>IF('Year 1 Results'!AA136*COUNTIF('Event Trigger'!$C:$C,'Year 2 Results'!$Z136)&gt;SUMIF('Event Trigger'!$C:$C,$Z136,D:D),0,'Year 1 Results'!AA136)</f>
        <v>200000</v>
      </c>
      <c r="AB136" s="52">
        <f>IF('Year 1 Results'!AB136*COUNTIF('Event Trigger'!$C:$C,'Year 2 Results'!$Z136)&gt;SUMIF('Event Trigger'!$C:$C,$Z136,E:E),0,'Year 1 Results'!AB136)</f>
        <v>200000</v>
      </c>
      <c r="AC136" s="52">
        <f>IF('Year 1 Results'!AC136*COUNTIF('Event Trigger'!$C:$C,'Year 2 Results'!$Z136)&gt;SUMIF('Event Trigger'!$C:$C,$Z136,F:F),0,'Year 1 Results'!AC136)</f>
        <v>200000</v>
      </c>
      <c r="AD136" s="52">
        <f>IF('Year 1 Results'!AD136*COUNTIF('Event Trigger'!$C:$C,'Year 2 Results'!$Z136)&gt;SUMIF('Event Trigger'!$C:$C,$Z136,G:G),0,'Year 1 Results'!AD136)</f>
        <v>200000</v>
      </c>
      <c r="AE136" s="52">
        <f>IF('Year 1 Results'!AE136*COUNTIF('Event Trigger'!$C:$C,'Year 2 Results'!$Z136)&gt;SUMIF('Event Trigger'!$C:$C,$Z136,H:H),0,'Year 1 Results'!AE136)</f>
        <v>200000</v>
      </c>
      <c r="AF136" s="52">
        <f>IF('Year 1 Results'!AF136*COUNTIF('Event Trigger'!$C:$C,'Year 2 Results'!$Z136)&gt;SUMIF('Event Trigger'!$C:$C,$Z136,I:I),0,'Year 1 Results'!AF136)</f>
        <v>200000</v>
      </c>
      <c r="AG136" s="52">
        <f>IF('Year 1 Results'!AG136*COUNTIF('Event Trigger'!$C:$C,'Year 2 Results'!$Z136)&gt;SUMIF('Event Trigger'!$C:$C,$Z136,J:J),0,'Year 1 Results'!AG136)</f>
        <v>200000</v>
      </c>
      <c r="AH136" s="52">
        <f>IF('Year 1 Results'!AH136*COUNTIF('Event Trigger'!$C:$C,'Year 2 Results'!$Z136)&gt;SUMIF('Event Trigger'!$C:$C,$Z136,K:K),0,'Year 1 Results'!AH136)</f>
        <v>200000</v>
      </c>
      <c r="AI136" s="52">
        <f>IF('Year 1 Results'!AI136*COUNTIF('Event Trigger'!$C:$C,'Year 2 Results'!$Z136)&gt;SUMIF('Event Trigger'!$C:$C,$Z136,L:L),0,'Year 1 Results'!AI136)</f>
        <v>200000</v>
      </c>
      <c r="AJ136" s="52">
        <f>IF('Year 1 Results'!AJ136*COUNTIF('Event Trigger'!$C:$C,'Year 2 Results'!$Z136)&gt;SUMIF('Event Trigger'!$C:$C,$Z136,M:M),0,'Year 1 Results'!AJ136)</f>
        <v>200000</v>
      </c>
    </row>
    <row r="137" spans="1:36" ht="38.25" x14ac:dyDescent="0.25">
      <c r="A137" s="37" t="str">
        <f>'Risk Master'!B137:B220&amp;"-"&amp;'Risk Master'!D137</f>
        <v>Tropical Storm Kong-Rey-Gulf of Mexico</v>
      </c>
      <c r="B137" s="37" t="str">
        <f>'Input Sheet year 2'!B138</f>
        <v>Thunderstorms, Tornados &amp; Tropical storms-Gulf of Mexico</v>
      </c>
      <c r="C137" s="29" t="str">
        <f>'Risk Master'!F137</f>
        <v>A83</v>
      </c>
      <c r="D137" s="73">
        <f>'Year 1 Results'!O137*-1+('Year 1 Results'!O137*'Event Trigger'!$E138*(1-'Input Sheet year 2'!H138))</f>
        <v>0</v>
      </c>
      <c r="E137" s="73">
        <f>'Year 1 Results'!P137*-1+('Year 1 Results'!P137*'Event Trigger'!$E138*(1-'Input Sheet year 2'!I138))</f>
        <v>0</v>
      </c>
      <c r="F137" s="73">
        <f>'Year 1 Results'!Q137*-1+('Year 1 Results'!Q137*'Event Trigger'!$E138*(1-'Input Sheet year 2'!J138))</f>
        <v>0</v>
      </c>
      <c r="G137" s="73">
        <f>'Year 1 Results'!R137*-1+('Year 1 Results'!R137*'Event Trigger'!$E138*(1-'Input Sheet year 2'!K138))</f>
        <v>0</v>
      </c>
      <c r="H137" s="73">
        <f>'Year 1 Results'!S137*-1+('Year 1 Results'!S137*'Event Trigger'!$E138*(1-'Input Sheet year 2'!L138))</f>
        <v>0</v>
      </c>
      <c r="I137" s="73">
        <f>'Year 1 Results'!T137*-1+('Year 1 Results'!T137*'Event Trigger'!$E138*(1-'Input Sheet year 2'!M138))</f>
        <v>0</v>
      </c>
      <c r="J137" s="73">
        <f>'Year 1 Results'!U137*-1+('Year 1 Results'!U137*'Event Trigger'!$E138*(1-'Input Sheet year 2'!N138))</f>
        <v>0</v>
      </c>
      <c r="K137" s="73">
        <f>'Year 1 Results'!V137*-1+('Year 1 Results'!V137*'Event Trigger'!$E138*(1-'Input Sheet year 2'!O138))</f>
        <v>0</v>
      </c>
      <c r="L137" s="73">
        <f>'Year 1 Results'!W137*-1+('Year 1 Results'!W137*'Event Trigger'!$E138*(1-'Input Sheet year 2'!P138))</f>
        <v>0</v>
      </c>
      <c r="M137" s="73">
        <f>'Year 1 Results'!X137*-1+('Year 1 Results'!X137*'Event Trigger'!$E138*(1-'Input Sheet year 2'!Q138))</f>
        <v>300000</v>
      </c>
      <c r="N137" s="88"/>
      <c r="O137" s="88">
        <f t="shared" si="20"/>
        <v>0</v>
      </c>
      <c r="P137" s="88">
        <f t="shared" si="21"/>
        <v>0</v>
      </c>
      <c r="Q137" s="88">
        <f t="shared" si="22"/>
        <v>0</v>
      </c>
      <c r="R137" s="88">
        <f t="shared" si="23"/>
        <v>0</v>
      </c>
      <c r="S137" s="88">
        <f t="shared" si="24"/>
        <v>0</v>
      </c>
      <c r="T137" s="88">
        <f t="shared" si="25"/>
        <v>0</v>
      </c>
      <c r="U137" s="88">
        <f t="shared" si="26"/>
        <v>0</v>
      </c>
      <c r="V137" s="88">
        <f t="shared" si="27"/>
        <v>0</v>
      </c>
      <c r="W137" s="88">
        <f t="shared" si="28"/>
        <v>0</v>
      </c>
      <c r="X137" s="88">
        <f t="shared" si="29"/>
        <v>-300000</v>
      </c>
      <c r="Z137" s="83" t="s">
        <v>68</v>
      </c>
      <c r="AA137" s="84">
        <f>SUM(AA2:AA136)</f>
        <v>15400000</v>
      </c>
      <c r="AB137" s="85">
        <f t="shared" ref="AB137:AJ137" si="30">SUM(AB2:AB136)</f>
        <v>14500000</v>
      </c>
      <c r="AC137" s="85">
        <f t="shared" si="30"/>
        <v>13000000</v>
      </c>
      <c r="AD137" s="85">
        <f t="shared" si="30"/>
        <v>15600000</v>
      </c>
      <c r="AE137" s="85">
        <f t="shared" si="30"/>
        <v>13600000</v>
      </c>
      <c r="AF137" s="84">
        <f>SUM(AF2:AF136)</f>
        <v>14000000</v>
      </c>
      <c r="AG137" s="85">
        <f t="shared" si="30"/>
        <v>14800000</v>
      </c>
      <c r="AH137" s="85">
        <f t="shared" si="30"/>
        <v>15800000</v>
      </c>
      <c r="AI137" s="85">
        <f t="shared" si="30"/>
        <v>13800000</v>
      </c>
      <c r="AJ137" s="85">
        <f t="shared" si="30"/>
        <v>15800000</v>
      </c>
    </row>
    <row r="138" spans="1:36" ht="38.25" x14ac:dyDescent="0.25">
      <c r="A138" s="37" t="str">
        <f>'Risk Master'!B138:B221&amp;"-"&amp;'Risk Master'!D138</f>
        <v>Tropical Storm Fernand-Gulf of Mexico</v>
      </c>
      <c r="B138" s="37" t="str">
        <f>'Input Sheet year 2'!B139</f>
        <v>Thunderstorms, Tornados &amp; Tropical storms-Gulf of Mexico</v>
      </c>
      <c r="C138" s="29" t="str">
        <f>'Risk Master'!F138</f>
        <v>A88</v>
      </c>
      <c r="D138" s="73">
        <f>'Year 1 Results'!O138*-1+('Year 1 Results'!O138*'Event Trigger'!$E139*(1-'Input Sheet year 2'!H139))</f>
        <v>500000</v>
      </c>
      <c r="E138" s="73">
        <f>'Year 1 Results'!P138*-1+('Year 1 Results'!P138*'Event Trigger'!$E139*(1-'Input Sheet year 2'!I139))</f>
        <v>500000</v>
      </c>
      <c r="F138" s="73">
        <f>'Year 1 Results'!Q138*-1+('Year 1 Results'!Q138*'Event Trigger'!$E139*(1-'Input Sheet year 2'!J139))</f>
        <v>500000</v>
      </c>
      <c r="G138" s="73">
        <f>'Year 1 Results'!R138*-1+('Year 1 Results'!R138*'Event Trigger'!$E139*(1-'Input Sheet year 2'!K139))</f>
        <v>500000</v>
      </c>
      <c r="H138" s="73">
        <f>'Year 1 Results'!S138*-1+('Year 1 Results'!S138*'Event Trigger'!$E139*(1-'Input Sheet year 2'!L139))</f>
        <v>500000</v>
      </c>
      <c r="I138" s="73">
        <f>'Year 1 Results'!T138*-1+('Year 1 Results'!T138*'Event Trigger'!$E139*(1-'Input Sheet year 2'!M139))</f>
        <v>500000</v>
      </c>
      <c r="J138" s="73">
        <f>'Year 1 Results'!U138*-1+('Year 1 Results'!U138*'Event Trigger'!$E139*(1-'Input Sheet year 2'!N139))</f>
        <v>500000</v>
      </c>
      <c r="K138" s="73">
        <f>'Year 1 Results'!V138*-1+('Year 1 Results'!V138*'Event Trigger'!$E139*(1-'Input Sheet year 2'!O139))</f>
        <v>500000</v>
      </c>
      <c r="L138" s="73">
        <f>'Year 1 Results'!W138*-1+('Year 1 Results'!W138*'Event Trigger'!$E139*(1-'Input Sheet year 2'!P139))</f>
        <v>500000</v>
      </c>
      <c r="M138" s="73">
        <f>'Year 1 Results'!X138*-1+('Year 1 Results'!X138*'Event Trigger'!$E139*(1-'Input Sheet year 2'!Q139))</f>
        <v>500000</v>
      </c>
      <c r="N138" s="88"/>
      <c r="O138" s="88">
        <f t="shared" si="20"/>
        <v>-500000</v>
      </c>
      <c r="P138" s="88">
        <f t="shared" si="21"/>
        <v>-500000</v>
      </c>
      <c r="Q138" s="88">
        <f t="shared" si="22"/>
        <v>-500000</v>
      </c>
      <c r="R138" s="88">
        <f t="shared" si="23"/>
        <v>-500000</v>
      </c>
      <c r="S138" s="88">
        <f t="shared" si="24"/>
        <v>-500000</v>
      </c>
      <c r="T138" s="88">
        <f t="shared" si="25"/>
        <v>-500000</v>
      </c>
      <c r="U138" s="88">
        <f t="shared" si="26"/>
        <v>-500000</v>
      </c>
      <c r="V138" s="88">
        <f t="shared" si="27"/>
        <v>-500000</v>
      </c>
      <c r="W138" s="88">
        <f t="shared" si="28"/>
        <v>-500000</v>
      </c>
      <c r="X138" s="88">
        <f t="shared" si="29"/>
        <v>-500000</v>
      </c>
    </row>
    <row r="139" spans="1:36" x14ac:dyDescent="0.25">
      <c r="A139" s="37" t="str">
        <f>'Risk Master'!B139:B222&amp;"-"&amp;'Risk Master'!D139</f>
        <v>Earthquake-Gulf of Mexico</v>
      </c>
      <c r="B139" s="37" t="str">
        <f>'Input Sheet year 2'!B140</f>
        <v>Earthquake-Gulf of Mexico</v>
      </c>
      <c r="C139" s="29" t="str">
        <f>'Risk Master'!F139</f>
        <v>A90</v>
      </c>
      <c r="D139" s="73">
        <f>'Year 1 Results'!O139*-1+('Year 1 Results'!O139*'Event Trigger'!$E140*(1-'Input Sheet year 2'!H140))</f>
        <v>0</v>
      </c>
      <c r="E139" s="73">
        <f>'Year 1 Results'!P139*-1+('Year 1 Results'!P139*'Event Trigger'!$E140*(1-'Input Sheet year 2'!I140))</f>
        <v>0</v>
      </c>
      <c r="F139" s="73">
        <f>'Year 1 Results'!Q139*-1+('Year 1 Results'!Q139*'Event Trigger'!$E140*(1-'Input Sheet year 2'!J140))</f>
        <v>0</v>
      </c>
      <c r="G139" s="73">
        <f>'Year 1 Results'!R139*-1+('Year 1 Results'!R139*'Event Trigger'!$E140*(1-'Input Sheet year 2'!K140))</f>
        <v>0</v>
      </c>
      <c r="H139" s="73">
        <f>'Year 1 Results'!S139*-1+('Year 1 Results'!S139*'Event Trigger'!$E140*(1-'Input Sheet year 2'!L140))</f>
        <v>0</v>
      </c>
      <c r="I139" s="73">
        <f>'Year 1 Results'!T139*-1+('Year 1 Results'!T139*'Event Trigger'!$E140*(1-'Input Sheet year 2'!M140))</f>
        <v>0</v>
      </c>
      <c r="J139" s="73">
        <f>'Year 1 Results'!U139*-1+('Year 1 Results'!U139*'Event Trigger'!$E140*(1-'Input Sheet year 2'!N140))</f>
        <v>0</v>
      </c>
      <c r="K139" s="73">
        <f>'Year 1 Results'!V139*-1+('Year 1 Results'!V139*'Event Trigger'!$E140*(1-'Input Sheet year 2'!O140))</f>
        <v>0</v>
      </c>
      <c r="L139" s="73">
        <f>'Year 1 Results'!W139*-1+('Year 1 Results'!W139*'Event Trigger'!$E140*(1-'Input Sheet year 2'!P140))</f>
        <v>0</v>
      </c>
      <c r="M139" s="73">
        <f>'Year 1 Results'!X139*-1+('Year 1 Results'!X139*'Event Trigger'!$E140*(1-'Input Sheet year 2'!Q140))</f>
        <v>600000</v>
      </c>
      <c r="N139" s="88"/>
      <c r="O139" s="88">
        <f t="shared" si="20"/>
        <v>0</v>
      </c>
      <c r="P139" s="88">
        <f t="shared" si="21"/>
        <v>0</v>
      </c>
      <c r="Q139" s="88">
        <f t="shared" si="22"/>
        <v>0</v>
      </c>
      <c r="R139" s="88">
        <f t="shared" si="23"/>
        <v>0</v>
      </c>
      <c r="S139" s="88">
        <f t="shared" si="24"/>
        <v>0</v>
      </c>
      <c r="T139" s="88">
        <f t="shared" si="25"/>
        <v>0</v>
      </c>
      <c r="U139" s="88">
        <f t="shared" si="26"/>
        <v>0</v>
      </c>
      <c r="V139" s="88">
        <f t="shared" si="27"/>
        <v>0</v>
      </c>
      <c r="W139" s="88">
        <f t="shared" si="28"/>
        <v>0</v>
      </c>
      <c r="X139" s="88">
        <f t="shared" si="29"/>
        <v>-600000</v>
      </c>
    </row>
    <row r="140" spans="1:36" ht="25.5" x14ac:dyDescent="0.25">
      <c r="A140" s="37" t="str">
        <f>'Risk Master'!B140:B223&amp;"-"&amp;'Risk Master'!D140</f>
        <v>Thunderstorms, Tornados &amp; Hail-Tokyo</v>
      </c>
      <c r="B140" s="37" t="str">
        <f>'Input Sheet year 2'!B141</f>
        <v>Thunderstorms, Tornados &amp; Hail-Tokyo</v>
      </c>
      <c r="C140" s="29" t="str">
        <f>'Risk Master'!F140</f>
        <v>A93</v>
      </c>
      <c r="D140" s="73">
        <f>'Year 1 Results'!O140*-1+('Year 1 Results'!O140*'Event Trigger'!$E141*(1-'Input Sheet year 2'!H141))</f>
        <v>0</v>
      </c>
      <c r="E140" s="73">
        <f>'Year 1 Results'!P140*-1+('Year 1 Results'!P140*'Event Trigger'!$E141*(1-'Input Sheet year 2'!I141))</f>
        <v>400000</v>
      </c>
      <c r="F140" s="73">
        <f>'Year 1 Results'!Q140*-1+('Year 1 Results'!Q140*'Event Trigger'!$E141*(1-'Input Sheet year 2'!J141))</f>
        <v>0</v>
      </c>
      <c r="G140" s="73">
        <f>'Year 1 Results'!R140*-1+('Year 1 Results'!R140*'Event Trigger'!$E141*(1-'Input Sheet year 2'!K141))</f>
        <v>400000</v>
      </c>
      <c r="H140" s="73">
        <f>'Year 1 Results'!S140*-1+('Year 1 Results'!S140*'Event Trigger'!$E141*(1-'Input Sheet year 2'!L141))</f>
        <v>400000</v>
      </c>
      <c r="I140" s="73">
        <f>'Year 1 Results'!T140*-1+('Year 1 Results'!T140*'Event Trigger'!$E141*(1-'Input Sheet year 2'!M141))</f>
        <v>0</v>
      </c>
      <c r="J140" s="73">
        <f>'Year 1 Results'!U140*-1+('Year 1 Results'!U140*'Event Trigger'!$E141*(1-'Input Sheet year 2'!N141))</f>
        <v>400000</v>
      </c>
      <c r="K140" s="73">
        <f>'Year 1 Results'!V140*-1+('Year 1 Results'!V140*'Event Trigger'!$E141*(1-'Input Sheet year 2'!O141))</f>
        <v>0</v>
      </c>
      <c r="L140" s="73">
        <f>'Year 1 Results'!W140*-1+('Year 1 Results'!W140*'Event Trigger'!$E141*(1-'Input Sheet year 2'!P141))</f>
        <v>0</v>
      </c>
      <c r="M140" s="73">
        <f>'Year 1 Results'!X140*-1+('Year 1 Results'!X140*'Event Trigger'!$E141*(1-'Input Sheet year 2'!Q141))</f>
        <v>0</v>
      </c>
      <c r="N140" s="88"/>
      <c r="O140" s="88">
        <f t="shared" si="20"/>
        <v>0</v>
      </c>
      <c r="P140" s="88">
        <f t="shared" si="21"/>
        <v>-400000</v>
      </c>
      <c r="Q140" s="88">
        <f t="shared" si="22"/>
        <v>0</v>
      </c>
      <c r="R140" s="88">
        <f t="shared" si="23"/>
        <v>-400000</v>
      </c>
      <c r="S140" s="88">
        <f t="shared" si="24"/>
        <v>-400000</v>
      </c>
      <c r="T140" s="88">
        <f t="shared" si="25"/>
        <v>0</v>
      </c>
      <c r="U140" s="88">
        <f t="shared" si="26"/>
        <v>-400000</v>
      </c>
      <c r="V140" s="88">
        <f t="shared" si="27"/>
        <v>0</v>
      </c>
      <c r="W140" s="88">
        <f t="shared" si="28"/>
        <v>0</v>
      </c>
      <c r="X140" s="88">
        <f t="shared" si="29"/>
        <v>0</v>
      </c>
    </row>
    <row r="141" spans="1:36" x14ac:dyDescent="0.25">
      <c r="A141" s="37" t="str">
        <f>'Risk Master'!B141:B224&amp;"-"&amp;'Risk Master'!D141</f>
        <v>Hurricane-Typhoon -Tokyo</v>
      </c>
      <c r="B141" s="37" t="str">
        <f>'Input Sheet year 2'!B142</f>
        <v>Hurricane-Typhoon -Tokyo</v>
      </c>
      <c r="C141" s="29" t="str">
        <f>'Risk Master'!F141</f>
        <v>A93</v>
      </c>
      <c r="D141" s="73">
        <f>'Year 1 Results'!O141*-1+('Year 1 Results'!O141*'Event Trigger'!$E142*(1-'Input Sheet year 2'!H142))</f>
        <v>400000</v>
      </c>
      <c r="E141" s="73">
        <f>'Year 1 Results'!P141*-1+('Year 1 Results'!P141*'Event Trigger'!$E142*(1-'Input Sheet year 2'!I142))</f>
        <v>400000</v>
      </c>
      <c r="F141" s="73">
        <f>'Year 1 Results'!Q141*-1+('Year 1 Results'!Q141*'Event Trigger'!$E142*(1-'Input Sheet year 2'!J142))</f>
        <v>400000</v>
      </c>
      <c r="G141" s="73">
        <f>'Year 1 Results'!R141*-1+('Year 1 Results'!R141*'Event Trigger'!$E142*(1-'Input Sheet year 2'!K142))</f>
        <v>400000</v>
      </c>
      <c r="H141" s="73">
        <f>'Year 1 Results'!S141*-1+('Year 1 Results'!S141*'Event Trigger'!$E142*(1-'Input Sheet year 2'!L142))</f>
        <v>400000</v>
      </c>
      <c r="I141" s="73">
        <f>'Year 1 Results'!T141*-1+('Year 1 Results'!T141*'Event Trigger'!$E142*(1-'Input Sheet year 2'!M142))</f>
        <v>400000</v>
      </c>
      <c r="J141" s="73">
        <f>'Year 1 Results'!U141*-1+('Year 1 Results'!U141*'Event Trigger'!$E142*(1-'Input Sheet year 2'!N142))</f>
        <v>400000</v>
      </c>
      <c r="K141" s="73">
        <f>'Year 1 Results'!V141*-1+('Year 1 Results'!V141*'Event Trigger'!$E142*(1-'Input Sheet year 2'!O142))</f>
        <v>400000</v>
      </c>
      <c r="L141" s="73">
        <f>'Year 1 Results'!W141*-1+('Year 1 Results'!W141*'Event Trigger'!$E142*(1-'Input Sheet year 2'!P142))</f>
        <v>400000</v>
      </c>
      <c r="M141" s="73">
        <f>'Year 1 Results'!X141*-1+('Year 1 Results'!X141*'Event Trigger'!$E142*(1-'Input Sheet year 2'!Q142))</f>
        <v>400000</v>
      </c>
      <c r="N141" s="88"/>
      <c r="O141" s="88">
        <f t="shared" si="20"/>
        <v>0</v>
      </c>
      <c r="P141" s="88">
        <f t="shared" si="21"/>
        <v>-400000</v>
      </c>
      <c r="Q141" s="88">
        <f t="shared" si="22"/>
        <v>0</v>
      </c>
      <c r="R141" s="88">
        <f t="shared" si="23"/>
        <v>-400000</v>
      </c>
      <c r="S141" s="88">
        <f t="shared" si="24"/>
        <v>-400000</v>
      </c>
      <c r="T141" s="88">
        <f t="shared" si="25"/>
        <v>0</v>
      </c>
      <c r="U141" s="88">
        <f t="shared" si="26"/>
        <v>-400000</v>
      </c>
      <c r="V141" s="88">
        <f t="shared" si="27"/>
        <v>0</v>
      </c>
      <c r="W141" s="88">
        <f t="shared" si="28"/>
        <v>0</v>
      </c>
      <c r="X141" s="88">
        <f t="shared" si="29"/>
        <v>0</v>
      </c>
    </row>
    <row r="142" spans="1:36" x14ac:dyDescent="0.25">
      <c r="A142" s="37" t="str">
        <f>'Risk Master'!B142:B225&amp;"-"&amp;'Risk Master'!D142</f>
        <v>Earthquake-Tokyo</v>
      </c>
      <c r="B142" s="37" t="str">
        <f>'Input Sheet year 2'!B143</f>
        <v>Earthquake-Tokyo</v>
      </c>
      <c r="C142" s="29" t="str">
        <f>'Risk Master'!F142</f>
        <v>A93</v>
      </c>
      <c r="D142" s="73">
        <f>'Year 1 Results'!O142*-1+('Year 1 Results'!O142*'Event Trigger'!$E143*(1-'Input Sheet year 2'!H143))</f>
        <v>400000</v>
      </c>
      <c r="E142" s="73">
        <f>'Year 1 Results'!P142*-1+('Year 1 Results'!P142*'Event Trigger'!$E143*(1-'Input Sheet year 2'!I143))</f>
        <v>400000</v>
      </c>
      <c r="F142" s="73">
        <f>'Year 1 Results'!Q142*-1+('Year 1 Results'!Q142*'Event Trigger'!$E143*(1-'Input Sheet year 2'!J143))</f>
        <v>400000</v>
      </c>
      <c r="G142" s="73">
        <f>'Year 1 Results'!R142*-1+('Year 1 Results'!R142*'Event Trigger'!$E143*(1-'Input Sheet year 2'!K143))</f>
        <v>400000</v>
      </c>
      <c r="H142" s="73">
        <f>'Year 1 Results'!S142*-1+('Year 1 Results'!S142*'Event Trigger'!$E143*(1-'Input Sheet year 2'!L143))</f>
        <v>400000</v>
      </c>
      <c r="I142" s="73">
        <f>'Year 1 Results'!T142*-1+('Year 1 Results'!T142*'Event Trigger'!$E143*(1-'Input Sheet year 2'!M143))</f>
        <v>400000</v>
      </c>
      <c r="J142" s="73">
        <f>'Year 1 Results'!U142*-1+('Year 1 Results'!U142*'Event Trigger'!$E143*(1-'Input Sheet year 2'!N143))</f>
        <v>400000</v>
      </c>
      <c r="K142" s="73">
        <f>'Year 1 Results'!V142*-1+('Year 1 Results'!V142*'Event Trigger'!$E143*(1-'Input Sheet year 2'!O143))</f>
        <v>400000</v>
      </c>
      <c r="L142" s="73">
        <f>'Year 1 Results'!W142*-1+('Year 1 Results'!W142*'Event Trigger'!$E143*(1-'Input Sheet year 2'!P143))</f>
        <v>400000</v>
      </c>
      <c r="M142" s="73">
        <f>'Year 1 Results'!X142*-1+('Year 1 Results'!X142*'Event Trigger'!$E143*(1-'Input Sheet year 2'!Q143))</f>
        <v>400000</v>
      </c>
      <c r="N142" s="88"/>
      <c r="O142" s="88">
        <f t="shared" si="20"/>
        <v>0</v>
      </c>
      <c r="P142" s="88">
        <f t="shared" si="21"/>
        <v>-400000</v>
      </c>
      <c r="Q142" s="88">
        <f t="shared" si="22"/>
        <v>0</v>
      </c>
      <c r="R142" s="88">
        <f t="shared" si="23"/>
        <v>-400000</v>
      </c>
      <c r="S142" s="88">
        <f t="shared" si="24"/>
        <v>-400000</v>
      </c>
      <c r="T142" s="88">
        <f t="shared" si="25"/>
        <v>0</v>
      </c>
      <c r="U142" s="88">
        <f t="shared" si="26"/>
        <v>-400000</v>
      </c>
      <c r="V142" s="88">
        <f t="shared" si="27"/>
        <v>0</v>
      </c>
      <c r="W142" s="88">
        <f t="shared" si="28"/>
        <v>0</v>
      </c>
      <c r="X142" s="88">
        <f t="shared" si="29"/>
        <v>0</v>
      </c>
    </row>
    <row r="143" spans="1:36" ht="25.5" x14ac:dyDescent="0.25">
      <c r="A143" s="37" t="str">
        <f>'Risk Master'!B143:B226&amp;"-"&amp;'Risk Master'!D143</f>
        <v>Thunderstorms, Tornados &amp; Hail-Tokyo</v>
      </c>
      <c r="B143" s="37" t="str">
        <f>'Input Sheet year 2'!B144</f>
        <v>Thunderstorms, Tornados &amp; Hail-Tokyo</v>
      </c>
      <c r="C143" s="29" t="str">
        <f>'Risk Master'!F143</f>
        <v>A94</v>
      </c>
      <c r="D143" s="73">
        <f>'Year 1 Results'!O143*-1+('Year 1 Results'!O143*'Event Trigger'!$E144*(1-'Input Sheet year 2'!H144))</f>
        <v>0</v>
      </c>
      <c r="E143" s="73">
        <f>'Year 1 Results'!P143*-1+('Year 1 Results'!P143*'Event Trigger'!$E144*(1-'Input Sheet year 2'!I144))</f>
        <v>0</v>
      </c>
      <c r="F143" s="73">
        <f>'Year 1 Results'!Q143*-1+('Year 1 Results'!Q143*'Event Trigger'!$E144*(1-'Input Sheet year 2'!J144))</f>
        <v>0</v>
      </c>
      <c r="G143" s="73">
        <f>'Year 1 Results'!R143*-1+('Year 1 Results'!R143*'Event Trigger'!$E144*(1-'Input Sheet year 2'!K144))</f>
        <v>0</v>
      </c>
      <c r="H143" s="73">
        <f>'Year 1 Results'!S143*-1+('Year 1 Results'!S143*'Event Trigger'!$E144*(1-'Input Sheet year 2'!L144))</f>
        <v>0</v>
      </c>
      <c r="I143" s="73">
        <f>'Year 1 Results'!T143*-1+('Year 1 Results'!T143*'Event Trigger'!$E144*(1-'Input Sheet year 2'!M144))</f>
        <v>0</v>
      </c>
      <c r="J143" s="73">
        <f>'Year 1 Results'!U143*-1+('Year 1 Results'!U143*'Event Trigger'!$E144*(1-'Input Sheet year 2'!N144))</f>
        <v>300000</v>
      </c>
      <c r="K143" s="73">
        <f>'Year 1 Results'!V143*-1+('Year 1 Results'!V143*'Event Trigger'!$E144*(1-'Input Sheet year 2'!O144))</f>
        <v>0</v>
      </c>
      <c r="L143" s="73">
        <f>'Year 1 Results'!W143*-1+('Year 1 Results'!W143*'Event Trigger'!$E144*(1-'Input Sheet year 2'!P144))</f>
        <v>0</v>
      </c>
      <c r="M143" s="73">
        <f>'Year 1 Results'!X143*-1+('Year 1 Results'!X143*'Event Trigger'!$E144*(1-'Input Sheet year 2'!Q144))</f>
        <v>300000</v>
      </c>
      <c r="N143" s="88"/>
      <c r="O143" s="88">
        <f t="shared" si="20"/>
        <v>0</v>
      </c>
      <c r="P143" s="88">
        <f t="shared" si="21"/>
        <v>0</v>
      </c>
      <c r="Q143" s="88">
        <f t="shared" si="22"/>
        <v>0</v>
      </c>
      <c r="R143" s="88">
        <f t="shared" si="23"/>
        <v>0</v>
      </c>
      <c r="S143" s="88">
        <f t="shared" si="24"/>
        <v>0</v>
      </c>
      <c r="T143" s="88">
        <f t="shared" si="25"/>
        <v>0</v>
      </c>
      <c r="U143" s="88">
        <f t="shared" si="26"/>
        <v>-300000</v>
      </c>
      <c r="V143" s="88">
        <f t="shared" si="27"/>
        <v>0</v>
      </c>
      <c r="W143" s="88">
        <f t="shared" si="28"/>
        <v>0</v>
      </c>
      <c r="X143" s="88">
        <f t="shared" si="29"/>
        <v>-300000</v>
      </c>
    </row>
    <row r="144" spans="1:36" x14ac:dyDescent="0.25">
      <c r="A144" s="37" t="str">
        <f>'Risk Master'!B144:B227&amp;"-"&amp;'Risk Master'!D144</f>
        <v>Hurricane-Typhoon -Tokyo</v>
      </c>
      <c r="B144" s="37" t="str">
        <f>'Input Sheet year 2'!B145</f>
        <v>Hurricane-Typhoon -Tokyo</v>
      </c>
      <c r="C144" s="29" t="str">
        <f>'Risk Master'!F144</f>
        <v>A94</v>
      </c>
      <c r="D144" s="73">
        <f>'Year 1 Results'!O144*-1+('Year 1 Results'!O144*'Event Trigger'!$E145*(1-'Input Sheet year 2'!H145))</f>
        <v>300000</v>
      </c>
      <c r="E144" s="73">
        <f>'Year 1 Results'!P144*-1+('Year 1 Results'!P144*'Event Trigger'!$E145*(1-'Input Sheet year 2'!I145))</f>
        <v>300000</v>
      </c>
      <c r="F144" s="73">
        <f>'Year 1 Results'!Q144*-1+('Year 1 Results'!Q144*'Event Trigger'!$E145*(1-'Input Sheet year 2'!J145))</f>
        <v>300000</v>
      </c>
      <c r="G144" s="73">
        <f>'Year 1 Results'!R144*-1+('Year 1 Results'!R144*'Event Trigger'!$E145*(1-'Input Sheet year 2'!K145))</f>
        <v>300000</v>
      </c>
      <c r="H144" s="73">
        <f>'Year 1 Results'!S144*-1+('Year 1 Results'!S144*'Event Trigger'!$E145*(1-'Input Sheet year 2'!L145))</f>
        <v>300000</v>
      </c>
      <c r="I144" s="73">
        <f>'Year 1 Results'!T144*-1+('Year 1 Results'!T144*'Event Trigger'!$E145*(1-'Input Sheet year 2'!M145))</f>
        <v>300000</v>
      </c>
      <c r="J144" s="73">
        <f>'Year 1 Results'!U144*-1+('Year 1 Results'!U144*'Event Trigger'!$E145*(1-'Input Sheet year 2'!N145))</f>
        <v>300000</v>
      </c>
      <c r="K144" s="73">
        <f>'Year 1 Results'!V144*-1+('Year 1 Results'!V144*'Event Trigger'!$E145*(1-'Input Sheet year 2'!O145))</f>
        <v>300000</v>
      </c>
      <c r="L144" s="73">
        <f>'Year 1 Results'!W144*-1+('Year 1 Results'!W144*'Event Trigger'!$E145*(1-'Input Sheet year 2'!P145))</f>
        <v>300000</v>
      </c>
      <c r="M144" s="73">
        <f>'Year 1 Results'!X144*-1+('Year 1 Results'!X144*'Event Trigger'!$E145*(1-'Input Sheet year 2'!Q145))</f>
        <v>300000</v>
      </c>
      <c r="N144" s="88"/>
      <c r="O144" s="88">
        <f t="shared" si="20"/>
        <v>0</v>
      </c>
      <c r="P144" s="88">
        <f t="shared" si="21"/>
        <v>0</v>
      </c>
      <c r="Q144" s="88">
        <f t="shared" si="22"/>
        <v>0</v>
      </c>
      <c r="R144" s="88">
        <f t="shared" si="23"/>
        <v>0</v>
      </c>
      <c r="S144" s="88">
        <f t="shared" si="24"/>
        <v>0</v>
      </c>
      <c r="T144" s="88">
        <f t="shared" si="25"/>
        <v>0</v>
      </c>
      <c r="U144" s="88">
        <f t="shared" si="26"/>
        <v>-300000</v>
      </c>
      <c r="V144" s="88">
        <f t="shared" si="27"/>
        <v>0</v>
      </c>
      <c r="W144" s="88">
        <f t="shared" si="28"/>
        <v>0</v>
      </c>
      <c r="X144" s="88">
        <f t="shared" si="29"/>
        <v>-300000</v>
      </c>
    </row>
    <row r="145" spans="1:24" x14ac:dyDescent="0.25">
      <c r="A145" s="37" t="str">
        <f>'Risk Master'!B145:B228&amp;"-"&amp;'Risk Master'!D145</f>
        <v>Earthquake-Tokyo</v>
      </c>
      <c r="B145" s="37" t="str">
        <f>'Input Sheet year 2'!B146</f>
        <v>Earthquake-Tokyo</v>
      </c>
      <c r="C145" s="29" t="str">
        <f>'Risk Master'!F145</f>
        <v>A98</v>
      </c>
      <c r="D145" s="73">
        <f>'Year 1 Results'!O145*-1+('Year 1 Results'!O145*'Event Trigger'!$E146*(1-'Input Sheet year 2'!H146))</f>
        <v>300000</v>
      </c>
      <c r="E145" s="73">
        <f>'Year 1 Results'!P145*-1+('Year 1 Results'!P145*'Event Trigger'!$E146*(1-'Input Sheet year 2'!I146))</f>
        <v>300000</v>
      </c>
      <c r="F145" s="73">
        <f>'Year 1 Results'!Q145*-1+('Year 1 Results'!Q145*'Event Trigger'!$E146*(1-'Input Sheet year 2'!J146))</f>
        <v>300000</v>
      </c>
      <c r="G145" s="73">
        <f>'Year 1 Results'!R145*-1+('Year 1 Results'!R145*'Event Trigger'!$E146*(1-'Input Sheet year 2'!K146))</f>
        <v>300000</v>
      </c>
      <c r="H145" s="73">
        <f>'Year 1 Results'!S145*-1+('Year 1 Results'!S145*'Event Trigger'!$E146*(1-'Input Sheet year 2'!L146))</f>
        <v>300000</v>
      </c>
      <c r="I145" s="73">
        <f>'Year 1 Results'!T145*-1+('Year 1 Results'!T145*'Event Trigger'!$E146*(1-'Input Sheet year 2'!M146))</f>
        <v>300000</v>
      </c>
      <c r="J145" s="73">
        <f>'Year 1 Results'!U145*-1+('Year 1 Results'!U145*'Event Trigger'!$E146*(1-'Input Sheet year 2'!N146))</f>
        <v>300000</v>
      </c>
      <c r="K145" s="73">
        <f>'Year 1 Results'!V145*-1+('Year 1 Results'!V145*'Event Trigger'!$E146*(1-'Input Sheet year 2'!O146))</f>
        <v>300000</v>
      </c>
      <c r="L145" s="73">
        <f>'Year 1 Results'!W145*-1+('Year 1 Results'!W145*'Event Trigger'!$E146*(1-'Input Sheet year 2'!P146))</f>
        <v>300000</v>
      </c>
      <c r="M145" s="73">
        <f>'Year 1 Results'!X145*-1+('Year 1 Results'!X145*'Event Trigger'!$E146*(1-'Input Sheet year 2'!Q146))</f>
        <v>300000</v>
      </c>
      <c r="N145" s="88"/>
      <c r="O145" s="88">
        <f t="shared" si="20"/>
        <v>-300000</v>
      </c>
      <c r="P145" s="88">
        <f t="shared" si="21"/>
        <v>-300000</v>
      </c>
      <c r="Q145" s="88">
        <f t="shared" si="22"/>
        <v>-300000</v>
      </c>
      <c r="R145" s="88">
        <f t="shared" si="23"/>
        <v>-300000</v>
      </c>
      <c r="S145" s="88">
        <f t="shared" si="24"/>
        <v>-300000</v>
      </c>
      <c r="T145" s="88">
        <f t="shared" si="25"/>
        <v>-300000</v>
      </c>
      <c r="U145" s="88">
        <f t="shared" si="26"/>
        <v>-300000</v>
      </c>
      <c r="V145" s="88">
        <f t="shared" si="27"/>
        <v>-300000</v>
      </c>
      <c r="W145" s="88">
        <f t="shared" si="28"/>
        <v>-300000</v>
      </c>
      <c r="X145" s="88">
        <f t="shared" si="29"/>
        <v>-300000</v>
      </c>
    </row>
    <row r="146" spans="1:24" ht="25.5" x14ac:dyDescent="0.25">
      <c r="A146" s="37" t="str">
        <f>'Risk Master'!B146:B229&amp;"-"&amp;'Risk Master'!D146</f>
        <v>Thunderstorms, Tornados &amp; Hail-Tokyo</v>
      </c>
      <c r="B146" s="37" t="str">
        <f>'Input Sheet year 2'!B147</f>
        <v>Thunderstorms, Tornados &amp; Hail-Tokyo</v>
      </c>
      <c r="C146" s="29" t="str">
        <f>'Risk Master'!F146</f>
        <v>A99</v>
      </c>
      <c r="D146" s="73">
        <f>'Year 1 Results'!O146*-1+('Year 1 Results'!O146*'Event Trigger'!$E147*(1-'Input Sheet year 2'!H147))</f>
        <v>300000</v>
      </c>
      <c r="E146" s="73">
        <f>'Year 1 Results'!P146*-1+('Year 1 Results'!P146*'Event Trigger'!$E147*(1-'Input Sheet year 2'!I147))</f>
        <v>300000</v>
      </c>
      <c r="F146" s="73">
        <f>'Year 1 Results'!Q146*-1+('Year 1 Results'!Q146*'Event Trigger'!$E147*(1-'Input Sheet year 2'!J147))</f>
        <v>300000</v>
      </c>
      <c r="G146" s="73">
        <f>'Year 1 Results'!R146*-1+('Year 1 Results'!R146*'Event Trigger'!$E147*(1-'Input Sheet year 2'!K147))</f>
        <v>300000</v>
      </c>
      <c r="H146" s="73">
        <f>'Year 1 Results'!S146*-1+('Year 1 Results'!S146*'Event Trigger'!$E147*(1-'Input Sheet year 2'!L147))</f>
        <v>300000</v>
      </c>
      <c r="I146" s="73">
        <f>'Year 1 Results'!T146*-1+('Year 1 Results'!T146*'Event Trigger'!$E147*(1-'Input Sheet year 2'!M147))</f>
        <v>300000</v>
      </c>
      <c r="J146" s="73">
        <f>'Year 1 Results'!U146*-1+('Year 1 Results'!U146*'Event Trigger'!$E147*(1-'Input Sheet year 2'!N147))</f>
        <v>300000</v>
      </c>
      <c r="K146" s="73">
        <f>'Year 1 Results'!V146*-1+('Year 1 Results'!V146*'Event Trigger'!$E147*(1-'Input Sheet year 2'!O147))</f>
        <v>300000</v>
      </c>
      <c r="L146" s="73">
        <f>'Year 1 Results'!W146*-1+('Year 1 Results'!W146*'Event Trigger'!$E147*(1-'Input Sheet year 2'!P147))</f>
        <v>300000</v>
      </c>
      <c r="M146" s="73">
        <f>'Year 1 Results'!X146*-1+('Year 1 Results'!X146*'Event Trigger'!$E147*(1-'Input Sheet year 2'!Q147))</f>
        <v>300000</v>
      </c>
      <c r="N146" s="88"/>
      <c r="O146" s="88">
        <f t="shared" si="20"/>
        <v>-300000</v>
      </c>
      <c r="P146" s="88">
        <f t="shared" si="21"/>
        <v>-300000</v>
      </c>
      <c r="Q146" s="88">
        <f t="shared" si="22"/>
        <v>-300000</v>
      </c>
      <c r="R146" s="88">
        <f t="shared" si="23"/>
        <v>-300000</v>
      </c>
      <c r="S146" s="88">
        <f t="shared" si="24"/>
        <v>-300000</v>
      </c>
      <c r="T146" s="88">
        <f t="shared" si="25"/>
        <v>-300000</v>
      </c>
      <c r="U146" s="88">
        <f t="shared" si="26"/>
        <v>-300000</v>
      </c>
      <c r="V146" s="88">
        <f t="shared" si="27"/>
        <v>-300000</v>
      </c>
      <c r="W146" s="88">
        <f t="shared" si="28"/>
        <v>-300000</v>
      </c>
      <c r="X146" s="88">
        <f t="shared" si="29"/>
        <v>-300000</v>
      </c>
    </row>
    <row r="147" spans="1:24" x14ac:dyDescent="0.25">
      <c r="A147" s="37" t="str">
        <f>'Risk Master'!B147:B230&amp;"-"&amp;'Risk Master'!D147</f>
        <v>Fire-Tokyo</v>
      </c>
      <c r="B147" s="37" t="str">
        <f>'Input Sheet year 2'!B148</f>
        <v>Fire-Tokyo</v>
      </c>
      <c r="C147" s="29" t="str">
        <f>'Risk Master'!F147</f>
        <v>A103</v>
      </c>
      <c r="D147" s="73">
        <f>'Year 1 Results'!O147*-1+('Year 1 Results'!O147*'Event Trigger'!$E148*(1-'Input Sheet year 2'!H148))</f>
        <v>200000</v>
      </c>
      <c r="E147" s="73">
        <f>'Year 1 Results'!P147*-1+('Year 1 Results'!P147*'Event Trigger'!$E148*(1-'Input Sheet year 2'!I148))</f>
        <v>200000</v>
      </c>
      <c r="F147" s="73">
        <f>'Year 1 Results'!Q147*-1+('Year 1 Results'!Q147*'Event Trigger'!$E148*(1-'Input Sheet year 2'!J148))</f>
        <v>200000</v>
      </c>
      <c r="G147" s="73">
        <f>'Year 1 Results'!R147*-1+('Year 1 Results'!R147*'Event Trigger'!$E148*(1-'Input Sheet year 2'!K148))</f>
        <v>200000</v>
      </c>
      <c r="H147" s="73">
        <f>'Year 1 Results'!S147*-1+('Year 1 Results'!S147*'Event Trigger'!$E148*(1-'Input Sheet year 2'!L148))</f>
        <v>200000</v>
      </c>
      <c r="I147" s="73">
        <f>'Year 1 Results'!T147*-1+('Year 1 Results'!T147*'Event Trigger'!$E148*(1-'Input Sheet year 2'!M148))</f>
        <v>200000</v>
      </c>
      <c r="J147" s="73">
        <f>'Year 1 Results'!U147*-1+('Year 1 Results'!U147*'Event Trigger'!$E148*(1-'Input Sheet year 2'!N148))</f>
        <v>200000</v>
      </c>
      <c r="K147" s="73">
        <f>'Year 1 Results'!V147*-1+('Year 1 Results'!V147*'Event Trigger'!$E148*(1-'Input Sheet year 2'!O148))</f>
        <v>200000</v>
      </c>
      <c r="L147" s="73">
        <f>'Year 1 Results'!W147*-1+('Year 1 Results'!W147*'Event Trigger'!$E148*(1-'Input Sheet year 2'!P148))</f>
        <v>200000</v>
      </c>
      <c r="M147" s="73">
        <f>'Year 1 Results'!X147*-1+('Year 1 Results'!X147*'Event Trigger'!$E148*(1-'Input Sheet year 2'!Q148))</f>
        <v>200000</v>
      </c>
      <c r="N147" s="88"/>
      <c r="O147" s="88">
        <f t="shared" si="20"/>
        <v>-200000</v>
      </c>
      <c r="P147" s="88">
        <f t="shared" si="21"/>
        <v>-200000</v>
      </c>
      <c r="Q147" s="88">
        <f t="shared" si="22"/>
        <v>-200000</v>
      </c>
      <c r="R147" s="88">
        <f t="shared" si="23"/>
        <v>-200000</v>
      </c>
      <c r="S147" s="88">
        <f t="shared" si="24"/>
        <v>-200000</v>
      </c>
      <c r="T147" s="88">
        <f t="shared" si="25"/>
        <v>-200000</v>
      </c>
      <c r="U147" s="88">
        <f t="shared" si="26"/>
        <v>-200000</v>
      </c>
      <c r="V147" s="88">
        <f t="shared" si="27"/>
        <v>-200000</v>
      </c>
      <c r="W147" s="88">
        <f t="shared" si="28"/>
        <v>-200000</v>
      </c>
      <c r="X147" s="88">
        <f t="shared" si="29"/>
        <v>-200000</v>
      </c>
    </row>
    <row r="148" spans="1:24" x14ac:dyDescent="0.25">
      <c r="A148" s="37" t="str">
        <f>'Risk Master'!B148:B231&amp;"-"&amp;'Risk Master'!D148</f>
        <v>Earthquake-Tokyo</v>
      </c>
      <c r="B148" s="37" t="str">
        <f>'Input Sheet year 2'!B149</f>
        <v>Earthquake-Tokyo</v>
      </c>
      <c r="C148" s="29" t="str">
        <f>'Risk Master'!F148</f>
        <v>A103</v>
      </c>
      <c r="D148" s="73">
        <f>'Year 1 Results'!O148*-1+('Year 1 Results'!O148*'Event Trigger'!$E149*(1-'Input Sheet year 2'!H149))</f>
        <v>200000</v>
      </c>
      <c r="E148" s="73">
        <f>'Year 1 Results'!P148*-1+('Year 1 Results'!P148*'Event Trigger'!$E149*(1-'Input Sheet year 2'!I149))</f>
        <v>200000</v>
      </c>
      <c r="F148" s="73">
        <f>'Year 1 Results'!Q148*-1+('Year 1 Results'!Q148*'Event Trigger'!$E149*(1-'Input Sheet year 2'!J149))</f>
        <v>200000</v>
      </c>
      <c r="G148" s="73">
        <f>'Year 1 Results'!R148*-1+('Year 1 Results'!R148*'Event Trigger'!$E149*(1-'Input Sheet year 2'!K149))</f>
        <v>200000</v>
      </c>
      <c r="H148" s="73">
        <f>'Year 1 Results'!S148*-1+('Year 1 Results'!S148*'Event Trigger'!$E149*(1-'Input Sheet year 2'!L149))</f>
        <v>200000</v>
      </c>
      <c r="I148" s="73">
        <f>'Year 1 Results'!T148*-1+('Year 1 Results'!T148*'Event Trigger'!$E149*(1-'Input Sheet year 2'!M149))</f>
        <v>200000</v>
      </c>
      <c r="J148" s="73">
        <f>'Year 1 Results'!U148*-1+('Year 1 Results'!U148*'Event Trigger'!$E149*(1-'Input Sheet year 2'!N149))</f>
        <v>200000</v>
      </c>
      <c r="K148" s="73">
        <f>'Year 1 Results'!V148*-1+('Year 1 Results'!V148*'Event Trigger'!$E149*(1-'Input Sheet year 2'!O149))</f>
        <v>200000</v>
      </c>
      <c r="L148" s="73">
        <f>'Year 1 Results'!W148*-1+('Year 1 Results'!W148*'Event Trigger'!$E149*(1-'Input Sheet year 2'!P149))</f>
        <v>200000</v>
      </c>
      <c r="M148" s="73">
        <f>'Year 1 Results'!X148*-1+('Year 1 Results'!X148*'Event Trigger'!$E149*(1-'Input Sheet year 2'!Q149))</f>
        <v>200000</v>
      </c>
      <c r="N148" s="88"/>
      <c r="O148" s="88">
        <f t="shared" si="20"/>
        <v>-200000</v>
      </c>
      <c r="P148" s="88">
        <f t="shared" si="21"/>
        <v>-200000</v>
      </c>
      <c r="Q148" s="88">
        <f t="shared" si="22"/>
        <v>-200000</v>
      </c>
      <c r="R148" s="88">
        <f t="shared" si="23"/>
        <v>-200000</v>
      </c>
      <c r="S148" s="88">
        <f t="shared" si="24"/>
        <v>-200000</v>
      </c>
      <c r="T148" s="88">
        <f t="shared" si="25"/>
        <v>-200000</v>
      </c>
      <c r="U148" s="88">
        <f t="shared" si="26"/>
        <v>-200000</v>
      </c>
      <c r="V148" s="88">
        <f t="shared" si="27"/>
        <v>-200000</v>
      </c>
      <c r="W148" s="88">
        <f t="shared" si="28"/>
        <v>-200000</v>
      </c>
      <c r="X148" s="88">
        <f t="shared" si="29"/>
        <v>-200000</v>
      </c>
    </row>
    <row r="149" spans="1:24" ht="25.5" x14ac:dyDescent="0.25">
      <c r="A149" s="37" t="str">
        <f>'Risk Master'!B149:B232&amp;"-"&amp;'Risk Master'!D149</f>
        <v>Thunderstorms, Tornados &amp; Hail-Tokyo</v>
      </c>
      <c r="B149" s="37" t="str">
        <f>'Input Sheet year 2'!B150</f>
        <v>Thunderstorms, Tornados &amp; Hail-Tokyo</v>
      </c>
      <c r="C149" s="29" t="str">
        <f>'Risk Master'!F149</f>
        <v>A105</v>
      </c>
      <c r="D149" s="73">
        <f>'Year 1 Results'!O149*-1+('Year 1 Results'!O149*'Event Trigger'!$E150*(1-'Input Sheet year 2'!H150))</f>
        <v>0</v>
      </c>
      <c r="E149" s="73">
        <f>'Year 1 Results'!P149*-1+('Year 1 Results'!P149*'Event Trigger'!$E150*(1-'Input Sheet year 2'!I150))</f>
        <v>0</v>
      </c>
      <c r="F149" s="73">
        <f>'Year 1 Results'!Q149*-1+('Year 1 Results'!Q149*'Event Trigger'!$E150*(1-'Input Sheet year 2'!J150))</f>
        <v>0</v>
      </c>
      <c r="G149" s="73">
        <f>'Year 1 Results'!R149*-1+('Year 1 Results'!R149*'Event Trigger'!$E150*(1-'Input Sheet year 2'!K150))</f>
        <v>0</v>
      </c>
      <c r="H149" s="73">
        <f>'Year 1 Results'!S149*-1+('Year 1 Results'!S149*'Event Trigger'!$E150*(1-'Input Sheet year 2'!L150))</f>
        <v>0</v>
      </c>
      <c r="I149" s="73">
        <f>'Year 1 Results'!T149*-1+('Year 1 Results'!T149*'Event Trigger'!$E150*(1-'Input Sheet year 2'!M150))</f>
        <v>0</v>
      </c>
      <c r="J149" s="73">
        <f>'Year 1 Results'!U149*-1+('Year 1 Results'!U149*'Event Trigger'!$E150*(1-'Input Sheet year 2'!N150))</f>
        <v>400000</v>
      </c>
      <c r="K149" s="73">
        <f>'Year 1 Results'!V149*-1+('Year 1 Results'!V149*'Event Trigger'!$E150*(1-'Input Sheet year 2'!O150))</f>
        <v>0</v>
      </c>
      <c r="L149" s="73">
        <f>'Year 1 Results'!W149*-1+('Year 1 Results'!W149*'Event Trigger'!$E150*(1-'Input Sheet year 2'!P150))</f>
        <v>0</v>
      </c>
      <c r="M149" s="73">
        <f>'Year 1 Results'!X149*-1+('Year 1 Results'!X149*'Event Trigger'!$E150*(1-'Input Sheet year 2'!Q150))</f>
        <v>400000</v>
      </c>
      <c r="N149" s="88"/>
      <c r="O149" s="88">
        <f t="shared" si="20"/>
        <v>0</v>
      </c>
      <c r="P149" s="88">
        <f t="shared" si="21"/>
        <v>0</v>
      </c>
      <c r="Q149" s="88">
        <f t="shared" si="22"/>
        <v>0</v>
      </c>
      <c r="R149" s="88">
        <f t="shared" si="23"/>
        <v>0</v>
      </c>
      <c r="S149" s="88">
        <f t="shared" si="24"/>
        <v>0</v>
      </c>
      <c r="T149" s="88">
        <f t="shared" si="25"/>
        <v>0</v>
      </c>
      <c r="U149" s="88">
        <f t="shared" si="26"/>
        <v>-400000</v>
      </c>
      <c r="V149" s="88">
        <f t="shared" si="27"/>
        <v>0</v>
      </c>
      <c r="W149" s="88">
        <f t="shared" si="28"/>
        <v>0</v>
      </c>
      <c r="X149" s="88">
        <f t="shared" si="29"/>
        <v>-400000</v>
      </c>
    </row>
    <row r="150" spans="1:24" x14ac:dyDescent="0.25">
      <c r="A150" s="37" t="str">
        <f>'Risk Master'!B150:B233&amp;"-"&amp;'Risk Master'!D150</f>
        <v>Hurricane-Typhoon -Tokyo</v>
      </c>
      <c r="B150" s="37" t="str">
        <f>'Input Sheet year 2'!B151</f>
        <v>Hurricane-Typhoon -Tokyo</v>
      </c>
      <c r="C150" s="29" t="str">
        <f>'Risk Master'!F150</f>
        <v>A105</v>
      </c>
      <c r="D150" s="73">
        <f>'Year 1 Results'!O150*-1+('Year 1 Results'!O150*'Event Trigger'!$E151*(1-'Input Sheet year 2'!H151))</f>
        <v>400000</v>
      </c>
      <c r="E150" s="73">
        <f>'Year 1 Results'!P150*-1+('Year 1 Results'!P150*'Event Trigger'!$E151*(1-'Input Sheet year 2'!I151))</f>
        <v>400000</v>
      </c>
      <c r="F150" s="73">
        <f>'Year 1 Results'!Q150*-1+('Year 1 Results'!Q150*'Event Trigger'!$E151*(1-'Input Sheet year 2'!J151))</f>
        <v>400000</v>
      </c>
      <c r="G150" s="73">
        <f>'Year 1 Results'!R150*-1+('Year 1 Results'!R150*'Event Trigger'!$E151*(1-'Input Sheet year 2'!K151))</f>
        <v>400000</v>
      </c>
      <c r="H150" s="73">
        <f>'Year 1 Results'!S150*-1+('Year 1 Results'!S150*'Event Trigger'!$E151*(1-'Input Sheet year 2'!L151))</f>
        <v>400000</v>
      </c>
      <c r="I150" s="73">
        <f>'Year 1 Results'!T150*-1+('Year 1 Results'!T150*'Event Trigger'!$E151*(1-'Input Sheet year 2'!M151))</f>
        <v>400000</v>
      </c>
      <c r="J150" s="73">
        <f>'Year 1 Results'!U150*-1+('Year 1 Results'!U150*'Event Trigger'!$E151*(1-'Input Sheet year 2'!N151))</f>
        <v>400000</v>
      </c>
      <c r="K150" s="73">
        <f>'Year 1 Results'!V150*-1+('Year 1 Results'!V150*'Event Trigger'!$E151*(1-'Input Sheet year 2'!O151))</f>
        <v>400000</v>
      </c>
      <c r="L150" s="73">
        <f>'Year 1 Results'!W150*-1+('Year 1 Results'!W150*'Event Trigger'!$E151*(1-'Input Sheet year 2'!P151))</f>
        <v>400000</v>
      </c>
      <c r="M150" s="73">
        <f>'Year 1 Results'!X150*-1+('Year 1 Results'!X150*'Event Trigger'!$E151*(1-'Input Sheet year 2'!Q151))</f>
        <v>400000</v>
      </c>
      <c r="N150" s="88"/>
      <c r="O150" s="88">
        <f t="shared" si="20"/>
        <v>0</v>
      </c>
      <c r="P150" s="88">
        <f t="shared" si="21"/>
        <v>0</v>
      </c>
      <c r="Q150" s="88">
        <f t="shared" si="22"/>
        <v>0</v>
      </c>
      <c r="R150" s="88">
        <f t="shared" si="23"/>
        <v>0</v>
      </c>
      <c r="S150" s="88">
        <f t="shared" si="24"/>
        <v>0</v>
      </c>
      <c r="T150" s="88">
        <f t="shared" si="25"/>
        <v>0</v>
      </c>
      <c r="U150" s="88">
        <f t="shared" si="26"/>
        <v>-400000</v>
      </c>
      <c r="V150" s="88">
        <f t="shared" si="27"/>
        <v>0</v>
      </c>
      <c r="W150" s="88">
        <f t="shared" si="28"/>
        <v>0</v>
      </c>
      <c r="X150" s="88">
        <f t="shared" si="29"/>
        <v>-400000</v>
      </c>
    </row>
    <row r="151" spans="1:24" x14ac:dyDescent="0.25">
      <c r="A151" s="37" t="str">
        <f>'Risk Master'!B151:B234&amp;"-"&amp;'Risk Master'!D151</f>
        <v>Earthquake-Tokyo</v>
      </c>
      <c r="B151" s="37" t="str">
        <f>'Input Sheet year 2'!B152</f>
        <v>Earthquake-Tokyo</v>
      </c>
      <c r="C151" s="29" t="str">
        <f>'Risk Master'!F151</f>
        <v>A105</v>
      </c>
      <c r="D151" s="73">
        <f>'Year 1 Results'!O151*-1+('Year 1 Results'!O151*'Event Trigger'!$E152*(1-'Input Sheet year 2'!H152))</f>
        <v>400000</v>
      </c>
      <c r="E151" s="73">
        <f>'Year 1 Results'!P151*-1+('Year 1 Results'!P151*'Event Trigger'!$E152*(1-'Input Sheet year 2'!I152))</f>
        <v>400000</v>
      </c>
      <c r="F151" s="73">
        <f>'Year 1 Results'!Q151*-1+('Year 1 Results'!Q151*'Event Trigger'!$E152*(1-'Input Sheet year 2'!J152))</f>
        <v>400000</v>
      </c>
      <c r="G151" s="73">
        <f>'Year 1 Results'!R151*-1+('Year 1 Results'!R151*'Event Trigger'!$E152*(1-'Input Sheet year 2'!K152))</f>
        <v>400000</v>
      </c>
      <c r="H151" s="73">
        <f>'Year 1 Results'!S151*-1+('Year 1 Results'!S151*'Event Trigger'!$E152*(1-'Input Sheet year 2'!L152))</f>
        <v>400000</v>
      </c>
      <c r="I151" s="73">
        <f>'Year 1 Results'!T151*-1+('Year 1 Results'!T151*'Event Trigger'!$E152*(1-'Input Sheet year 2'!M152))</f>
        <v>400000</v>
      </c>
      <c r="J151" s="73">
        <f>'Year 1 Results'!U151*-1+('Year 1 Results'!U151*'Event Trigger'!$E152*(1-'Input Sheet year 2'!N152))</f>
        <v>400000</v>
      </c>
      <c r="K151" s="73">
        <f>'Year 1 Results'!V151*-1+('Year 1 Results'!V151*'Event Trigger'!$E152*(1-'Input Sheet year 2'!O152))</f>
        <v>400000</v>
      </c>
      <c r="L151" s="73">
        <f>'Year 1 Results'!W151*-1+('Year 1 Results'!W151*'Event Trigger'!$E152*(1-'Input Sheet year 2'!P152))</f>
        <v>400000</v>
      </c>
      <c r="M151" s="73">
        <f>'Year 1 Results'!X151*-1+('Year 1 Results'!X151*'Event Trigger'!$E152*(1-'Input Sheet year 2'!Q152))</f>
        <v>400000</v>
      </c>
      <c r="N151" s="88"/>
      <c r="O151" s="88">
        <f t="shared" si="20"/>
        <v>0</v>
      </c>
      <c r="P151" s="88">
        <f t="shared" si="21"/>
        <v>0</v>
      </c>
      <c r="Q151" s="88">
        <f t="shared" si="22"/>
        <v>0</v>
      </c>
      <c r="R151" s="88">
        <f t="shared" si="23"/>
        <v>0</v>
      </c>
      <c r="S151" s="88">
        <f t="shared" si="24"/>
        <v>0</v>
      </c>
      <c r="T151" s="88">
        <f t="shared" si="25"/>
        <v>0</v>
      </c>
      <c r="U151" s="88">
        <f t="shared" si="26"/>
        <v>-400000</v>
      </c>
      <c r="V151" s="88">
        <f t="shared" si="27"/>
        <v>0</v>
      </c>
      <c r="W151" s="88">
        <f t="shared" si="28"/>
        <v>0</v>
      </c>
      <c r="X151" s="88">
        <f t="shared" si="29"/>
        <v>-400000</v>
      </c>
    </row>
    <row r="152" spans="1:24" x14ac:dyDescent="0.25">
      <c r="A152" s="37" t="str">
        <f>'Risk Master'!B152:B235&amp;"-"&amp;'Risk Master'!D152</f>
        <v>Fire-Tokyo</v>
      </c>
      <c r="B152" s="37" t="str">
        <f>'Input Sheet year 2'!B153</f>
        <v>Fire-Tokyo</v>
      </c>
      <c r="C152" s="29" t="str">
        <f>'Risk Master'!F152</f>
        <v>A94</v>
      </c>
      <c r="D152" s="73">
        <f>'Year 1 Results'!O152*-1+('Year 1 Results'!O152*'Event Trigger'!$E153*(1-'Input Sheet year 2'!H153))</f>
        <v>300000</v>
      </c>
      <c r="E152" s="73">
        <f>'Year 1 Results'!P152*-1+('Year 1 Results'!P152*'Event Trigger'!$E153*(1-'Input Sheet year 2'!I153))</f>
        <v>300000</v>
      </c>
      <c r="F152" s="73">
        <f>'Year 1 Results'!Q152*-1+('Year 1 Results'!Q152*'Event Trigger'!$E153*(1-'Input Sheet year 2'!J153))</f>
        <v>300000</v>
      </c>
      <c r="G152" s="73">
        <f>'Year 1 Results'!R152*-1+('Year 1 Results'!R152*'Event Trigger'!$E153*(1-'Input Sheet year 2'!K153))</f>
        <v>300000</v>
      </c>
      <c r="H152" s="73">
        <f>'Year 1 Results'!S152*-1+('Year 1 Results'!S152*'Event Trigger'!$E153*(1-'Input Sheet year 2'!L153))</f>
        <v>300000</v>
      </c>
      <c r="I152" s="73">
        <f>'Year 1 Results'!T152*-1+('Year 1 Results'!T152*'Event Trigger'!$E153*(1-'Input Sheet year 2'!M153))</f>
        <v>300000</v>
      </c>
      <c r="J152" s="73">
        <f>'Year 1 Results'!U152*-1+('Year 1 Results'!U152*'Event Trigger'!$E153*(1-'Input Sheet year 2'!N153))</f>
        <v>300000</v>
      </c>
      <c r="K152" s="73">
        <f>'Year 1 Results'!V152*-1+('Year 1 Results'!V152*'Event Trigger'!$E153*(1-'Input Sheet year 2'!O153))</f>
        <v>300000</v>
      </c>
      <c r="L152" s="73">
        <f>'Year 1 Results'!W152*-1+('Year 1 Results'!W152*'Event Trigger'!$E153*(1-'Input Sheet year 2'!P153))</f>
        <v>300000</v>
      </c>
      <c r="M152" s="73">
        <f>'Year 1 Results'!X152*-1+('Year 1 Results'!X152*'Event Trigger'!$E153*(1-'Input Sheet year 2'!Q153))</f>
        <v>300000</v>
      </c>
      <c r="N152" s="88"/>
      <c r="O152" s="88">
        <f t="shared" si="20"/>
        <v>0</v>
      </c>
      <c r="P152" s="88">
        <f t="shared" si="21"/>
        <v>0</v>
      </c>
      <c r="Q152" s="88">
        <f t="shared" si="22"/>
        <v>0</v>
      </c>
      <c r="R152" s="88">
        <f t="shared" si="23"/>
        <v>0</v>
      </c>
      <c r="S152" s="88">
        <f t="shared" si="24"/>
        <v>0</v>
      </c>
      <c r="T152" s="88">
        <f t="shared" si="25"/>
        <v>0</v>
      </c>
      <c r="U152" s="88">
        <f t="shared" si="26"/>
        <v>-300000</v>
      </c>
      <c r="V152" s="88">
        <f t="shared" si="27"/>
        <v>0</v>
      </c>
      <c r="W152" s="88">
        <f t="shared" si="28"/>
        <v>0</v>
      </c>
      <c r="X152" s="88">
        <f t="shared" si="29"/>
        <v>-300000</v>
      </c>
    </row>
    <row r="153" spans="1:24" ht="25.5" x14ac:dyDescent="0.25">
      <c r="A153" s="37" t="str">
        <f>'Risk Master'!B153:B236&amp;"-"&amp;'Risk Master'!D153</f>
        <v>Thunderstorms, Tornados &amp; Hail-Tokyo</v>
      </c>
      <c r="B153" s="37" t="str">
        <f>'Input Sheet year 2'!B154</f>
        <v>Thunderstorms, Tornados &amp; Hail-Tokyo</v>
      </c>
      <c r="C153" s="29" t="str">
        <f>'Risk Master'!F153</f>
        <v>A98</v>
      </c>
      <c r="D153" s="73">
        <f>'Year 1 Results'!O153*-1+('Year 1 Results'!O153*'Event Trigger'!$E154*(1-'Input Sheet year 2'!H154))</f>
        <v>300000</v>
      </c>
      <c r="E153" s="73">
        <f>'Year 1 Results'!P153*-1+('Year 1 Results'!P153*'Event Trigger'!$E154*(1-'Input Sheet year 2'!I154))</f>
        <v>300000</v>
      </c>
      <c r="F153" s="73">
        <f>'Year 1 Results'!Q153*-1+('Year 1 Results'!Q153*'Event Trigger'!$E154*(1-'Input Sheet year 2'!J154))</f>
        <v>300000</v>
      </c>
      <c r="G153" s="73">
        <f>'Year 1 Results'!R153*-1+('Year 1 Results'!R153*'Event Trigger'!$E154*(1-'Input Sheet year 2'!K154))</f>
        <v>300000</v>
      </c>
      <c r="H153" s="73">
        <f>'Year 1 Results'!S153*-1+('Year 1 Results'!S153*'Event Trigger'!$E154*(1-'Input Sheet year 2'!L154))</f>
        <v>300000</v>
      </c>
      <c r="I153" s="73">
        <f>'Year 1 Results'!T153*-1+('Year 1 Results'!T153*'Event Trigger'!$E154*(1-'Input Sheet year 2'!M154))</f>
        <v>300000</v>
      </c>
      <c r="J153" s="73">
        <f>'Year 1 Results'!U153*-1+('Year 1 Results'!U153*'Event Trigger'!$E154*(1-'Input Sheet year 2'!N154))</f>
        <v>300000</v>
      </c>
      <c r="K153" s="73">
        <f>'Year 1 Results'!V153*-1+('Year 1 Results'!V153*'Event Trigger'!$E154*(1-'Input Sheet year 2'!O154))</f>
        <v>300000</v>
      </c>
      <c r="L153" s="73">
        <f>'Year 1 Results'!W153*-1+('Year 1 Results'!W153*'Event Trigger'!$E154*(1-'Input Sheet year 2'!P154))</f>
        <v>300000</v>
      </c>
      <c r="M153" s="73">
        <f>'Year 1 Results'!X153*-1+('Year 1 Results'!X153*'Event Trigger'!$E154*(1-'Input Sheet year 2'!Q154))</f>
        <v>300000</v>
      </c>
      <c r="N153" s="88"/>
      <c r="O153" s="88">
        <f t="shared" si="20"/>
        <v>-300000</v>
      </c>
      <c r="P153" s="88">
        <f t="shared" si="21"/>
        <v>-300000</v>
      </c>
      <c r="Q153" s="88">
        <f t="shared" si="22"/>
        <v>-300000</v>
      </c>
      <c r="R153" s="88">
        <f t="shared" si="23"/>
        <v>-300000</v>
      </c>
      <c r="S153" s="88">
        <f t="shared" si="24"/>
        <v>-300000</v>
      </c>
      <c r="T153" s="88">
        <f t="shared" si="25"/>
        <v>-300000</v>
      </c>
      <c r="U153" s="88">
        <f t="shared" si="26"/>
        <v>-300000</v>
      </c>
      <c r="V153" s="88">
        <f t="shared" si="27"/>
        <v>-300000</v>
      </c>
      <c r="W153" s="88">
        <f t="shared" si="28"/>
        <v>-300000</v>
      </c>
      <c r="X153" s="88">
        <f t="shared" si="29"/>
        <v>-300000</v>
      </c>
    </row>
    <row r="154" spans="1:24" x14ac:dyDescent="0.25">
      <c r="A154" s="37" t="str">
        <f>'Risk Master'!B154:B237&amp;"-"&amp;'Risk Master'!D154</f>
        <v>Tropical Storm Danas-Tokyo</v>
      </c>
      <c r="B154" s="37" t="str">
        <f>'Input Sheet year 2'!B155</f>
        <v>Tropical Storm-Tokyo</v>
      </c>
      <c r="C154" s="29" t="str">
        <f>'Risk Master'!F154</f>
        <v>A99</v>
      </c>
      <c r="D154" s="73">
        <f>'Year 1 Results'!O154*-1+('Year 1 Results'!O154*'Event Trigger'!$E155*(1-'Input Sheet year 2'!H155))</f>
        <v>300000</v>
      </c>
      <c r="E154" s="73">
        <f>'Year 1 Results'!P154*-1+('Year 1 Results'!P154*'Event Trigger'!$E155*(1-'Input Sheet year 2'!I155))</f>
        <v>300000</v>
      </c>
      <c r="F154" s="73">
        <f>'Year 1 Results'!Q154*-1+('Year 1 Results'!Q154*'Event Trigger'!$E155*(1-'Input Sheet year 2'!J155))</f>
        <v>300000</v>
      </c>
      <c r="G154" s="73">
        <f>'Year 1 Results'!R154*-1+('Year 1 Results'!R154*'Event Trigger'!$E155*(1-'Input Sheet year 2'!K155))</f>
        <v>300000</v>
      </c>
      <c r="H154" s="73">
        <f>'Year 1 Results'!S154*-1+('Year 1 Results'!S154*'Event Trigger'!$E155*(1-'Input Sheet year 2'!L155))</f>
        <v>300000</v>
      </c>
      <c r="I154" s="73">
        <f>'Year 1 Results'!T154*-1+('Year 1 Results'!T154*'Event Trigger'!$E155*(1-'Input Sheet year 2'!M155))</f>
        <v>300000</v>
      </c>
      <c r="J154" s="73">
        <f>'Year 1 Results'!U154*-1+('Year 1 Results'!U154*'Event Trigger'!$E155*(1-'Input Sheet year 2'!N155))</f>
        <v>300000</v>
      </c>
      <c r="K154" s="73">
        <f>'Year 1 Results'!V154*-1+('Year 1 Results'!V154*'Event Trigger'!$E155*(1-'Input Sheet year 2'!O155))</f>
        <v>300000</v>
      </c>
      <c r="L154" s="73">
        <f>'Year 1 Results'!W154*-1+('Year 1 Results'!W154*'Event Trigger'!$E155*(1-'Input Sheet year 2'!P155))</f>
        <v>300000</v>
      </c>
      <c r="M154" s="73">
        <f>'Year 1 Results'!X154*-1+('Year 1 Results'!X154*'Event Trigger'!$E155*(1-'Input Sheet year 2'!Q155))</f>
        <v>300000</v>
      </c>
      <c r="N154" s="88"/>
      <c r="O154" s="88">
        <f t="shared" si="20"/>
        <v>-300000</v>
      </c>
      <c r="P154" s="88">
        <f t="shared" si="21"/>
        <v>-300000</v>
      </c>
      <c r="Q154" s="88">
        <f t="shared" si="22"/>
        <v>-300000</v>
      </c>
      <c r="R154" s="88">
        <f t="shared" si="23"/>
        <v>-300000</v>
      </c>
      <c r="S154" s="88">
        <f t="shared" si="24"/>
        <v>-300000</v>
      </c>
      <c r="T154" s="88">
        <f t="shared" si="25"/>
        <v>-300000</v>
      </c>
      <c r="U154" s="88">
        <f t="shared" si="26"/>
        <v>-300000</v>
      </c>
      <c r="V154" s="88">
        <f t="shared" si="27"/>
        <v>-300000</v>
      </c>
      <c r="W154" s="88">
        <f t="shared" si="28"/>
        <v>-300000</v>
      </c>
      <c r="X154" s="88">
        <f t="shared" si="29"/>
        <v>-300000</v>
      </c>
    </row>
    <row r="155" spans="1:24" x14ac:dyDescent="0.25">
      <c r="A155" s="37" t="str">
        <f>'Risk Master'!B155:B238&amp;"-"&amp;'Risk Master'!D155</f>
        <v>Earthquake-Tokyo</v>
      </c>
      <c r="B155" s="37" t="str">
        <f>'Input Sheet year 2'!B156</f>
        <v>Earthquake-Tokyo</v>
      </c>
      <c r="C155" s="29" t="str">
        <f>'Risk Master'!F155</f>
        <v>A98</v>
      </c>
      <c r="D155" s="73">
        <f>'Year 1 Results'!O155*-1+('Year 1 Results'!O155*'Event Trigger'!$E156*(1-'Input Sheet year 2'!H156))</f>
        <v>300000</v>
      </c>
      <c r="E155" s="73">
        <f>'Year 1 Results'!P155*-1+('Year 1 Results'!P155*'Event Trigger'!$E156*(1-'Input Sheet year 2'!I156))</f>
        <v>300000</v>
      </c>
      <c r="F155" s="73">
        <f>'Year 1 Results'!Q155*-1+('Year 1 Results'!Q155*'Event Trigger'!$E156*(1-'Input Sheet year 2'!J156))</f>
        <v>300000</v>
      </c>
      <c r="G155" s="73">
        <f>'Year 1 Results'!R155*-1+('Year 1 Results'!R155*'Event Trigger'!$E156*(1-'Input Sheet year 2'!K156))</f>
        <v>300000</v>
      </c>
      <c r="H155" s="73">
        <f>'Year 1 Results'!S155*-1+('Year 1 Results'!S155*'Event Trigger'!$E156*(1-'Input Sheet year 2'!L156))</f>
        <v>300000</v>
      </c>
      <c r="I155" s="73">
        <f>'Year 1 Results'!T155*-1+('Year 1 Results'!T155*'Event Trigger'!$E156*(1-'Input Sheet year 2'!M156))</f>
        <v>300000</v>
      </c>
      <c r="J155" s="73">
        <f>'Year 1 Results'!U155*-1+('Year 1 Results'!U155*'Event Trigger'!$E156*(1-'Input Sheet year 2'!N156))</f>
        <v>300000</v>
      </c>
      <c r="K155" s="73">
        <f>'Year 1 Results'!V155*-1+('Year 1 Results'!V155*'Event Trigger'!$E156*(1-'Input Sheet year 2'!O156))</f>
        <v>300000</v>
      </c>
      <c r="L155" s="73">
        <f>'Year 1 Results'!W155*-1+('Year 1 Results'!W155*'Event Trigger'!$E156*(1-'Input Sheet year 2'!P156))</f>
        <v>300000</v>
      </c>
      <c r="M155" s="73">
        <f>'Year 1 Results'!X155*-1+('Year 1 Results'!X155*'Event Trigger'!$E156*(1-'Input Sheet year 2'!Q156))</f>
        <v>300000</v>
      </c>
      <c r="N155" s="88"/>
      <c r="O155" s="88">
        <f t="shared" si="20"/>
        <v>-300000</v>
      </c>
      <c r="P155" s="88">
        <f t="shared" si="21"/>
        <v>-300000</v>
      </c>
      <c r="Q155" s="88">
        <f t="shared" si="22"/>
        <v>-300000</v>
      </c>
      <c r="R155" s="88">
        <f t="shared" si="23"/>
        <v>-300000</v>
      </c>
      <c r="S155" s="88">
        <f t="shared" si="24"/>
        <v>-300000</v>
      </c>
      <c r="T155" s="88">
        <f t="shared" si="25"/>
        <v>-300000</v>
      </c>
      <c r="U155" s="88">
        <f t="shared" si="26"/>
        <v>-300000</v>
      </c>
      <c r="V155" s="88">
        <f t="shared" si="27"/>
        <v>-300000</v>
      </c>
      <c r="W155" s="88">
        <f t="shared" si="28"/>
        <v>-300000</v>
      </c>
      <c r="X155" s="88">
        <f t="shared" si="29"/>
        <v>-300000</v>
      </c>
    </row>
    <row r="156" spans="1:24" x14ac:dyDescent="0.25">
      <c r="A156" s="37" t="str">
        <f>'Risk Master'!B156:B239&amp;"-"&amp;'Risk Master'!D156</f>
        <v>Fire-Tokyo</v>
      </c>
      <c r="B156" s="37" t="str">
        <f>'Input Sheet year 2'!B157</f>
        <v>Fire-Tokyo</v>
      </c>
      <c r="C156" s="29" t="str">
        <f>'Risk Master'!F156</f>
        <v>A99</v>
      </c>
      <c r="D156" s="73">
        <f>'Year 1 Results'!O156*-1+('Year 1 Results'!O156*'Event Trigger'!$E157*(1-'Input Sheet year 2'!H157))</f>
        <v>300000</v>
      </c>
      <c r="E156" s="73">
        <f>'Year 1 Results'!P156*-1+('Year 1 Results'!P156*'Event Trigger'!$E157*(1-'Input Sheet year 2'!I157))</f>
        <v>300000</v>
      </c>
      <c r="F156" s="73">
        <f>'Year 1 Results'!Q156*-1+('Year 1 Results'!Q156*'Event Trigger'!$E157*(1-'Input Sheet year 2'!J157))</f>
        <v>300000</v>
      </c>
      <c r="G156" s="73">
        <f>'Year 1 Results'!R156*-1+('Year 1 Results'!R156*'Event Trigger'!$E157*(1-'Input Sheet year 2'!K157))</f>
        <v>300000</v>
      </c>
      <c r="H156" s="73">
        <f>'Year 1 Results'!S156*-1+('Year 1 Results'!S156*'Event Trigger'!$E157*(1-'Input Sheet year 2'!L157))</f>
        <v>300000</v>
      </c>
      <c r="I156" s="73">
        <f>'Year 1 Results'!T156*-1+('Year 1 Results'!T156*'Event Trigger'!$E157*(1-'Input Sheet year 2'!M157))</f>
        <v>300000</v>
      </c>
      <c r="J156" s="73">
        <f>'Year 1 Results'!U156*-1+('Year 1 Results'!U156*'Event Trigger'!$E157*(1-'Input Sheet year 2'!N157))</f>
        <v>300000</v>
      </c>
      <c r="K156" s="73">
        <f>'Year 1 Results'!V156*-1+('Year 1 Results'!V156*'Event Trigger'!$E157*(1-'Input Sheet year 2'!O157))</f>
        <v>300000</v>
      </c>
      <c r="L156" s="73">
        <f>'Year 1 Results'!W156*-1+('Year 1 Results'!W156*'Event Trigger'!$E157*(1-'Input Sheet year 2'!P157))</f>
        <v>300000</v>
      </c>
      <c r="M156" s="73">
        <f>'Year 1 Results'!X156*-1+('Year 1 Results'!X156*'Event Trigger'!$E157*(1-'Input Sheet year 2'!Q157))</f>
        <v>300000</v>
      </c>
      <c r="N156" s="88"/>
      <c r="O156" s="88">
        <f t="shared" si="20"/>
        <v>-300000</v>
      </c>
      <c r="P156" s="88">
        <f t="shared" si="21"/>
        <v>-300000</v>
      </c>
      <c r="Q156" s="88">
        <f t="shared" si="22"/>
        <v>-300000</v>
      </c>
      <c r="R156" s="88">
        <f t="shared" si="23"/>
        <v>-300000</v>
      </c>
      <c r="S156" s="88">
        <f t="shared" si="24"/>
        <v>-300000</v>
      </c>
      <c r="T156" s="88">
        <f t="shared" si="25"/>
        <v>-300000</v>
      </c>
      <c r="U156" s="88">
        <f t="shared" si="26"/>
        <v>-300000</v>
      </c>
      <c r="V156" s="88">
        <f t="shared" si="27"/>
        <v>-300000</v>
      </c>
      <c r="W156" s="88">
        <f t="shared" si="28"/>
        <v>-300000</v>
      </c>
      <c r="X156" s="88">
        <f t="shared" si="29"/>
        <v>-300000</v>
      </c>
    </row>
    <row r="157" spans="1:24" x14ac:dyDescent="0.25">
      <c r="A157" s="37" t="str">
        <f>'Risk Master'!B157:B240&amp;"-"&amp;'Risk Master'!D157</f>
        <v>Fire-Tokyo</v>
      </c>
      <c r="B157" s="37" t="str">
        <f>'Input Sheet year 2'!B158</f>
        <v>Fire-Tokyo</v>
      </c>
      <c r="C157" s="29" t="str">
        <f>'Risk Master'!F157</f>
        <v>A98</v>
      </c>
      <c r="D157" s="73">
        <f>'Year 1 Results'!O157*-1+('Year 1 Results'!O157*'Event Trigger'!$E158*(1-'Input Sheet year 2'!H158))</f>
        <v>300000</v>
      </c>
      <c r="E157" s="73">
        <f>'Year 1 Results'!P157*-1+('Year 1 Results'!P157*'Event Trigger'!$E158*(1-'Input Sheet year 2'!I158))</f>
        <v>300000</v>
      </c>
      <c r="F157" s="73">
        <f>'Year 1 Results'!Q157*-1+('Year 1 Results'!Q157*'Event Trigger'!$E158*(1-'Input Sheet year 2'!J158))</f>
        <v>300000</v>
      </c>
      <c r="G157" s="73">
        <f>'Year 1 Results'!R157*-1+('Year 1 Results'!R157*'Event Trigger'!$E158*(1-'Input Sheet year 2'!K158))</f>
        <v>300000</v>
      </c>
      <c r="H157" s="73">
        <f>'Year 1 Results'!S157*-1+('Year 1 Results'!S157*'Event Trigger'!$E158*(1-'Input Sheet year 2'!L158))</f>
        <v>300000</v>
      </c>
      <c r="I157" s="73">
        <f>'Year 1 Results'!T157*-1+('Year 1 Results'!T157*'Event Trigger'!$E158*(1-'Input Sheet year 2'!M158))</f>
        <v>300000</v>
      </c>
      <c r="J157" s="73">
        <f>'Year 1 Results'!U157*-1+('Year 1 Results'!U157*'Event Trigger'!$E158*(1-'Input Sheet year 2'!N158))</f>
        <v>300000</v>
      </c>
      <c r="K157" s="73">
        <f>'Year 1 Results'!V157*-1+('Year 1 Results'!V157*'Event Trigger'!$E158*(1-'Input Sheet year 2'!O158))</f>
        <v>300000</v>
      </c>
      <c r="L157" s="73">
        <f>'Year 1 Results'!W157*-1+('Year 1 Results'!W157*'Event Trigger'!$E158*(1-'Input Sheet year 2'!P158))</f>
        <v>300000</v>
      </c>
      <c r="M157" s="73">
        <f>'Year 1 Results'!X157*-1+('Year 1 Results'!X157*'Event Trigger'!$E158*(1-'Input Sheet year 2'!Q158))</f>
        <v>300000</v>
      </c>
      <c r="N157" s="88"/>
      <c r="O157" s="88">
        <f t="shared" si="20"/>
        <v>-300000</v>
      </c>
      <c r="P157" s="88">
        <f t="shared" si="21"/>
        <v>-300000</v>
      </c>
      <c r="Q157" s="88">
        <f t="shared" si="22"/>
        <v>-300000</v>
      </c>
      <c r="R157" s="88">
        <f t="shared" si="23"/>
        <v>-300000</v>
      </c>
      <c r="S157" s="88">
        <f t="shared" si="24"/>
        <v>-300000</v>
      </c>
      <c r="T157" s="88">
        <f t="shared" si="25"/>
        <v>-300000</v>
      </c>
      <c r="U157" s="88">
        <f t="shared" si="26"/>
        <v>-300000</v>
      </c>
      <c r="V157" s="88">
        <f t="shared" si="27"/>
        <v>-300000</v>
      </c>
      <c r="W157" s="88">
        <f t="shared" si="28"/>
        <v>-300000</v>
      </c>
      <c r="X157" s="88">
        <f t="shared" si="29"/>
        <v>-300000</v>
      </c>
    </row>
    <row r="158" spans="1:24" ht="38.25" x14ac:dyDescent="0.25">
      <c r="A158" s="37" t="str">
        <f>'Risk Master'!B158:B241&amp;"-"&amp;'Risk Master'!D158</f>
        <v>Tropical Storm Chantal-Caribbean Islands</v>
      </c>
      <c r="B158" s="37" t="str">
        <f>'Input Sheet year 2'!B159</f>
        <v>Thunderstorms, Tornados &amp; Tropical storms-Caribbean Islands</v>
      </c>
      <c r="C158" s="29" t="str">
        <f>'Risk Master'!F158</f>
        <v>A109</v>
      </c>
      <c r="D158" s="73">
        <f>'Year 1 Results'!O158*-1+('Year 1 Results'!O158*'Event Trigger'!$E159*(1-'Input Sheet year 2'!H159))</f>
        <v>0</v>
      </c>
      <c r="E158" s="73">
        <f>'Year 1 Results'!P158*-1+('Year 1 Results'!P158*'Event Trigger'!$E159*(1-'Input Sheet year 2'!I159))</f>
        <v>0</v>
      </c>
      <c r="F158" s="73">
        <f>'Year 1 Results'!Q158*-1+('Year 1 Results'!Q158*'Event Trigger'!$E159*(1-'Input Sheet year 2'!J159))</f>
        <v>0</v>
      </c>
      <c r="G158" s="73">
        <f>'Year 1 Results'!R158*-1+('Year 1 Results'!R158*'Event Trigger'!$E159*(1-'Input Sheet year 2'!K159))</f>
        <v>0</v>
      </c>
      <c r="H158" s="73">
        <f>'Year 1 Results'!S158*-1+('Year 1 Results'!S158*'Event Trigger'!$E159*(1-'Input Sheet year 2'!L159))</f>
        <v>0</v>
      </c>
      <c r="I158" s="73">
        <f>'Year 1 Results'!T158*-1+('Year 1 Results'!T158*'Event Trigger'!$E159*(1-'Input Sheet year 2'!M159))</f>
        <v>0</v>
      </c>
      <c r="J158" s="73">
        <f>'Year 1 Results'!U158*-1+('Year 1 Results'!U158*'Event Trigger'!$E159*(1-'Input Sheet year 2'!N159))</f>
        <v>0</v>
      </c>
      <c r="K158" s="73">
        <f>'Year 1 Results'!V158*-1+('Year 1 Results'!V158*'Event Trigger'!$E159*(1-'Input Sheet year 2'!O159))</f>
        <v>0</v>
      </c>
      <c r="L158" s="73">
        <f>'Year 1 Results'!W158*-1+('Year 1 Results'!W158*'Event Trigger'!$E159*(1-'Input Sheet year 2'!P159))</f>
        <v>0</v>
      </c>
      <c r="M158" s="73">
        <f>'Year 1 Results'!X158*-1+('Year 1 Results'!X158*'Event Trigger'!$E159*(1-'Input Sheet year 2'!Q159))</f>
        <v>0</v>
      </c>
      <c r="N158" s="88"/>
      <c r="O158" s="88">
        <f t="shared" si="20"/>
        <v>0</v>
      </c>
      <c r="P158" s="88">
        <f t="shared" si="21"/>
        <v>0</v>
      </c>
      <c r="Q158" s="88">
        <f t="shared" si="22"/>
        <v>0</v>
      </c>
      <c r="R158" s="88">
        <f t="shared" si="23"/>
        <v>0</v>
      </c>
      <c r="S158" s="88">
        <f t="shared" si="24"/>
        <v>0</v>
      </c>
      <c r="T158" s="88">
        <f t="shared" si="25"/>
        <v>0</v>
      </c>
      <c r="U158" s="88">
        <f t="shared" si="26"/>
        <v>0</v>
      </c>
      <c r="V158" s="88">
        <f t="shared" si="27"/>
        <v>0</v>
      </c>
      <c r="W158" s="88">
        <f t="shared" si="28"/>
        <v>0</v>
      </c>
      <c r="X158" s="88">
        <f t="shared" si="29"/>
        <v>0</v>
      </c>
    </row>
    <row r="159" spans="1:24" ht="38.25" x14ac:dyDescent="0.25">
      <c r="A159" s="37" t="str">
        <f>'Risk Master'!B159:B242&amp;"-"&amp;'Risk Master'!D159</f>
        <v>Tropical Storm Gabrielle-Caribbean Islands</v>
      </c>
      <c r="B159" s="37" t="str">
        <f>'Input Sheet year 2'!B160</f>
        <v>Thunderstorms, Tornados &amp; Tropical storms-Caribbean Islands</v>
      </c>
      <c r="C159" s="29" t="str">
        <f>'Risk Master'!F159</f>
        <v>A109</v>
      </c>
      <c r="D159" s="73">
        <f>'Year 1 Results'!O159*-1+('Year 1 Results'!O159*'Event Trigger'!$E160*(1-'Input Sheet year 2'!H160))</f>
        <v>0</v>
      </c>
      <c r="E159" s="73">
        <f>'Year 1 Results'!P159*-1+('Year 1 Results'!P159*'Event Trigger'!$E160*(1-'Input Sheet year 2'!I160))</f>
        <v>0</v>
      </c>
      <c r="F159" s="73">
        <f>'Year 1 Results'!Q159*-1+('Year 1 Results'!Q159*'Event Trigger'!$E160*(1-'Input Sheet year 2'!J160))</f>
        <v>0</v>
      </c>
      <c r="G159" s="73">
        <f>'Year 1 Results'!R159*-1+('Year 1 Results'!R159*'Event Trigger'!$E160*(1-'Input Sheet year 2'!K160))</f>
        <v>0</v>
      </c>
      <c r="H159" s="73">
        <f>'Year 1 Results'!S159*-1+('Year 1 Results'!S159*'Event Trigger'!$E160*(1-'Input Sheet year 2'!L160))</f>
        <v>0</v>
      </c>
      <c r="I159" s="73">
        <f>'Year 1 Results'!T159*-1+('Year 1 Results'!T159*'Event Trigger'!$E160*(1-'Input Sheet year 2'!M160))</f>
        <v>0</v>
      </c>
      <c r="J159" s="73">
        <f>'Year 1 Results'!U159*-1+('Year 1 Results'!U159*'Event Trigger'!$E160*(1-'Input Sheet year 2'!N160))</f>
        <v>0</v>
      </c>
      <c r="K159" s="73">
        <f>'Year 1 Results'!V159*-1+('Year 1 Results'!V159*'Event Trigger'!$E160*(1-'Input Sheet year 2'!O160))</f>
        <v>0</v>
      </c>
      <c r="L159" s="73">
        <f>'Year 1 Results'!W159*-1+('Year 1 Results'!W159*'Event Trigger'!$E160*(1-'Input Sheet year 2'!P160))</f>
        <v>0</v>
      </c>
      <c r="M159" s="73">
        <f>'Year 1 Results'!X159*-1+('Year 1 Results'!X159*'Event Trigger'!$E160*(1-'Input Sheet year 2'!Q160))</f>
        <v>0</v>
      </c>
      <c r="N159" s="88"/>
      <c r="O159" s="88">
        <f t="shared" si="20"/>
        <v>0</v>
      </c>
      <c r="P159" s="88">
        <f t="shared" si="21"/>
        <v>0</v>
      </c>
      <c r="Q159" s="88">
        <f t="shared" si="22"/>
        <v>0</v>
      </c>
      <c r="R159" s="88">
        <f t="shared" si="23"/>
        <v>0</v>
      </c>
      <c r="S159" s="88">
        <f t="shared" si="24"/>
        <v>0</v>
      </c>
      <c r="T159" s="88">
        <f t="shared" si="25"/>
        <v>0</v>
      </c>
      <c r="U159" s="88">
        <f t="shared" si="26"/>
        <v>0</v>
      </c>
      <c r="V159" s="88">
        <f t="shared" si="27"/>
        <v>0</v>
      </c>
      <c r="W159" s="88">
        <f t="shared" si="28"/>
        <v>0</v>
      </c>
      <c r="X159" s="88">
        <f t="shared" si="29"/>
        <v>0</v>
      </c>
    </row>
    <row r="160" spans="1:24" ht="38.25" x14ac:dyDescent="0.25">
      <c r="A160" s="37" t="str">
        <f>'Risk Master'!B160:B243&amp;"-"&amp;'Risk Master'!D160</f>
        <v>Typhoon Wutip (Paolo)-Caribbean Islands</v>
      </c>
      <c r="B160" s="37" t="str">
        <f>'Input Sheet year 2'!B161</f>
        <v>Thunderstorms, Tornados &amp; Tropical storms-Caribbean Islands</v>
      </c>
      <c r="C160" s="29" t="str">
        <f>'Risk Master'!F160</f>
        <v>A113</v>
      </c>
      <c r="D160" s="73">
        <f>'Year 1 Results'!O160*-1+('Year 1 Results'!O160*'Event Trigger'!$E161*(1-'Input Sheet year 2'!H161))</f>
        <v>0</v>
      </c>
      <c r="E160" s="73">
        <f>'Year 1 Results'!P160*-1+('Year 1 Results'!P160*'Event Trigger'!$E161*(1-'Input Sheet year 2'!I161))</f>
        <v>0</v>
      </c>
      <c r="F160" s="73">
        <f>'Year 1 Results'!Q160*-1+('Year 1 Results'!Q160*'Event Trigger'!$E161*(1-'Input Sheet year 2'!J161))</f>
        <v>0</v>
      </c>
      <c r="G160" s="73">
        <f>'Year 1 Results'!R160*-1+('Year 1 Results'!R160*'Event Trigger'!$E161*(1-'Input Sheet year 2'!K161))</f>
        <v>0</v>
      </c>
      <c r="H160" s="73">
        <f>'Year 1 Results'!S160*-1+('Year 1 Results'!S160*'Event Trigger'!$E161*(1-'Input Sheet year 2'!L161))</f>
        <v>0</v>
      </c>
      <c r="I160" s="73">
        <f>'Year 1 Results'!T160*-1+('Year 1 Results'!T160*'Event Trigger'!$E161*(1-'Input Sheet year 2'!M161))</f>
        <v>0</v>
      </c>
      <c r="J160" s="73">
        <f>'Year 1 Results'!U160*-1+('Year 1 Results'!U160*'Event Trigger'!$E161*(1-'Input Sheet year 2'!N161))</f>
        <v>0</v>
      </c>
      <c r="K160" s="73">
        <f>'Year 1 Results'!V160*-1+('Year 1 Results'!V160*'Event Trigger'!$E161*(1-'Input Sheet year 2'!O161))</f>
        <v>600000</v>
      </c>
      <c r="L160" s="73">
        <f>'Year 1 Results'!W160*-1+('Year 1 Results'!W160*'Event Trigger'!$E161*(1-'Input Sheet year 2'!P161))</f>
        <v>0</v>
      </c>
      <c r="M160" s="73">
        <f>'Year 1 Results'!X160*-1+('Year 1 Results'!X160*'Event Trigger'!$E161*(1-'Input Sheet year 2'!Q161))</f>
        <v>600000</v>
      </c>
      <c r="N160" s="88"/>
      <c r="O160" s="88">
        <f t="shared" si="20"/>
        <v>0</v>
      </c>
      <c r="P160" s="88">
        <f t="shared" si="21"/>
        <v>0</v>
      </c>
      <c r="Q160" s="88">
        <f t="shared" si="22"/>
        <v>0</v>
      </c>
      <c r="R160" s="88">
        <f t="shared" si="23"/>
        <v>0</v>
      </c>
      <c r="S160" s="88">
        <f t="shared" si="24"/>
        <v>0</v>
      </c>
      <c r="T160" s="88">
        <f t="shared" si="25"/>
        <v>0</v>
      </c>
      <c r="U160" s="88">
        <f t="shared" si="26"/>
        <v>0</v>
      </c>
      <c r="V160" s="88">
        <f t="shared" si="27"/>
        <v>-600000</v>
      </c>
      <c r="W160" s="88">
        <f t="shared" si="28"/>
        <v>0</v>
      </c>
      <c r="X160" s="88">
        <f t="shared" si="29"/>
        <v>-600000</v>
      </c>
    </row>
    <row r="161" spans="1:24" x14ac:dyDescent="0.25">
      <c r="A161" s="37" t="str">
        <f>'Risk Master'!B161:B244&amp;"-"&amp;'Risk Master'!D161</f>
        <v>Earthquake-Caribbean Islands</v>
      </c>
      <c r="B161" s="37" t="str">
        <f>'Input Sheet year 2'!B162</f>
        <v>Earthquake-Caribbean Islands</v>
      </c>
      <c r="C161" s="29" t="str">
        <f>'Risk Master'!F161</f>
        <v>A113</v>
      </c>
      <c r="D161" s="73">
        <f>'Year 1 Results'!O161*-1+('Year 1 Results'!O161*'Event Trigger'!$E162*(1-'Input Sheet year 2'!H162))</f>
        <v>0</v>
      </c>
      <c r="E161" s="73">
        <f>'Year 1 Results'!P161*-1+('Year 1 Results'!P161*'Event Trigger'!$E162*(1-'Input Sheet year 2'!I162))</f>
        <v>0</v>
      </c>
      <c r="F161" s="73">
        <f>'Year 1 Results'!Q161*-1+('Year 1 Results'!Q161*'Event Trigger'!$E162*(1-'Input Sheet year 2'!J162))</f>
        <v>0</v>
      </c>
      <c r="G161" s="73">
        <f>'Year 1 Results'!R161*-1+('Year 1 Results'!R161*'Event Trigger'!$E162*(1-'Input Sheet year 2'!K162))</f>
        <v>0</v>
      </c>
      <c r="H161" s="73">
        <f>'Year 1 Results'!S161*-1+('Year 1 Results'!S161*'Event Trigger'!$E162*(1-'Input Sheet year 2'!L162))</f>
        <v>0</v>
      </c>
      <c r="I161" s="73">
        <f>'Year 1 Results'!T161*-1+('Year 1 Results'!T161*'Event Trigger'!$E162*(1-'Input Sheet year 2'!M162))</f>
        <v>0</v>
      </c>
      <c r="J161" s="73">
        <f>'Year 1 Results'!U161*-1+('Year 1 Results'!U161*'Event Trigger'!$E162*(1-'Input Sheet year 2'!N162))</f>
        <v>0</v>
      </c>
      <c r="K161" s="73">
        <f>'Year 1 Results'!V161*-1+('Year 1 Results'!V161*'Event Trigger'!$E162*(1-'Input Sheet year 2'!O162))</f>
        <v>600000</v>
      </c>
      <c r="L161" s="73">
        <f>'Year 1 Results'!W161*-1+('Year 1 Results'!W161*'Event Trigger'!$E162*(1-'Input Sheet year 2'!P162))</f>
        <v>0</v>
      </c>
      <c r="M161" s="73">
        <f>'Year 1 Results'!X161*-1+('Year 1 Results'!X161*'Event Trigger'!$E162*(1-'Input Sheet year 2'!Q162))</f>
        <v>600000</v>
      </c>
      <c r="N161" s="88"/>
      <c r="O161" s="88">
        <f t="shared" si="20"/>
        <v>0</v>
      </c>
      <c r="P161" s="88">
        <f t="shared" si="21"/>
        <v>0</v>
      </c>
      <c r="Q161" s="88">
        <f t="shared" si="22"/>
        <v>0</v>
      </c>
      <c r="R161" s="88">
        <f t="shared" si="23"/>
        <v>0</v>
      </c>
      <c r="S161" s="88">
        <f t="shared" si="24"/>
        <v>0</v>
      </c>
      <c r="T161" s="88">
        <f t="shared" si="25"/>
        <v>0</v>
      </c>
      <c r="U161" s="88">
        <f t="shared" si="26"/>
        <v>0</v>
      </c>
      <c r="V161" s="88">
        <f t="shared" si="27"/>
        <v>-600000</v>
      </c>
      <c r="W161" s="88">
        <f t="shared" si="28"/>
        <v>0</v>
      </c>
      <c r="X161" s="88">
        <f t="shared" si="29"/>
        <v>-600000</v>
      </c>
    </row>
    <row r="162" spans="1:24" ht="25.5" x14ac:dyDescent="0.25">
      <c r="A162" s="37" t="str">
        <f>'Risk Master'!B162:B245&amp;"-"&amp;'Risk Master'!D162</f>
        <v>Thunderstorms, Tornados &amp; Hail-Caribbean Islands</v>
      </c>
      <c r="B162" s="37" t="str">
        <f>'Input Sheet year 2'!B163</f>
        <v>Thunderstorms, Tornados &amp; Hail-Caribbean Islands</v>
      </c>
      <c r="C162" s="29" t="str">
        <f>'Risk Master'!F162</f>
        <v>A113</v>
      </c>
      <c r="D162" s="73">
        <f>'Year 1 Results'!O162*-1+('Year 1 Results'!O162*'Event Trigger'!$E163*(1-'Input Sheet year 2'!H163))</f>
        <v>0</v>
      </c>
      <c r="E162" s="73">
        <f>'Year 1 Results'!P162*-1+('Year 1 Results'!P162*'Event Trigger'!$E163*(1-'Input Sheet year 2'!I163))</f>
        <v>0</v>
      </c>
      <c r="F162" s="73">
        <f>'Year 1 Results'!Q162*-1+('Year 1 Results'!Q162*'Event Trigger'!$E163*(1-'Input Sheet year 2'!J163))</f>
        <v>0</v>
      </c>
      <c r="G162" s="73">
        <f>'Year 1 Results'!R162*-1+('Year 1 Results'!R162*'Event Trigger'!$E163*(1-'Input Sheet year 2'!K163))</f>
        <v>0</v>
      </c>
      <c r="H162" s="73">
        <f>'Year 1 Results'!S162*-1+('Year 1 Results'!S162*'Event Trigger'!$E163*(1-'Input Sheet year 2'!L163))</f>
        <v>0</v>
      </c>
      <c r="I162" s="73">
        <f>'Year 1 Results'!T162*-1+('Year 1 Results'!T162*'Event Trigger'!$E163*(1-'Input Sheet year 2'!M163))</f>
        <v>0</v>
      </c>
      <c r="J162" s="73">
        <f>'Year 1 Results'!U162*-1+('Year 1 Results'!U162*'Event Trigger'!$E163*(1-'Input Sheet year 2'!N163))</f>
        <v>0</v>
      </c>
      <c r="K162" s="73">
        <f>'Year 1 Results'!V162*-1+('Year 1 Results'!V162*'Event Trigger'!$E163*(1-'Input Sheet year 2'!O163))</f>
        <v>600000</v>
      </c>
      <c r="L162" s="73">
        <f>'Year 1 Results'!W162*-1+('Year 1 Results'!W162*'Event Trigger'!$E163*(1-'Input Sheet year 2'!P163))</f>
        <v>0</v>
      </c>
      <c r="M162" s="73">
        <f>'Year 1 Results'!X162*-1+('Year 1 Results'!X162*'Event Trigger'!$E163*(1-'Input Sheet year 2'!Q163))</f>
        <v>600000</v>
      </c>
      <c r="N162" s="88"/>
      <c r="O162" s="88">
        <f t="shared" si="20"/>
        <v>0</v>
      </c>
      <c r="P162" s="88">
        <f t="shared" si="21"/>
        <v>0</v>
      </c>
      <c r="Q162" s="88">
        <f t="shared" si="22"/>
        <v>0</v>
      </c>
      <c r="R162" s="88">
        <f t="shared" si="23"/>
        <v>0</v>
      </c>
      <c r="S162" s="88">
        <f t="shared" si="24"/>
        <v>0</v>
      </c>
      <c r="T162" s="88">
        <f t="shared" si="25"/>
        <v>0</v>
      </c>
      <c r="U162" s="88">
        <f t="shared" si="26"/>
        <v>0</v>
      </c>
      <c r="V162" s="88">
        <f t="shared" si="27"/>
        <v>-600000</v>
      </c>
      <c r="W162" s="88">
        <f t="shared" si="28"/>
        <v>0</v>
      </c>
      <c r="X162" s="88">
        <f t="shared" si="29"/>
        <v>-600000</v>
      </c>
    </row>
    <row r="163" spans="1:24" ht="38.25" x14ac:dyDescent="0.25">
      <c r="A163" s="37" t="str">
        <f>'Risk Master'!B163:B246&amp;"-"&amp;'Risk Master'!D163</f>
        <v>Tropical Storm Humberto-Caribbean Islands</v>
      </c>
      <c r="B163" s="37" t="str">
        <f>'Input Sheet year 2'!B164</f>
        <v>Thunderstorms, Tornados &amp; Tropical storms-Caribbean Islands</v>
      </c>
      <c r="C163" s="29" t="str">
        <f>'Risk Master'!F163</f>
        <v>A109</v>
      </c>
      <c r="D163" s="73">
        <f>'Year 1 Results'!O163*-1+('Year 1 Results'!O163*'Event Trigger'!$E164*(1-'Input Sheet year 2'!H164))</f>
        <v>0</v>
      </c>
      <c r="E163" s="73">
        <f>'Year 1 Results'!P163*-1+('Year 1 Results'!P163*'Event Trigger'!$E164*(1-'Input Sheet year 2'!I164))</f>
        <v>0</v>
      </c>
      <c r="F163" s="73">
        <f>'Year 1 Results'!Q163*-1+('Year 1 Results'!Q163*'Event Trigger'!$E164*(1-'Input Sheet year 2'!J164))</f>
        <v>0</v>
      </c>
      <c r="G163" s="73">
        <f>'Year 1 Results'!R163*-1+('Year 1 Results'!R163*'Event Trigger'!$E164*(1-'Input Sheet year 2'!K164))</f>
        <v>0</v>
      </c>
      <c r="H163" s="73">
        <f>'Year 1 Results'!S163*-1+('Year 1 Results'!S163*'Event Trigger'!$E164*(1-'Input Sheet year 2'!L164))</f>
        <v>0</v>
      </c>
      <c r="I163" s="73">
        <f>'Year 1 Results'!T163*-1+('Year 1 Results'!T163*'Event Trigger'!$E164*(1-'Input Sheet year 2'!M164))</f>
        <v>0</v>
      </c>
      <c r="J163" s="73">
        <f>'Year 1 Results'!U163*-1+('Year 1 Results'!U163*'Event Trigger'!$E164*(1-'Input Sheet year 2'!N164))</f>
        <v>0</v>
      </c>
      <c r="K163" s="73">
        <f>'Year 1 Results'!V163*-1+('Year 1 Results'!V163*'Event Trigger'!$E164*(1-'Input Sheet year 2'!O164))</f>
        <v>0</v>
      </c>
      <c r="L163" s="73">
        <f>'Year 1 Results'!W163*-1+('Year 1 Results'!W163*'Event Trigger'!$E164*(1-'Input Sheet year 2'!P164))</f>
        <v>0</v>
      </c>
      <c r="M163" s="73">
        <f>'Year 1 Results'!X163*-1+('Year 1 Results'!X163*'Event Trigger'!$E164*(1-'Input Sheet year 2'!Q164))</f>
        <v>0</v>
      </c>
      <c r="N163" s="88"/>
      <c r="O163" s="88">
        <f t="shared" si="20"/>
        <v>0</v>
      </c>
      <c r="P163" s="88">
        <f t="shared" si="21"/>
        <v>0</v>
      </c>
      <c r="Q163" s="88">
        <f t="shared" si="22"/>
        <v>0</v>
      </c>
      <c r="R163" s="88">
        <f t="shared" si="23"/>
        <v>0</v>
      </c>
      <c r="S163" s="88">
        <f t="shared" si="24"/>
        <v>0</v>
      </c>
      <c r="T163" s="88">
        <f t="shared" si="25"/>
        <v>0</v>
      </c>
      <c r="U163" s="88">
        <f t="shared" si="26"/>
        <v>0</v>
      </c>
      <c r="V163" s="88">
        <f t="shared" si="27"/>
        <v>0</v>
      </c>
      <c r="W163" s="88">
        <f t="shared" si="28"/>
        <v>0</v>
      </c>
      <c r="X163" s="88">
        <f t="shared" si="29"/>
        <v>0</v>
      </c>
    </row>
    <row r="164" spans="1:24" x14ac:dyDescent="0.25">
      <c r="A164" s="37" t="str">
        <f>'Risk Master'!B164:B247&amp;"-"&amp;'Risk Master'!D164</f>
        <v>Earthquake-Caribbean Islands</v>
      </c>
      <c r="B164" s="37" t="str">
        <f>'Input Sheet year 2'!B165</f>
        <v>Earthquake-Caribbean Islands</v>
      </c>
      <c r="C164" s="29" t="str">
        <f>'Risk Master'!F164</f>
        <v>A118</v>
      </c>
      <c r="D164" s="73">
        <f>'Year 1 Results'!O164*-1+('Year 1 Results'!O164*'Event Trigger'!$E165*(1-'Input Sheet year 2'!H165))</f>
        <v>0</v>
      </c>
      <c r="E164" s="73">
        <f>'Year 1 Results'!P164*-1+('Year 1 Results'!P164*'Event Trigger'!$E165*(1-'Input Sheet year 2'!I165))</f>
        <v>0</v>
      </c>
      <c r="F164" s="73">
        <f>'Year 1 Results'!Q164*-1+('Year 1 Results'!Q164*'Event Trigger'!$E165*(1-'Input Sheet year 2'!J165))</f>
        <v>0</v>
      </c>
      <c r="G164" s="73">
        <f>'Year 1 Results'!R164*-1+('Year 1 Results'!R164*'Event Trigger'!$E165*(1-'Input Sheet year 2'!K165))</f>
        <v>0</v>
      </c>
      <c r="H164" s="73">
        <f>'Year 1 Results'!S164*-1+('Year 1 Results'!S164*'Event Trigger'!$E165*(1-'Input Sheet year 2'!L165))</f>
        <v>0</v>
      </c>
      <c r="I164" s="73">
        <f>'Year 1 Results'!T164*-1+('Year 1 Results'!T164*'Event Trigger'!$E165*(1-'Input Sheet year 2'!M165))</f>
        <v>0</v>
      </c>
      <c r="J164" s="73">
        <f>'Year 1 Results'!U164*-1+('Year 1 Results'!U164*'Event Trigger'!$E165*(1-'Input Sheet year 2'!N165))</f>
        <v>0</v>
      </c>
      <c r="K164" s="73">
        <f>'Year 1 Results'!V164*-1+('Year 1 Results'!V164*'Event Trigger'!$E165*(1-'Input Sheet year 2'!O165))</f>
        <v>0</v>
      </c>
      <c r="L164" s="73">
        <f>'Year 1 Results'!W164*-1+('Year 1 Results'!W164*'Event Trigger'!$E165*(1-'Input Sheet year 2'!P165))</f>
        <v>0</v>
      </c>
      <c r="M164" s="73">
        <f>'Year 1 Results'!X164*-1+('Year 1 Results'!X164*'Event Trigger'!$E165*(1-'Input Sheet year 2'!Q165))</f>
        <v>0</v>
      </c>
      <c r="N164" s="88"/>
      <c r="O164" s="88">
        <f t="shared" si="20"/>
        <v>0</v>
      </c>
      <c r="P164" s="88">
        <f t="shared" si="21"/>
        <v>0</v>
      </c>
      <c r="Q164" s="88">
        <f t="shared" si="22"/>
        <v>0</v>
      </c>
      <c r="R164" s="88">
        <f t="shared" si="23"/>
        <v>0</v>
      </c>
      <c r="S164" s="88">
        <f t="shared" si="24"/>
        <v>0</v>
      </c>
      <c r="T164" s="88">
        <f t="shared" si="25"/>
        <v>0</v>
      </c>
      <c r="U164" s="88">
        <f t="shared" si="26"/>
        <v>0</v>
      </c>
      <c r="V164" s="88">
        <f t="shared" si="27"/>
        <v>0</v>
      </c>
      <c r="W164" s="88">
        <f t="shared" si="28"/>
        <v>0</v>
      </c>
      <c r="X164" s="88">
        <f t="shared" si="29"/>
        <v>0</v>
      </c>
    </row>
    <row r="165" spans="1:24" ht="25.5" x14ac:dyDescent="0.25">
      <c r="A165" s="37" t="str">
        <f>'Risk Master'!B165:B248&amp;"-"&amp;'Risk Master'!D165</f>
        <v>Hurricane-Typhoon -Caribbean Islands</v>
      </c>
      <c r="B165" s="37" t="str">
        <f>'Input Sheet year 2'!B166</f>
        <v>Hurricane-Typhoon -Caribbean Islands</v>
      </c>
      <c r="C165" s="29" t="str">
        <f>'Risk Master'!F165</f>
        <v>A118</v>
      </c>
      <c r="D165" s="73">
        <f>'Year 1 Results'!O165*-1+('Year 1 Results'!O165*'Event Trigger'!$E166*(1-'Input Sheet year 2'!H166))</f>
        <v>0</v>
      </c>
      <c r="E165" s="73">
        <f>'Year 1 Results'!P165*-1+('Year 1 Results'!P165*'Event Trigger'!$E166*(1-'Input Sheet year 2'!I166))</f>
        <v>0</v>
      </c>
      <c r="F165" s="73">
        <f>'Year 1 Results'!Q165*-1+('Year 1 Results'!Q165*'Event Trigger'!$E166*(1-'Input Sheet year 2'!J166))</f>
        <v>0</v>
      </c>
      <c r="G165" s="73">
        <f>'Year 1 Results'!R165*-1+('Year 1 Results'!R165*'Event Trigger'!$E166*(1-'Input Sheet year 2'!K166))</f>
        <v>0</v>
      </c>
      <c r="H165" s="73">
        <f>'Year 1 Results'!S165*-1+('Year 1 Results'!S165*'Event Trigger'!$E166*(1-'Input Sheet year 2'!L166))</f>
        <v>0</v>
      </c>
      <c r="I165" s="73">
        <f>'Year 1 Results'!T165*-1+('Year 1 Results'!T165*'Event Trigger'!$E166*(1-'Input Sheet year 2'!M166))</f>
        <v>0</v>
      </c>
      <c r="J165" s="73">
        <f>'Year 1 Results'!U165*-1+('Year 1 Results'!U165*'Event Trigger'!$E166*(1-'Input Sheet year 2'!N166))</f>
        <v>0</v>
      </c>
      <c r="K165" s="73">
        <f>'Year 1 Results'!V165*-1+('Year 1 Results'!V165*'Event Trigger'!$E166*(1-'Input Sheet year 2'!O166))</f>
        <v>0</v>
      </c>
      <c r="L165" s="73">
        <f>'Year 1 Results'!W165*-1+('Year 1 Results'!W165*'Event Trigger'!$E166*(1-'Input Sheet year 2'!P166))</f>
        <v>0</v>
      </c>
      <c r="M165" s="73">
        <f>'Year 1 Results'!X165*-1+('Year 1 Results'!X165*'Event Trigger'!$E166*(1-'Input Sheet year 2'!Q166))</f>
        <v>0</v>
      </c>
      <c r="N165" s="88"/>
      <c r="O165" s="88">
        <f t="shared" si="20"/>
        <v>0</v>
      </c>
      <c r="P165" s="88">
        <f t="shared" si="21"/>
        <v>0</v>
      </c>
      <c r="Q165" s="88">
        <f t="shared" si="22"/>
        <v>0</v>
      </c>
      <c r="R165" s="88">
        <f t="shared" si="23"/>
        <v>0</v>
      </c>
      <c r="S165" s="88">
        <f t="shared" si="24"/>
        <v>0</v>
      </c>
      <c r="T165" s="88">
        <f t="shared" si="25"/>
        <v>0</v>
      </c>
      <c r="U165" s="88">
        <f t="shared" si="26"/>
        <v>0</v>
      </c>
      <c r="V165" s="88">
        <f t="shared" si="27"/>
        <v>0</v>
      </c>
      <c r="W165" s="88">
        <f t="shared" si="28"/>
        <v>0</v>
      </c>
      <c r="X165" s="88">
        <f t="shared" si="29"/>
        <v>0</v>
      </c>
    </row>
    <row r="166" spans="1:24" ht="25.5" x14ac:dyDescent="0.25">
      <c r="A166" s="37" t="str">
        <f>'Risk Master'!B166:B249&amp;"-"&amp;'Risk Master'!D166</f>
        <v>Thunderstorms, Tornados &amp; Hail-Caribbean Islands</v>
      </c>
      <c r="B166" s="37" t="str">
        <f>'Input Sheet year 2'!B167</f>
        <v>Thunderstorms, Tornados &amp; Hail-Caribbean Islands</v>
      </c>
      <c r="C166" s="29" t="str">
        <f>'Risk Master'!F166</f>
        <v>A118</v>
      </c>
      <c r="D166" s="73">
        <f>'Year 1 Results'!O166*-1+('Year 1 Results'!O166*'Event Trigger'!$E167*(1-'Input Sheet year 2'!H167))</f>
        <v>0</v>
      </c>
      <c r="E166" s="73">
        <f>'Year 1 Results'!P166*-1+('Year 1 Results'!P166*'Event Trigger'!$E167*(1-'Input Sheet year 2'!I167))</f>
        <v>0</v>
      </c>
      <c r="F166" s="73">
        <f>'Year 1 Results'!Q166*-1+('Year 1 Results'!Q166*'Event Trigger'!$E167*(1-'Input Sheet year 2'!J167))</f>
        <v>0</v>
      </c>
      <c r="G166" s="73">
        <f>'Year 1 Results'!R166*-1+('Year 1 Results'!R166*'Event Trigger'!$E167*(1-'Input Sheet year 2'!K167))</f>
        <v>0</v>
      </c>
      <c r="H166" s="73">
        <f>'Year 1 Results'!S166*-1+('Year 1 Results'!S166*'Event Trigger'!$E167*(1-'Input Sheet year 2'!L167))</f>
        <v>0</v>
      </c>
      <c r="I166" s="73">
        <f>'Year 1 Results'!T166*-1+('Year 1 Results'!T166*'Event Trigger'!$E167*(1-'Input Sheet year 2'!M167))</f>
        <v>0</v>
      </c>
      <c r="J166" s="73">
        <f>'Year 1 Results'!U166*-1+('Year 1 Results'!U166*'Event Trigger'!$E167*(1-'Input Sheet year 2'!N167))</f>
        <v>0</v>
      </c>
      <c r="K166" s="73">
        <f>'Year 1 Results'!V166*-1+('Year 1 Results'!V166*'Event Trigger'!$E167*(1-'Input Sheet year 2'!O167))</f>
        <v>0</v>
      </c>
      <c r="L166" s="73">
        <f>'Year 1 Results'!W166*-1+('Year 1 Results'!W166*'Event Trigger'!$E167*(1-'Input Sheet year 2'!P167))</f>
        <v>0</v>
      </c>
      <c r="M166" s="73">
        <f>'Year 1 Results'!X166*-1+('Year 1 Results'!X166*'Event Trigger'!$E167*(1-'Input Sheet year 2'!Q167))</f>
        <v>0</v>
      </c>
      <c r="N166" s="88"/>
      <c r="O166" s="88">
        <f t="shared" si="20"/>
        <v>0</v>
      </c>
      <c r="P166" s="88">
        <f t="shared" si="21"/>
        <v>0</v>
      </c>
      <c r="Q166" s="88">
        <f t="shared" si="22"/>
        <v>0</v>
      </c>
      <c r="R166" s="88">
        <f t="shared" si="23"/>
        <v>0</v>
      </c>
      <c r="S166" s="88">
        <f t="shared" si="24"/>
        <v>0</v>
      </c>
      <c r="T166" s="88">
        <f t="shared" si="25"/>
        <v>0</v>
      </c>
      <c r="U166" s="88">
        <f t="shared" si="26"/>
        <v>0</v>
      </c>
      <c r="V166" s="88">
        <f t="shared" si="27"/>
        <v>0</v>
      </c>
      <c r="W166" s="88">
        <f t="shared" si="28"/>
        <v>0</v>
      </c>
      <c r="X166" s="88">
        <f t="shared" si="29"/>
        <v>0</v>
      </c>
    </row>
    <row r="167" spans="1:24" ht="25.5" x14ac:dyDescent="0.25">
      <c r="A167" s="37" t="str">
        <f>'Risk Master'!B167:B250&amp;"-"&amp;'Risk Master'!D167</f>
        <v>Hurricane-Typhoon -Caribbean Islands</v>
      </c>
      <c r="B167" s="37" t="str">
        <f>'Input Sheet year 2'!B168</f>
        <v>Hurricane-Typhoon -Caribbean Islands</v>
      </c>
      <c r="C167" s="29" t="str">
        <f>'Risk Master'!F167</f>
        <v>A120</v>
      </c>
      <c r="D167" s="73">
        <f>'Year 1 Results'!O167*-1+('Year 1 Results'!O167*'Event Trigger'!$E168*(1-'Input Sheet year 2'!H168))</f>
        <v>0</v>
      </c>
      <c r="E167" s="73">
        <f>'Year 1 Results'!P167*-1+('Year 1 Results'!P167*'Event Trigger'!$E168*(1-'Input Sheet year 2'!I168))</f>
        <v>0</v>
      </c>
      <c r="F167" s="73">
        <f>'Year 1 Results'!Q167*-1+('Year 1 Results'!Q167*'Event Trigger'!$E168*(1-'Input Sheet year 2'!J168))</f>
        <v>0</v>
      </c>
      <c r="G167" s="73">
        <f>'Year 1 Results'!R167*-1+('Year 1 Results'!R167*'Event Trigger'!$E168*(1-'Input Sheet year 2'!K168))</f>
        <v>0</v>
      </c>
      <c r="H167" s="73">
        <f>'Year 1 Results'!S167*-1+('Year 1 Results'!S167*'Event Trigger'!$E168*(1-'Input Sheet year 2'!L168))</f>
        <v>0</v>
      </c>
      <c r="I167" s="73">
        <f>'Year 1 Results'!T167*-1+('Year 1 Results'!T167*'Event Trigger'!$E168*(1-'Input Sheet year 2'!M168))</f>
        <v>200000</v>
      </c>
      <c r="J167" s="73">
        <f>'Year 1 Results'!U167*-1+('Year 1 Results'!U167*'Event Trigger'!$E168*(1-'Input Sheet year 2'!N168))</f>
        <v>0</v>
      </c>
      <c r="K167" s="73">
        <f>'Year 1 Results'!V167*-1+('Year 1 Results'!V167*'Event Trigger'!$E168*(1-'Input Sheet year 2'!O168))</f>
        <v>0</v>
      </c>
      <c r="L167" s="73">
        <f>'Year 1 Results'!W167*-1+('Year 1 Results'!W167*'Event Trigger'!$E168*(1-'Input Sheet year 2'!P168))</f>
        <v>0</v>
      </c>
      <c r="M167" s="73">
        <f>'Year 1 Results'!X167*-1+('Year 1 Results'!X167*'Event Trigger'!$E168*(1-'Input Sheet year 2'!Q168))</f>
        <v>0</v>
      </c>
      <c r="N167" s="88"/>
      <c r="O167" s="88">
        <f t="shared" si="20"/>
        <v>0</v>
      </c>
      <c r="P167" s="88">
        <f t="shared" si="21"/>
        <v>0</v>
      </c>
      <c r="Q167" s="88">
        <f t="shared" si="22"/>
        <v>0</v>
      </c>
      <c r="R167" s="88">
        <f t="shared" si="23"/>
        <v>0</v>
      </c>
      <c r="S167" s="88">
        <f t="shared" si="24"/>
        <v>0</v>
      </c>
      <c r="T167" s="88">
        <f t="shared" si="25"/>
        <v>-200000</v>
      </c>
      <c r="U167" s="88">
        <f t="shared" si="26"/>
        <v>0</v>
      </c>
      <c r="V167" s="88">
        <f t="shared" si="27"/>
        <v>0</v>
      </c>
      <c r="W167" s="88">
        <f t="shared" si="28"/>
        <v>0</v>
      </c>
      <c r="X167" s="88">
        <f t="shared" si="29"/>
        <v>0</v>
      </c>
    </row>
    <row r="168" spans="1:24" x14ac:dyDescent="0.25">
      <c r="A168" s="37" t="str">
        <f>'Risk Master'!B168:B251&amp;"-"&amp;'Risk Master'!D168</f>
        <v>Earthquake-Caribbean Islands</v>
      </c>
      <c r="B168" s="37" t="str">
        <f>'Input Sheet year 2'!B169</f>
        <v>Earthquake-Caribbean Islands</v>
      </c>
      <c r="C168" s="29" t="str">
        <f>'Risk Master'!F168</f>
        <v>A120</v>
      </c>
      <c r="D168" s="73">
        <f>'Year 1 Results'!O168*-1+('Year 1 Results'!O168*'Event Trigger'!$E169*(1-'Input Sheet year 2'!H169))</f>
        <v>0</v>
      </c>
      <c r="E168" s="73">
        <f>'Year 1 Results'!P168*-1+('Year 1 Results'!P168*'Event Trigger'!$E169*(1-'Input Sheet year 2'!I169))</f>
        <v>0</v>
      </c>
      <c r="F168" s="73">
        <f>'Year 1 Results'!Q168*-1+('Year 1 Results'!Q168*'Event Trigger'!$E169*(1-'Input Sheet year 2'!J169))</f>
        <v>0</v>
      </c>
      <c r="G168" s="73">
        <f>'Year 1 Results'!R168*-1+('Year 1 Results'!R168*'Event Trigger'!$E169*(1-'Input Sheet year 2'!K169))</f>
        <v>0</v>
      </c>
      <c r="H168" s="73">
        <f>'Year 1 Results'!S168*-1+('Year 1 Results'!S168*'Event Trigger'!$E169*(1-'Input Sheet year 2'!L169))</f>
        <v>0</v>
      </c>
      <c r="I168" s="73">
        <f>'Year 1 Results'!T168*-1+('Year 1 Results'!T168*'Event Trigger'!$E169*(1-'Input Sheet year 2'!M169))</f>
        <v>200000</v>
      </c>
      <c r="J168" s="73">
        <f>'Year 1 Results'!U168*-1+('Year 1 Results'!U168*'Event Trigger'!$E169*(1-'Input Sheet year 2'!N169))</f>
        <v>0</v>
      </c>
      <c r="K168" s="73">
        <f>'Year 1 Results'!V168*-1+('Year 1 Results'!V168*'Event Trigger'!$E169*(1-'Input Sheet year 2'!O169))</f>
        <v>0</v>
      </c>
      <c r="L168" s="73">
        <f>'Year 1 Results'!W168*-1+('Year 1 Results'!W168*'Event Trigger'!$E169*(1-'Input Sheet year 2'!P169))</f>
        <v>0</v>
      </c>
      <c r="M168" s="73">
        <f>'Year 1 Results'!X168*-1+('Year 1 Results'!X168*'Event Trigger'!$E169*(1-'Input Sheet year 2'!Q169))</f>
        <v>0</v>
      </c>
      <c r="N168" s="88"/>
      <c r="O168" s="88">
        <f t="shared" si="20"/>
        <v>0</v>
      </c>
      <c r="P168" s="88">
        <f t="shared" si="21"/>
        <v>0</v>
      </c>
      <c r="Q168" s="88">
        <f t="shared" si="22"/>
        <v>0</v>
      </c>
      <c r="R168" s="88">
        <f t="shared" si="23"/>
        <v>0</v>
      </c>
      <c r="S168" s="88">
        <f t="shared" si="24"/>
        <v>0</v>
      </c>
      <c r="T168" s="88">
        <f t="shared" si="25"/>
        <v>-200000</v>
      </c>
      <c r="U168" s="88">
        <f t="shared" si="26"/>
        <v>0</v>
      </c>
      <c r="V168" s="88">
        <f t="shared" si="27"/>
        <v>0</v>
      </c>
      <c r="W168" s="88">
        <f t="shared" si="28"/>
        <v>0</v>
      </c>
      <c r="X168" s="88">
        <f t="shared" si="29"/>
        <v>0</v>
      </c>
    </row>
    <row r="169" spans="1:24" x14ac:dyDescent="0.25">
      <c r="A169" s="37" t="str">
        <f>'Risk Master'!B169:B252&amp;"-"&amp;'Risk Master'!D169</f>
        <v>Fire-Caribbean Islands</v>
      </c>
      <c r="B169" s="37" t="str">
        <f>'Input Sheet year 2'!B170</f>
        <v>Fire-Caribbean Islands</v>
      </c>
      <c r="C169" s="29" t="str">
        <f>'Risk Master'!F169</f>
        <v>A120</v>
      </c>
      <c r="D169" s="73">
        <f>'Year 1 Results'!O169*-1+('Year 1 Results'!O169*'Event Trigger'!$E170*(1-'Input Sheet year 2'!H170))</f>
        <v>0</v>
      </c>
      <c r="E169" s="73">
        <f>'Year 1 Results'!P169*-1+('Year 1 Results'!P169*'Event Trigger'!$E170*(1-'Input Sheet year 2'!I170))</f>
        <v>0</v>
      </c>
      <c r="F169" s="73">
        <f>'Year 1 Results'!Q169*-1+('Year 1 Results'!Q169*'Event Trigger'!$E170*(1-'Input Sheet year 2'!J170))</f>
        <v>0</v>
      </c>
      <c r="G169" s="73">
        <f>'Year 1 Results'!R169*-1+('Year 1 Results'!R169*'Event Trigger'!$E170*(1-'Input Sheet year 2'!K170))</f>
        <v>0</v>
      </c>
      <c r="H169" s="73">
        <f>'Year 1 Results'!S169*-1+('Year 1 Results'!S169*'Event Trigger'!$E170*(1-'Input Sheet year 2'!L170))</f>
        <v>0</v>
      </c>
      <c r="I169" s="73">
        <f>'Year 1 Results'!T169*-1+('Year 1 Results'!T169*'Event Trigger'!$E170*(1-'Input Sheet year 2'!M170))</f>
        <v>200000</v>
      </c>
      <c r="J169" s="73">
        <f>'Year 1 Results'!U169*-1+('Year 1 Results'!U169*'Event Trigger'!$E170*(1-'Input Sheet year 2'!N170))</f>
        <v>0</v>
      </c>
      <c r="K169" s="73">
        <f>'Year 1 Results'!V169*-1+('Year 1 Results'!V169*'Event Trigger'!$E170*(1-'Input Sheet year 2'!O170))</f>
        <v>0</v>
      </c>
      <c r="L169" s="73">
        <f>'Year 1 Results'!W169*-1+('Year 1 Results'!W169*'Event Trigger'!$E170*(1-'Input Sheet year 2'!P170))</f>
        <v>0</v>
      </c>
      <c r="M169" s="73">
        <f>'Year 1 Results'!X169*-1+('Year 1 Results'!X169*'Event Trigger'!$E170*(1-'Input Sheet year 2'!Q170))</f>
        <v>0</v>
      </c>
      <c r="N169" s="88"/>
      <c r="O169" s="88">
        <f t="shared" si="20"/>
        <v>0</v>
      </c>
      <c r="P169" s="88">
        <f t="shared" si="21"/>
        <v>0</v>
      </c>
      <c r="Q169" s="88">
        <f t="shared" si="22"/>
        <v>0</v>
      </c>
      <c r="R169" s="88">
        <f t="shared" si="23"/>
        <v>0</v>
      </c>
      <c r="S169" s="88">
        <f t="shared" si="24"/>
        <v>0</v>
      </c>
      <c r="T169" s="88">
        <f t="shared" si="25"/>
        <v>-200000</v>
      </c>
      <c r="U169" s="88">
        <f t="shared" si="26"/>
        <v>0</v>
      </c>
      <c r="V169" s="88">
        <f t="shared" si="27"/>
        <v>0</v>
      </c>
      <c r="W169" s="88">
        <f t="shared" si="28"/>
        <v>0</v>
      </c>
      <c r="X169" s="88">
        <f t="shared" si="29"/>
        <v>0</v>
      </c>
    </row>
    <row r="170" spans="1:24" ht="25.5" x14ac:dyDescent="0.25">
      <c r="A170" s="37" t="str">
        <f>'Risk Master'!B170:B253&amp;"-"&amp;'Risk Master'!D170</f>
        <v>Tropical Storm Chantal-Caribbean Islands</v>
      </c>
      <c r="B170" s="37" t="str">
        <f>'Input Sheet year 2'!B171</f>
        <v>Tropical Storm-Caribbean Islands</v>
      </c>
      <c r="C170" s="29" t="str">
        <f>'Risk Master'!F170</f>
        <v>A120</v>
      </c>
      <c r="D170" s="73">
        <f>'Year 1 Results'!O170*-1+('Year 1 Results'!O170*'Event Trigger'!$E171*(1-'Input Sheet year 2'!H171))</f>
        <v>0</v>
      </c>
      <c r="E170" s="73">
        <f>'Year 1 Results'!P170*-1+('Year 1 Results'!P170*'Event Trigger'!$E171*(1-'Input Sheet year 2'!I171))</f>
        <v>0</v>
      </c>
      <c r="F170" s="73">
        <f>'Year 1 Results'!Q170*-1+('Year 1 Results'!Q170*'Event Trigger'!$E171*(1-'Input Sheet year 2'!J171))</f>
        <v>0</v>
      </c>
      <c r="G170" s="73">
        <f>'Year 1 Results'!R170*-1+('Year 1 Results'!R170*'Event Trigger'!$E171*(1-'Input Sheet year 2'!K171))</f>
        <v>0</v>
      </c>
      <c r="H170" s="73">
        <f>'Year 1 Results'!S170*-1+('Year 1 Results'!S170*'Event Trigger'!$E171*(1-'Input Sheet year 2'!L171))</f>
        <v>0</v>
      </c>
      <c r="I170" s="73">
        <f>'Year 1 Results'!T170*-1+('Year 1 Results'!T170*'Event Trigger'!$E171*(1-'Input Sheet year 2'!M171))</f>
        <v>200000</v>
      </c>
      <c r="J170" s="73">
        <f>'Year 1 Results'!U170*-1+('Year 1 Results'!U170*'Event Trigger'!$E171*(1-'Input Sheet year 2'!N171))</f>
        <v>0</v>
      </c>
      <c r="K170" s="73">
        <f>'Year 1 Results'!V170*-1+('Year 1 Results'!V170*'Event Trigger'!$E171*(1-'Input Sheet year 2'!O171))</f>
        <v>0</v>
      </c>
      <c r="L170" s="73">
        <f>'Year 1 Results'!W170*-1+('Year 1 Results'!W170*'Event Trigger'!$E171*(1-'Input Sheet year 2'!P171))</f>
        <v>0</v>
      </c>
      <c r="M170" s="73">
        <f>'Year 1 Results'!X170*-1+('Year 1 Results'!X170*'Event Trigger'!$E171*(1-'Input Sheet year 2'!Q171))</f>
        <v>0</v>
      </c>
      <c r="N170" s="88"/>
      <c r="O170" s="88">
        <f t="shared" si="20"/>
        <v>0</v>
      </c>
      <c r="P170" s="88">
        <f t="shared" si="21"/>
        <v>0</v>
      </c>
      <c r="Q170" s="88">
        <f t="shared" si="22"/>
        <v>0</v>
      </c>
      <c r="R170" s="88">
        <f t="shared" si="23"/>
        <v>0</v>
      </c>
      <c r="S170" s="88">
        <f t="shared" si="24"/>
        <v>0</v>
      </c>
      <c r="T170" s="88">
        <f t="shared" si="25"/>
        <v>-200000</v>
      </c>
      <c r="U170" s="88">
        <f t="shared" si="26"/>
        <v>0</v>
      </c>
      <c r="V170" s="88">
        <f t="shared" si="27"/>
        <v>0</v>
      </c>
      <c r="W170" s="88">
        <f t="shared" si="28"/>
        <v>0</v>
      </c>
      <c r="X170" s="88">
        <f t="shared" si="29"/>
        <v>0</v>
      </c>
    </row>
    <row r="171" spans="1:24" x14ac:dyDescent="0.25">
      <c r="A171" s="37" t="str">
        <f>'Risk Master'!B171:B254&amp;"-"&amp;'Risk Master'!D171</f>
        <v>Earthquake-Texas</v>
      </c>
      <c r="B171" s="37" t="str">
        <f>'Input Sheet year 2'!B172</f>
        <v>Earthquake-Texas</v>
      </c>
      <c r="C171" s="29" t="str">
        <f>'Risk Master'!F171</f>
        <v>A124</v>
      </c>
      <c r="D171" s="73">
        <f>'Year 1 Results'!O171*-1+('Year 1 Results'!O171*'Event Trigger'!$E172*(1-'Input Sheet year 2'!H172))</f>
        <v>1200000</v>
      </c>
      <c r="E171" s="73">
        <f>'Year 1 Results'!P171*-1+('Year 1 Results'!P171*'Event Trigger'!$E172*(1-'Input Sheet year 2'!I172))</f>
        <v>1200000</v>
      </c>
      <c r="F171" s="73">
        <f>'Year 1 Results'!Q171*-1+('Year 1 Results'!Q171*'Event Trigger'!$E172*(1-'Input Sheet year 2'!J172))</f>
        <v>1200000</v>
      </c>
      <c r="G171" s="73">
        <f>'Year 1 Results'!R171*-1+('Year 1 Results'!R171*'Event Trigger'!$E172*(1-'Input Sheet year 2'!K172))</f>
        <v>1200000</v>
      </c>
      <c r="H171" s="73">
        <f>'Year 1 Results'!S171*-1+('Year 1 Results'!S171*'Event Trigger'!$E172*(1-'Input Sheet year 2'!L172))</f>
        <v>1200000</v>
      </c>
      <c r="I171" s="73">
        <f>'Year 1 Results'!T171*-1+('Year 1 Results'!T171*'Event Trigger'!$E172*(1-'Input Sheet year 2'!M172))</f>
        <v>1200000</v>
      </c>
      <c r="J171" s="73">
        <f>'Year 1 Results'!U171*-1+('Year 1 Results'!U171*'Event Trigger'!$E172*(1-'Input Sheet year 2'!N172))</f>
        <v>1200000</v>
      </c>
      <c r="K171" s="73">
        <f>'Year 1 Results'!V171*-1+('Year 1 Results'!V171*'Event Trigger'!$E172*(1-'Input Sheet year 2'!O172))</f>
        <v>1200000</v>
      </c>
      <c r="L171" s="73">
        <f>'Year 1 Results'!W171*-1+('Year 1 Results'!W171*'Event Trigger'!$E172*(1-'Input Sheet year 2'!P172))</f>
        <v>1200000</v>
      </c>
      <c r="M171" s="73">
        <f>'Year 1 Results'!X171*-1+('Year 1 Results'!X171*'Event Trigger'!$E172*(1-'Input Sheet year 2'!Q172))</f>
        <v>1200000</v>
      </c>
      <c r="N171" s="88"/>
      <c r="O171" s="88">
        <f t="shared" si="20"/>
        <v>-1200000</v>
      </c>
      <c r="P171" s="88">
        <f t="shared" si="21"/>
        <v>-1200000</v>
      </c>
      <c r="Q171" s="88">
        <f t="shared" si="22"/>
        <v>-1200000</v>
      </c>
      <c r="R171" s="88">
        <f t="shared" si="23"/>
        <v>-1200000</v>
      </c>
      <c r="S171" s="88">
        <f t="shared" si="24"/>
        <v>-1200000</v>
      </c>
      <c r="T171" s="88">
        <f t="shared" si="25"/>
        <v>-1200000</v>
      </c>
      <c r="U171" s="88">
        <f t="shared" si="26"/>
        <v>-1200000</v>
      </c>
      <c r="V171" s="88">
        <f t="shared" si="27"/>
        <v>-1200000</v>
      </c>
      <c r="W171" s="88">
        <f t="shared" si="28"/>
        <v>-1200000</v>
      </c>
      <c r="X171" s="88">
        <f t="shared" si="29"/>
        <v>-1200000</v>
      </c>
    </row>
    <row r="172" spans="1:24" ht="25.5" x14ac:dyDescent="0.25">
      <c r="A172" s="37" t="str">
        <f>'Risk Master'!B172:B255&amp;"-"&amp;'Risk Master'!D172</f>
        <v>Thunderstorms, Tornados &amp; Hail-Texas</v>
      </c>
      <c r="B172" s="37" t="str">
        <f>'Input Sheet year 2'!B173</f>
        <v>Thunderstorms, Tornados &amp; Hail-Texas</v>
      </c>
      <c r="C172" s="29" t="str">
        <f>'Risk Master'!F172</f>
        <v>A124</v>
      </c>
      <c r="D172" s="73">
        <f>'Year 1 Results'!O172*-1+('Year 1 Results'!O172*'Event Trigger'!$E173*(1-'Input Sheet year 2'!H173))</f>
        <v>1200000</v>
      </c>
      <c r="E172" s="73">
        <f>'Year 1 Results'!P172*-1+('Year 1 Results'!P172*'Event Trigger'!$E173*(1-'Input Sheet year 2'!I173))</f>
        <v>1200000</v>
      </c>
      <c r="F172" s="73">
        <f>'Year 1 Results'!Q172*-1+('Year 1 Results'!Q172*'Event Trigger'!$E173*(1-'Input Sheet year 2'!J173))</f>
        <v>1200000</v>
      </c>
      <c r="G172" s="73">
        <f>'Year 1 Results'!R172*-1+('Year 1 Results'!R172*'Event Trigger'!$E173*(1-'Input Sheet year 2'!K173))</f>
        <v>1200000</v>
      </c>
      <c r="H172" s="73">
        <f>'Year 1 Results'!S172*-1+('Year 1 Results'!S172*'Event Trigger'!$E173*(1-'Input Sheet year 2'!L173))</f>
        <v>1200000</v>
      </c>
      <c r="I172" s="73">
        <f>'Year 1 Results'!T172*-1+('Year 1 Results'!T172*'Event Trigger'!$E173*(1-'Input Sheet year 2'!M173))</f>
        <v>1200000</v>
      </c>
      <c r="J172" s="73">
        <f>'Year 1 Results'!U172*-1+('Year 1 Results'!U172*'Event Trigger'!$E173*(1-'Input Sheet year 2'!N173))</f>
        <v>1200000</v>
      </c>
      <c r="K172" s="73">
        <f>'Year 1 Results'!V172*-1+('Year 1 Results'!V172*'Event Trigger'!$E173*(1-'Input Sheet year 2'!O173))</f>
        <v>1200000</v>
      </c>
      <c r="L172" s="73">
        <f>'Year 1 Results'!W172*-1+('Year 1 Results'!W172*'Event Trigger'!$E173*(1-'Input Sheet year 2'!P173))</f>
        <v>1200000</v>
      </c>
      <c r="M172" s="73">
        <f>'Year 1 Results'!X172*-1+('Year 1 Results'!X172*'Event Trigger'!$E173*(1-'Input Sheet year 2'!Q173))</f>
        <v>1200000</v>
      </c>
      <c r="N172" s="88"/>
      <c r="O172" s="88">
        <f t="shared" si="20"/>
        <v>-1200000</v>
      </c>
      <c r="P172" s="88">
        <f t="shared" si="21"/>
        <v>-1200000</v>
      </c>
      <c r="Q172" s="88">
        <f t="shared" si="22"/>
        <v>-1200000</v>
      </c>
      <c r="R172" s="88">
        <f t="shared" si="23"/>
        <v>-1200000</v>
      </c>
      <c r="S172" s="88">
        <f t="shared" si="24"/>
        <v>-1200000</v>
      </c>
      <c r="T172" s="88">
        <f t="shared" si="25"/>
        <v>-1200000</v>
      </c>
      <c r="U172" s="88">
        <f t="shared" si="26"/>
        <v>-1200000</v>
      </c>
      <c r="V172" s="88">
        <f t="shared" si="27"/>
        <v>-1200000</v>
      </c>
      <c r="W172" s="88">
        <f t="shared" si="28"/>
        <v>-1200000</v>
      </c>
      <c r="X172" s="88">
        <f t="shared" si="29"/>
        <v>-1200000</v>
      </c>
    </row>
    <row r="173" spans="1:24" x14ac:dyDescent="0.25">
      <c r="A173" s="37" t="str">
        <f>'Risk Master'!B173:B256&amp;"-"&amp;'Risk Master'!D173</f>
        <v>Hurricane-Typhoon -Texas</v>
      </c>
      <c r="B173" s="37" t="str">
        <f>'Input Sheet year 2'!B174</f>
        <v>Hurricane-Typhoon -Texas</v>
      </c>
      <c r="C173" s="29" t="str">
        <f>'Risk Master'!F173</f>
        <v>A124</v>
      </c>
      <c r="D173" s="73">
        <f>'Year 1 Results'!O173*-1+('Year 1 Results'!O173*'Event Trigger'!$E174*(1-'Input Sheet year 2'!H174))</f>
        <v>1200000</v>
      </c>
      <c r="E173" s="73">
        <f>'Year 1 Results'!P173*-1+('Year 1 Results'!P173*'Event Trigger'!$E174*(1-'Input Sheet year 2'!I174))</f>
        <v>1200000</v>
      </c>
      <c r="F173" s="73">
        <f>'Year 1 Results'!Q173*-1+('Year 1 Results'!Q173*'Event Trigger'!$E174*(1-'Input Sheet year 2'!J174))</f>
        <v>1200000</v>
      </c>
      <c r="G173" s="73">
        <f>'Year 1 Results'!R173*-1+('Year 1 Results'!R173*'Event Trigger'!$E174*(1-'Input Sheet year 2'!K174))</f>
        <v>1200000</v>
      </c>
      <c r="H173" s="73">
        <f>'Year 1 Results'!S173*-1+('Year 1 Results'!S173*'Event Trigger'!$E174*(1-'Input Sheet year 2'!L174))</f>
        <v>1200000</v>
      </c>
      <c r="I173" s="73">
        <f>'Year 1 Results'!T173*-1+('Year 1 Results'!T173*'Event Trigger'!$E174*(1-'Input Sheet year 2'!M174))</f>
        <v>1200000</v>
      </c>
      <c r="J173" s="73">
        <f>'Year 1 Results'!U173*-1+('Year 1 Results'!U173*'Event Trigger'!$E174*(1-'Input Sheet year 2'!N174))</f>
        <v>1200000</v>
      </c>
      <c r="K173" s="73">
        <f>'Year 1 Results'!V173*-1+('Year 1 Results'!V173*'Event Trigger'!$E174*(1-'Input Sheet year 2'!O174))</f>
        <v>1200000</v>
      </c>
      <c r="L173" s="73">
        <f>'Year 1 Results'!W173*-1+('Year 1 Results'!W173*'Event Trigger'!$E174*(1-'Input Sheet year 2'!P174))</f>
        <v>1200000</v>
      </c>
      <c r="M173" s="73">
        <f>'Year 1 Results'!X173*-1+('Year 1 Results'!X173*'Event Trigger'!$E174*(1-'Input Sheet year 2'!Q174))</f>
        <v>1200000</v>
      </c>
      <c r="N173" s="88"/>
      <c r="O173" s="88">
        <f t="shared" si="20"/>
        <v>-1200000</v>
      </c>
      <c r="P173" s="88">
        <f t="shared" si="21"/>
        <v>-1200000</v>
      </c>
      <c r="Q173" s="88">
        <f t="shared" si="22"/>
        <v>-1200000</v>
      </c>
      <c r="R173" s="88">
        <f t="shared" si="23"/>
        <v>-1200000</v>
      </c>
      <c r="S173" s="88">
        <f t="shared" si="24"/>
        <v>-1200000</v>
      </c>
      <c r="T173" s="88">
        <f t="shared" si="25"/>
        <v>-1200000</v>
      </c>
      <c r="U173" s="88">
        <f t="shared" si="26"/>
        <v>-1200000</v>
      </c>
      <c r="V173" s="88">
        <f t="shared" si="27"/>
        <v>-1200000</v>
      </c>
      <c r="W173" s="88">
        <f t="shared" si="28"/>
        <v>-1200000</v>
      </c>
      <c r="X173" s="88">
        <f t="shared" si="29"/>
        <v>-1200000</v>
      </c>
    </row>
    <row r="174" spans="1:24" x14ac:dyDescent="0.25">
      <c r="A174" s="37" t="str">
        <f>'Risk Master'!B174:B257&amp;"-"&amp;'Risk Master'!D174</f>
        <v>Earthquake-Texas</v>
      </c>
      <c r="B174" s="37" t="str">
        <f>'Input Sheet year 2'!B175</f>
        <v>Earthquake-Texas</v>
      </c>
      <c r="C174" s="29" t="str">
        <f>'Risk Master'!F174</f>
        <v>A127</v>
      </c>
      <c r="D174" s="73">
        <f>'Year 1 Results'!O174*-1+('Year 1 Results'!O174*'Event Trigger'!$E175*(1-'Input Sheet year 2'!H175))</f>
        <v>1000000</v>
      </c>
      <c r="E174" s="73">
        <f>'Year 1 Results'!P174*-1+('Year 1 Results'!P174*'Event Trigger'!$E175*(1-'Input Sheet year 2'!I175))</f>
        <v>1000000</v>
      </c>
      <c r="F174" s="73">
        <f>'Year 1 Results'!Q174*-1+('Year 1 Results'!Q174*'Event Trigger'!$E175*(1-'Input Sheet year 2'!J175))</f>
        <v>1000000</v>
      </c>
      <c r="G174" s="73">
        <f>'Year 1 Results'!R174*-1+('Year 1 Results'!R174*'Event Trigger'!$E175*(1-'Input Sheet year 2'!K175))</f>
        <v>1000000</v>
      </c>
      <c r="H174" s="73">
        <f>'Year 1 Results'!S174*-1+('Year 1 Results'!S174*'Event Trigger'!$E175*(1-'Input Sheet year 2'!L175))</f>
        <v>1000000</v>
      </c>
      <c r="I174" s="73">
        <f>'Year 1 Results'!T174*-1+('Year 1 Results'!T174*'Event Trigger'!$E175*(1-'Input Sheet year 2'!M175))</f>
        <v>1000000</v>
      </c>
      <c r="J174" s="73">
        <f>'Year 1 Results'!U174*-1+('Year 1 Results'!U174*'Event Trigger'!$E175*(1-'Input Sheet year 2'!N175))</f>
        <v>1000000</v>
      </c>
      <c r="K174" s="73">
        <f>'Year 1 Results'!V174*-1+('Year 1 Results'!V174*'Event Trigger'!$E175*(1-'Input Sheet year 2'!O175))</f>
        <v>1000000</v>
      </c>
      <c r="L174" s="73">
        <f>'Year 1 Results'!W174*-1+('Year 1 Results'!W174*'Event Trigger'!$E175*(1-'Input Sheet year 2'!P175))</f>
        <v>1000000</v>
      </c>
      <c r="M174" s="73">
        <f>'Year 1 Results'!X174*-1+('Year 1 Results'!X174*'Event Trigger'!$E175*(1-'Input Sheet year 2'!Q175))</f>
        <v>1000000</v>
      </c>
      <c r="N174" s="88"/>
      <c r="O174" s="88">
        <f t="shared" si="20"/>
        <v>-1000000</v>
      </c>
      <c r="P174" s="88">
        <f t="shared" si="21"/>
        <v>-1000000</v>
      </c>
      <c r="Q174" s="88">
        <f t="shared" si="22"/>
        <v>-1000000</v>
      </c>
      <c r="R174" s="88">
        <f t="shared" si="23"/>
        <v>-1000000</v>
      </c>
      <c r="S174" s="88">
        <f t="shared" si="24"/>
        <v>-1000000</v>
      </c>
      <c r="T174" s="88">
        <f t="shared" si="25"/>
        <v>-1000000</v>
      </c>
      <c r="U174" s="88">
        <f t="shared" si="26"/>
        <v>-1000000</v>
      </c>
      <c r="V174" s="88">
        <f t="shared" si="27"/>
        <v>-1000000</v>
      </c>
      <c r="W174" s="88">
        <f t="shared" si="28"/>
        <v>-1000000</v>
      </c>
      <c r="X174" s="88">
        <f t="shared" si="29"/>
        <v>-1000000</v>
      </c>
    </row>
    <row r="175" spans="1:24" x14ac:dyDescent="0.25">
      <c r="A175" s="37" t="str">
        <f>'Risk Master'!B175:B258&amp;"-"&amp;'Risk Master'!D175</f>
        <v>Hurricane-Typhoon -Texas</v>
      </c>
      <c r="B175" s="37" t="str">
        <f>'Input Sheet year 2'!B176</f>
        <v>Hurricane-Typhoon -Texas</v>
      </c>
      <c r="C175" s="29" t="str">
        <f>'Risk Master'!F175</f>
        <v>A128</v>
      </c>
      <c r="D175" s="73">
        <f>'Year 1 Results'!O175*-1+('Year 1 Results'!O175*'Event Trigger'!$E176*(1-'Input Sheet year 2'!H176))</f>
        <v>300000</v>
      </c>
      <c r="E175" s="73">
        <f>'Year 1 Results'!P175*-1+('Year 1 Results'!P175*'Event Trigger'!$E176*(1-'Input Sheet year 2'!I176))</f>
        <v>300000</v>
      </c>
      <c r="F175" s="73">
        <f>'Year 1 Results'!Q175*-1+('Year 1 Results'!Q175*'Event Trigger'!$E176*(1-'Input Sheet year 2'!J176))</f>
        <v>300000</v>
      </c>
      <c r="G175" s="73">
        <f>'Year 1 Results'!R175*-1+('Year 1 Results'!R175*'Event Trigger'!$E176*(1-'Input Sheet year 2'!K176))</f>
        <v>300000</v>
      </c>
      <c r="H175" s="73">
        <f>'Year 1 Results'!S175*-1+('Year 1 Results'!S175*'Event Trigger'!$E176*(1-'Input Sheet year 2'!L176))</f>
        <v>300000</v>
      </c>
      <c r="I175" s="73">
        <f>'Year 1 Results'!T175*-1+('Year 1 Results'!T175*'Event Trigger'!$E176*(1-'Input Sheet year 2'!M176))</f>
        <v>300000</v>
      </c>
      <c r="J175" s="73">
        <f>'Year 1 Results'!U175*-1+('Year 1 Results'!U175*'Event Trigger'!$E176*(1-'Input Sheet year 2'!N176))</f>
        <v>300000</v>
      </c>
      <c r="K175" s="73">
        <f>'Year 1 Results'!V175*-1+('Year 1 Results'!V175*'Event Trigger'!$E176*(1-'Input Sheet year 2'!O176))</f>
        <v>300000</v>
      </c>
      <c r="L175" s="73">
        <f>'Year 1 Results'!W175*-1+('Year 1 Results'!W175*'Event Trigger'!$E176*(1-'Input Sheet year 2'!P176))</f>
        <v>300000</v>
      </c>
      <c r="M175" s="73">
        <f>'Year 1 Results'!X175*-1+('Year 1 Results'!X175*'Event Trigger'!$E176*(1-'Input Sheet year 2'!Q176))</f>
        <v>300000</v>
      </c>
      <c r="N175" s="88"/>
      <c r="O175" s="88">
        <f t="shared" si="20"/>
        <v>-300000</v>
      </c>
      <c r="P175" s="88">
        <f t="shared" si="21"/>
        <v>-300000</v>
      </c>
      <c r="Q175" s="88">
        <f t="shared" si="22"/>
        <v>-300000</v>
      </c>
      <c r="R175" s="88">
        <f t="shared" si="23"/>
        <v>-300000</v>
      </c>
      <c r="S175" s="88">
        <f t="shared" si="24"/>
        <v>-300000</v>
      </c>
      <c r="T175" s="88">
        <f t="shared" si="25"/>
        <v>-300000</v>
      </c>
      <c r="U175" s="88">
        <f t="shared" si="26"/>
        <v>-300000</v>
      </c>
      <c r="V175" s="88">
        <f t="shared" si="27"/>
        <v>-300000</v>
      </c>
      <c r="W175" s="88">
        <f t="shared" si="28"/>
        <v>-300000</v>
      </c>
      <c r="X175" s="88">
        <f t="shared" si="29"/>
        <v>-300000</v>
      </c>
    </row>
    <row r="176" spans="1:24" ht="25.5" x14ac:dyDescent="0.25">
      <c r="A176" s="37" t="str">
        <f>'Risk Master'!B176:B259&amp;"-"&amp;'Risk Master'!D176</f>
        <v>Thunderstorms, Tornados &amp; Hail-Texas</v>
      </c>
      <c r="B176" s="37" t="str">
        <f>'Input Sheet year 2'!B177</f>
        <v>Thunderstorms, Tornados &amp; Hail-Texas</v>
      </c>
      <c r="C176" s="29" t="str">
        <f>'Risk Master'!F176</f>
        <v>A131</v>
      </c>
      <c r="D176" s="73">
        <f>'Year 1 Results'!O176*-1+('Year 1 Results'!O176*'Event Trigger'!$E177*(1-'Input Sheet year 2'!H177))</f>
        <v>1000000</v>
      </c>
      <c r="E176" s="73">
        <f>'Year 1 Results'!P176*-1+('Year 1 Results'!P176*'Event Trigger'!$E177*(1-'Input Sheet year 2'!I177))</f>
        <v>1000000</v>
      </c>
      <c r="F176" s="73">
        <f>'Year 1 Results'!Q176*-1+('Year 1 Results'!Q176*'Event Trigger'!$E177*(1-'Input Sheet year 2'!J177))</f>
        <v>1000000</v>
      </c>
      <c r="G176" s="73">
        <f>'Year 1 Results'!R176*-1+('Year 1 Results'!R176*'Event Trigger'!$E177*(1-'Input Sheet year 2'!K177))</f>
        <v>1000000</v>
      </c>
      <c r="H176" s="73">
        <f>'Year 1 Results'!S176*-1+('Year 1 Results'!S176*'Event Trigger'!$E177*(1-'Input Sheet year 2'!L177))</f>
        <v>1000000</v>
      </c>
      <c r="I176" s="73">
        <f>'Year 1 Results'!T176*-1+('Year 1 Results'!T176*'Event Trigger'!$E177*(1-'Input Sheet year 2'!M177))</f>
        <v>1000000</v>
      </c>
      <c r="J176" s="73">
        <f>'Year 1 Results'!U176*-1+('Year 1 Results'!U176*'Event Trigger'!$E177*(1-'Input Sheet year 2'!N177))</f>
        <v>1000000</v>
      </c>
      <c r="K176" s="73">
        <f>'Year 1 Results'!V176*-1+('Year 1 Results'!V176*'Event Trigger'!$E177*(1-'Input Sheet year 2'!O177))</f>
        <v>1000000</v>
      </c>
      <c r="L176" s="73">
        <f>'Year 1 Results'!W176*-1+('Year 1 Results'!W176*'Event Trigger'!$E177*(1-'Input Sheet year 2'!P177))</f>
        <v>1000000</v>
      </c>
      <c r="M176" s="73">
        <f>'Year 1 Results'!X176*-1+('Year 1 Results'!X176*'Event Trigger'!$E177*(1-'Input Sheet year 2'!Q177))</f>
        <v>1000000</v>
      </c>
      <c r="N176" s="88"/>
      <c r="O176" s="88">
        <f t="shared" si="20"/>
        <v>-1000000</v>
      </c>
      <c r="P176" s="88">
        <f t="shared" si="21"/>
        <v>-1000000</v>
      </c>
      <c r="Q176" s="88">
        <f t="shared" si="22"/>
        <v>-1000000</v>
      </c>
      <c r="R176" s="88">
        <f t="shared" si="23"/>
        <v>-1000000</v>
      </c>
      <c r="S176" s="88">
        <f t="shared" si="24"/>
        <v>-1000000</v>
      </c>
      <c r="T176" s="88">
        <f t="shared" si="25"/>
        <v>-1000000</v>
      </c>
      <c r="U176" s="88">
        <f t="shared" si="26"/>
        <v>-1000000</v>
      </c>
      <c r="V176" s="88">
        <f t="shared" si="27"/>
        <v>-1000000</v>
      </c>
      <c r="W176" s="88">
        <f t="shared" si="28"/>
        <v>-1000000</v>
      </c>
      <c r="X176" s="88">
        <f t="shared" si="29"/>
        <v>-1000000</v>
      </c>
    </row>
    <row r="177" spans="1:24" x14ac:dyDescent="0.25">
      <c r="A177" s="37" t="str">
        <f>'Risk Master'!B177:B260&amp;"-"&amp;'Risk Master'!D177</f>
        <v>Hurricane-Typhoon -Texas</v>
      </c>
      <c r="B177" s="37" t="str">
        <f>'Input Sheet year 2'!B178</f>
        <v>Hurricane-Typhoon -Texas</v>
      </c>
      <c r="C177" s="29" t="str">
        <f>'Risk Master'!F177</f>
        <v>A131</v>
      </c>
      <c r="D177" s="73">
        <f>'Year 1 Results'!O177*-1+('Year 1 Results'!O177*'Event Trigger'!$E178*(1-'Input Sheet year 2'!H178))</f>
        <v>1000000</v>
      </c>
      <c r="E177" s="73">
        <f>'Year 1 Results'!P177*-1+('Year 1 Results'!P177*'Event Trigger'!$E178*(1-'Input Sheet year 2'!I178))</f>
        <v>1000000</v>
      </c>
      <c r="F177" s="73">
        <f>'Year 1 Results'!Q177*-1+('Year 1 Results'!Q177*'Event Trigger'!$E178*(1-'Input Sheet year 2'!J178))</f>
        <v>1000000</v>
      </c>
      <c r="G177" s="73">
        <f>'Year 1 Results'!R177*-1+('Year 1 Results'!R177*'Event Trigger'!$E178*(1-'Input Sheet year 2'!K178))</f>
        <v>1000000</v>
      </c>
      <c r="H177" s="73">
        <f>'Year 1 Results'!S177*-1+('Year 1 Results'!S177*'Event Trigger'!$E178*(1-'Input Sheet year 2'!L178))</f>
        <v>1000000</v>
      </c>
      <c r="I177" s="73">
        <f>'Year 1 Results'!T177*-1+('Year 1 Results'!T177*'Event Trigger'!$E178*(1-'Input Sheet year 2'!M178))</f>
        <v>1000000</v>
      </c>
      <c r="J177" s="73">
        <f>'Year 1 Results'!U177*-1+('Year 1 Results'!U177*'Event Trigger'!$E178*(1-'Input Sheet year 2'!N178))</f>
        <v>1000000</v>
      </c>
      <c r="K177" s="73">
        <f>'Year 1 Results'!V177*-1+('Year 1 Results'!V177*'Event Trigger'!$E178*(1-'Input Sheet year 2'!O178))</f>
        <v>1000000</v>
      </c>
      <c r="L177" s="73">
        <f>'Year 1 Results'!W177*-1+('Year 1 Results'!W177*'Event Trigger'!$E178*(1-'Input Sheet year 2'!P178))</f>
        <v>1000000</v>
      </c>
      <c r="M177" s="73">
        <f>'Year 1 Results'!X177*-1+('Year 1 Results'!X177*'Event Trigger'!$E178*(1-'Input Sheet year 2'!Q178))</f>
        <v>1000000</v>
      </c>
      <c r="N177" s="88"/>
      <c r="O177" s="88">
        <f t="shared" si="20"/>
        <v>-1000000</v>
      </c>
      <c r="P177" s="88">
        <f t="shared" si="21"/>
        <v>-1000000</v>
      </c>
      <c r="Q177" s="88">
        <f t="shared" si="22"/>
        <v>-1000000</v>
      </c>
      <c r="R177" s="88">
        <f t="shared" si="23"/>
        <v>-1000000</v>
      </c>
      <c r="S177" s="88">
        <f t="shared" si="24"/>
        <v>-1000000</v>
      </c>
      <c r="T177" s="88">
        <f t="shared" si="25"/>
        <v>-1000000</v>
      </c>
      <c r="U177" s="88">
        <f t="shared" si="26"/>
        <v>-1000000</v>
      </c>
      <c r="V177" s="88">
        <f t="shared" si="27"/>
        <v>-1000000</v>
      </c>
      <c r="W177" s="88">
        <f t="shared" si="28"/>
        <v>-1000000</v>
      </c>
      <c r="X177" s="88">
        <f t="shared" si="29"/>
        <v>-1000000</v>
      </c>
    </row>
    <row r="178" spans="1:24" x14ac:dyDescent="0.25">
      <c r="A178" s="37" t="str">
        <f>'Risk Master'!B178:B261&amp;"-"&amp;'Risk Master'!D178</f>
        <v>Earthquake-Texas</v>
      </c>
      <c r="B178" s="37" t="str">
        <f>'Input Sheet year 2'!B179</f>
        <v>Earthquake-Texas</v>
      </c>
      <c r="C178" s="29" t="str">
        <f>'Risk Master'!F178</f>
        <v>A131</v>
      </c>
      <c r="D178" s="73">
        <f>'Year 1 Results'!O178*-1+('Year 1 Results'!O178*'Event Trigger'!$E179*(1-'Input Sheet year 2'!H179))</f>
        <v>1000000</v>
      </c>
      <c r="E178" s="73">
        <f>'Year 1 Results'!P178*-1+('Year 1 Results'!P178*'Event Trigger'!$E179*(1-'Input Sheet year 2'!I179))</f>
        <v>1000000</v>
      </c>
      <c r="F178" s="73">
        <f>'Year 1 Results'!Q178*-1+('Year 1 Results'!Q178*'Event Trigger'!$E179*(1-'Input Sheet year 2'!J179))</f>
        <v>1000000</v>
      </c>
      <c r="G178" s="73">
        <f>'Year 1 Results'!R178*-1+('Year 1 Results'!R178*'Event Trigger'!$E179*(1-'Input Sheet year 2'!K179))</f>
        <v>1000000</v>
      </c>
      <c r="H178" s="73">
        <f>'Year 1 Results'!S178*-1+('Year 1 Results'!S178*'Event Trigger'!$E179*(1-'Input Sheet year 2'!L179))</f>
        <v>1000000</v>
      </c>
      <c r="I178" s="73">
        <f>'Year 1 Results'!T178*-1+('Year 1 Results'!T178*'Event Trigger'!$E179*(1-'Input Sheet year 2'!M179))</f>
        <v>1000000</v>
      </c>
      <c r="J178" s="73">
        <f>'Year 1 Results'!U178*-1+('Year 1 Results'!U178*'Event Trigger'!$E179*(1-'Input Sheet year 2'!N179))</f>
        <v>1000000</v>
      </c>
      <c r="K178" s="73">
        <f>'Year 1 Results'!V178*-1+('Year 1 Results'!V178*'Event Trigger'!$E179*(1-'Input Sheet year 2'!O179))</f>
        <v>1000000</v>
      </c>
      <c r="L178" s="73">
        <f>'Year 1 Results'!W178*-1+('Year 1 Results'!W178*'Event Trigger'!$E179*(1-'Input Sheet year 2'!P179))</f>
        <v>1000000</v>
      </c>
      <c r="M178" s="73">
        <f>'Year 1 Results'!X178*-1+('Year 1 Results'!X178*'Event Trigger'!$E179*(1-'Input Sheet year 2'!Q179))</f>
        <v>1000000</v>
      </c>
      <c r="N178" s="88"/>
      <c r="O178" s="88">
        <f t="shared" si="20"/>
        <v>-1000000</v>
      </c>
      <c r="P178" s="88">
        <f t="shared" si="21"/>
        <v>-1000000</v>
      </c>
      <c r="Q178" s="88">
        <f t="shared" si="22"/>
        <v>-1000000</v>
      </c>
      <c r="R178" s="88">
        <f t="shared" si="23"/>
        <v>-1000000</v>
      </c>
      <c r="S178" s="88">
        <f t="shared" si="24"/>
        <v>-1000000</v>
      </c>
      <c r="T178" s="88">
        <f t="shared" si="25"/>
        <v>-1000000</v>
      </c>
      <c r="U178" s="88">
        <f t="shared" si="26"/>
        <v>-1000000</v>
      </c>
      <c r="V178" s="88">
        <f t="shared" si="27"/>
        <v>-1000000</v>
      </c>
      <c r="W178" s="88">
        <f t="shared" si="28"/>
        <v>-1000000</v>
      </c>
      <c r="X178" s="88">
        <f t="shared" si="29"/>
        <v>-1000000</v>
      </c>
    </row>
    <row r="179" spans="1:24" x14ac:dyDescent="0.25">
      <c r="A179" s="37" t="str">
        <f>'Risk Master'!B179:B262&amp;"-"&amp;'Risk Master'!D179</f>
        <v>Hurricane-Typhoon -Texas</v>
      </c>
      <c r="B179" s="37" t="str">
        <f>'Input Sheet year 2'!B180</f>
        <v>Hurricane-Typhoon -Texas</v>
      </c>
      <c r="C179" s="29" t="str">
        <f>'Risk Master'!F179</f>
        <v>A132</v>
      </c>
      <c r="D179" s="73">
        <f>'Year 1 Results'!O179*-1+('Year 1 Results'!O179*'Event Trigger'!$E180*(1-'Input Sheet year 2'!H180))</f>
        <v>500000</v>
      </c>
      <c r="E179" s="73">
        <f>'Year 1 Results'!P179*-1+('Year 1 Results'!P179*'Event Trigger'!$E180*(1-'Input Sheet year 2'!I180))</f>
        <v>500000</v>
      </c>
      <c r="F179" s="73">
        <f>'Year 1 Results'!Q179*-1+('Year 1 Results'!Q179*'Event Trigger'!$E180*(1-'Input Sheet year 2'!J180))</f>
        <v>500000</v>
      </c>
      <c r="G179" s="73">
        <f>'Year 1 Results'!R179*-1+('Year 1 Results'!R179*'Event Trigger'!$E180*(1-'Input Sheet year 2'!K180))</f>
        <v>500000</v>
      </c>
      <c r="H179" s="73">
        <f>'Year 1 Results'!S179*-1+('Year 1 Results'!S179*'Event Trigger'!$E180*(1-'Input Sheet year 2'!L180))</f>
        <v>500000</v>
      </c>
      <c r="I179" s="73">
        <f>'Year 1 Results'!T179*-1+('Year 1 Results'!T179*'Event Trigger'!$E180*(1-'Input Sheet year 2'!M180))</f>
        <v>500000</v>
      </c>
      <c r="J179" s="73">
        <f>'Year 1 Results'!U179*-1+('Year 1 Results'!U179*'Event Trigger'!$E180*(1-'Input Sheet year 2'!N180))</f>
        <v>500000</v>
      </c>
      <c r="K179" s="73">
        <f>'Year 1 Results'!V179*-1+('Year 1 Results'!V179*'Event Trigger'!$E180*(1-'Input Sheet year 2'!O180))</f>
        <v>500000</v>
      </c>
      <c r="L179" s="73">
        <f>'Year 1 Results'!W179*-1+('Year 1 Results'!W179*'Event Trigger'!$E180*(1-'Input Sheet year 2'!P180))</f>
        <v>500000</v>
      </c>
      <c r="M179" s="73">
        <f>'Year 1 Results'!X179*-1+('Year 1 Results'!X179*'Event Trigger'!$E180*(1-'Input Sheet year 2'!Q180))</f>
        <v>500000</v>
      </c>
      <c r="N179" s="88"/>
      <c r="O179" s="88">
        <f t="shared" si="20"/>
        <v>-500000</v>
      </c>
      <c r="P179" s="88">
        <f t="shared" si="21"/>
        <v>-500000</v>
      </c>
      <c r="Q179" s="88">
        <f t="shared" si="22"/>
        <v>-500000</v>
      </c>
      <c r="R179" s="88">
        <f t="shared" si="23"/>
        <v>-500000</v>
      </c>
      <c r="S179" s="88">
        <f t="shared" si="24"/>
        <v>-500000</v>
      </c>
      <c r="T179" s="88">
        <f t="shared" si="25"/>
        <v>-500000</v>
      </c>
      <c r="U179" s="88">
        <f t="shared" si="26"/>
        <v>-500000</v>
      </c>
      <c r="V179" s="88">
        <f t="shared" si="27"/>
        <v>-500000</v>
      </c>
      <c r="W179" s="88">
        <f t="shared" si="28"/>
        <v>-500000</v>
      </c>
      <c r="X179" s="88">
        <f t="shared" si="29"/>
        <v>-500000</v>
      </c>
    </row>
    <row r="180" spans="1:24" ht="25.5" x14ac:dyDescent="0.25">
      <c r="A180" s="37" t="str">
        <f>'Risk Master'!B180:B263&amp;"-"&amp;'Risk Master'!D180</f>
        <v>Thunderstorms, Tornados &amp; Hail-Texas</v>
      </c>
      <c r="B180" s="37" t="str">
        <f>'Input Sheet year 2'!B181</f>
        <v>Thunderstorms, Tornados &amp; Hail-Texas</v>
      </c>
      <c r="C180" s="29" t="str">
        <f>'Risk Master'!F180</f>
        <v>A132</v>
      </c>
      <c r="D180" s="73">
        <f>'Year 1 Results'!O180*-1+('Year 1 Results'!O180*'Event Trigger'!$E181*(1-'Input Sheet year 2'!H181))</f>
        <v>500000</v>
      </c>
      <c r="E180" s="73">
        <f>'Year 1 Results'!P180*-1+('Year 1 Results'!P180*'Event Trigger'!$E181*(1-'Input Sheet year 2'!I181))</f>
        <v>500000</v>
      </c>
      <c r="F180" s="73">
        <f>'Year 1 Results'!Q180*-1+('Year 1 Results'!Q180*'Event Trigger'!$E181*(1-'Input Sheet year 2'!J181))</f>
        <v>500000</v>
      </c>
      <c r="G180" s="73">
        <f>'Year 1 Results'!R180*-1+('Year 1 Results'!R180*'Event Trigger'!$E181*(1-'Input Sheet year 2'!K181))</f>
        <v>500000</v>
      </c>
      <c r="H180" s="73">
        <f>'Year 1 Results'!S180*-1+('Year 1 Results'!S180*'Event Trigger'!$E181*(1-'Input Sheet year 2'!L181))</f>
        <v>500000</v>
      </c>
      <c r="I180" s="73">
        <f>'Year 1 Results'!T180*-1+('Year 1 Results'!T180*'Event Trigger'!$E181*(1-'Input Sheet year 2'!M181))</f>
        <v>500000</v>
      </c>
      <c r="J180" s="73">
        <f>'Year 1 Results'!U180*-1+('Year 1 Results'!U180*'Event Trigger'!$E181*(1-'Input Sheet year 2'!N181))</f>
        <v>500000</v>
      </c>
      <c r="K180" s="73">
        <f>'Year 1 Results'!V180*-1+('Year 1 Results'!V180*'Event Trigger'!$E181*(1-'Input Sheet year 2'!O181))</f>
        <v>500000</v>
      </c>
      <c r="L180" s="73">
        <f>'Year 1 Results'!W180*-1+('Year 1 Results'!W180*'Event Trigger'!$E181*(1-'Input Sheet year 2'!P181))</f>
        <v>500000</v>
      </c>
      <c r="M180" s="73">
        <f>'Year 1 Results'!X180*-1+('Year 1 Results'!X180*'Event Trigger'!$E181*(1-'Input Sheet year 2'!Q181))</f>
        <v>500000</v>
      </c>
      <c r="N180" s="88"/>
      <c r="O180" s="88">
        <f t="shared" si="20"/>
        <v>-500000</v>
      </c>
      <c r="P180" s="88">
        <f t="shared" si="21"/>
        <v>-500000</v>
      </c>
      <c r="Q180" s="88">
        <f t="shared" si="22"/>
        <v>-500000</v>
      </c>
      <c r="R180" s="88">
        <f t="shared" si="23"/>
        <v>-500000</v>
      </c>
      <c r="S180" s="88">
        <f t="shared" si="24"/>
        <v>-500000</v>
      </c>
      <c r="T180" s="88">
        <f t="shared" si="25"/>
        <v>-500000</v>
      </c>
      <c r="U180" s="88">
        <f t="shared" si="26"/>
        <v>-500000</v>
      </c>
      <c r="V180" s="88">
        <f t="shared" si="27"/>
        <v>-500000</v>
      </c>
      <c r="W180" s="88">
        <f t="shared" si="28"/>
        <v>-500000</v>
      </c>
      <c r="X180" s="88">
        <f t="shared" si="29"/>
        <v>-500000</v>
      </c>
    </row>
    <row r="181" spans="1:24" x14ac:dyDescent="0.25">
      <c r="A181" s="37" t="str">
        <f>'Risk Master'!B181:B264&amp;"-"&amp;'Risk Master'!D181</f>
        <v>Hurricane-Typhoon -Texas</v>
      </c>
      <c r="B181" s="37" t="str">
        <f>'Input Sheet year 2'!B182</f>
        <v>Hurricane-Typhoon -Texas</v>
      </c>
      <c r="C181" s="29" t="str">
        <f>'Risk Master'!F181</f>
        <v>A133</v>
      </c>
      <c r="D181" s="73">
        <f>'Year 1 Results'!O181*-1+('Year 1 Results'!O181*'Event Trigger'!$E182*(1-'Input Sheet year 2'!H182))</f>
        <v>200000</v>
      </c>
      <c r="E181" s="73">
        <f>'Year 1 Results'!P181*-1+('Year 1 Results'!P181*'Event Trigger'!$E182*(1-'Input Sheet year 2'!I182))</f>
        <v>200000</v>
      </c>
      <c r="F181" s="73">
        <f>'Year 1 Results'!Q181*-1+('Year 1 Results'!Q181*'Event Trigger'!$E182*(1-'Input Sheet year 2'!J182))</f>
        <v>200000</v>
      </c>
      <c r="G181" s="73">
        <f>'Year 1 Results'!R181*-1+('Year 1 Results'!R181*'Event Trigger'!$E182*(1-'Input Sheet year 2'!K182))</f>
        <v>200000</v>
      </c>
      <c r="H181" s="73">
        <f>'Year 1 Results'!S181*-1+('Year 1 Results'!S181*'Event Trigger'!$E182*(1-'Input Sheet year 2'!L182))</f>
        <v>200000</v>
      </c>
      <c r="I181" s="73">
        <f>'Year 1 Results'!T181*-1+('Year 1 Results'!T181*'Event Trigger'!$E182*(1-'Input Sheet year 2'!M182))</f>
        <v>200000</v>
      </c>
      <c r="J181" s="73">
        <f>'Year 1 Results'!U181*-1+('Year 1 Results'!U181*'Event Trigger'!$E182*(1-'Input Sheet year 2'!N182))</f>
        <v>200000</v>
      </c>
      <c r="K181" s="73">
        <f>'Year 1 Results'!V181*-1+('Year 1 Results'!V181*'Event Trigger'!$E182*(1-'Input Sheet year 2'!O182))</f>
        <v>200000</v>
      </c>
      <c r="L181" s="73">
        <f>'Year 1 Results'!W181*-1+('Year 1 Results'!W181*'Event Trigger'!$E182*(1-'Input Sheet year 2'!P182))</f>
        <v>200000</v>
      </c>
      <c r="M181" s="73">
        <f>'Year 1 Results'!X181*-1+('Year 1 Results'!X181*'Event Trigger'!$E182*(1-'Input Sheet year 2'!Q182))</f>
        <v>200000</v>
      </c>
      <c r="N181" s="88"/>
      <c r="O181" s="88">
        <f t="shared" si="20"/>
        <v>-200000</v>
      </c>
      <c r="P181" s="88">
        <f t="shared" si="21"/>
        <v>-200000</v>
      </c>
      <c r="Q181" s="88">
        <f t="shared" si="22"/>
        <v>-200000</v>
      </c>
      <c r="R181" s="88">
        <f t="shared" si="23"/>
        <v>-200000</v>
      </c>
      <c r="S181" s="88">
        <f t="shared" si="24"/>
        <v>-200000</v>
      </c>
      <c r="T181" s="88">
        <f t="shared" si="25"/>
        <v>-200000</v>
      </c>
      <c r="U181" s="88">
        <f t="shared" si="26"/>
        <v>-200000</v>
      </c>
      <c r="V181" s="88">
        <f t="shared" si="27"/>
        <v>-200000</v>
      </c>
      <c r="W181" s="88">
        <f t="shared" si="28"/>
        <v>-200000</v>
      </c>
      <c r="X181" s="88">
        <f t="shared" si="29"/>
        <v>-200000</v>
      </c>
    </row>
    <row r="182" spans="1:24" x14ac:dyDescent="0.25">
      <c r="A182" s="37" t="str">
        <f>'Risk Master'!B182:B265&amp;"-"&amp;'Risk Master'!D182</f>
        <v>Earthquake-Texas</v>
      </c>
      <c r="B182" s="37" t="str">
        <f>'Input Sheet year 2'!B183</f>
        <v>Earthquake-Texas</v>
      </c>
      <c r="C182" s="29" t="str">
        <f>'Risk Master'!F182</f>
        <v>A135</v>
      </c>
      <c r="D182" s="73">
        <f>'Year 1 Results'!O182*-1+('Year 1 Results'!O182*'Event Trigger'!$E183*(1-'Input Sheet year 2'!H183))</f>
        <v>200000</v>
      </c>
      <c r="E182" s="73">
        <f>'Year 1 Results'!P182*-1+('Year 1 Results'!P182*'Event Trigger'!$E183*(1-'Input Sheet year 2'!I183))</f>
        <v>200000</v>
      </c>
      <c r="F182" s="73">
        <f>'Year 1 Results'!Q182*-1+('Year 1 Results'!Q182*'Event Trigger'!$E183*(1-'Input Sheet year 2'!J183))</f>
        <v>200000</v>
      </c>
      <c r="G182" s="73">
        <f>'Year 1 Results'!R182*-1+('Year 1 Results'!R182*'Event Trigger'!$E183*(1-'Input Sheet year 2'!K183))</f>
        <v>200000</v>
      </c>
      <c r="H182" s="73">
        <f>'Year 1 Results'!S182*-1+('Year 1 Results'!S182*'Event Trigger'!$E183*(1-'Input Sheet year 2'!L183))</f>
        <v>200000</v>
      </c>
      <c r="I182" s="73">
        <f>'Year 1 Results'!T182*-1+('Year 1 Results'!T182*'Event Trigger'!$E183*(1-'Input Sheet year 2'!M183))</f>
        <v>200000</v>
      </c>
      <c r="J182" s="73">
        <f>'Year 1 Results'!U182*-1+('Year 1 Results'!U182*'Event Trigger'!$E183*(1-'Input Sheet year 2'!N183))</f>
        <v>200000</v>
      </c>
      <c r="K182" s="73">
        <f>'Year 1 Results'!V182*-1+('Year 1 Results'!V182*'Event Trigger'!$E183*(1-'Input Sheet year 2'!O183))</f>
        <v>200000</v>
      </c>
      <c r="L182" s="73">
        <f>'Year 1 Results'!W182*-1+('Year 1 Results'!W182*'Event Trigger'!$E183*(1-'Input Sheet year 2'!P183))</f>
        <v>200000</v>
      </c>
      <c r="M182" s="73">
        <f>'Year 1 Results'!X182*-1+('Year 1 Results'!X182*'Event Trigger'!$E183*(1-'Input Sheet year 2'!Q183))</f>
        <v>200000</v>
      </c>
      <c r="N182" s="88"/>
      <c r="O182" s="88">
        <f t="shared" si="20"/>
        <v>-200000</v>
      </c>
      <c r="P182" s="88">
        <f t="shared" si="21"/>
        <v>-200000</v>
      </c>
      <c r="Q182" s="88">
        <f t="shared" si="22"/>
        <v>-200000</v>
      </c>
      <c r="R182" s="88">
        <f t="shared" si="23"/>
        <v>-200000</v>
      </c>
      <c r="S182" s="88">
        <f t="shared" si="24"/>
        <v>-200000</v>
      </c>
      <c r="T182" s="88">
        <f t="shared" si="25"/>
        <v>-200000</v>
      </c>
      <c r="U182" s="88">
        <f t="shared" si="26"/>
        <v>-200000</v>
      </c>
      <c r="V182" s="88">
        <f t="shared" si="27"/>
        <v>-200000</v>
      </c>
      <c r="W182" s="88">
        <f t="shared" si="28"/>
        <v>-200000</v>
      </c>
      <c r="X182" s="88">
        <f t="shared" si="29"/>
        <v>-200000</v>
      </c>
    </row>
    <row r="183" spans="1:24" x14ac:dyDescent="0.25">
      <c r="A183" s="37" t="str">
        <f>'Risk Master'!B183:B266&amp;"-"&amp;'Risk Master'!D183</f>
        <v>Hurricane-Typhoon -Texas</v>
      </c>
      <c r="B183" s="37" t="str">
        <f>'Input Sheet year 2'!B184</f>
        <v>Hurricane-Typhoon -Texas</v>
      </c>
      <c r="C183" s="29" t="str">
        <f>'Risk Master'!F183</f>
        <v>A135</v>
      </c>
      <c r="D183" s="73">
        <f>'Year 1 Results'!O183*-1+('Year 1 Results'!O183*'Event Trigger'!$E184*(1-'Input Sheet year 2'!H184))</f>
        <v>200000</v>
      </c>
      <c r="E183" s="73">
        <f>'Year 1 Results'!P183*-1+('Year 1 Results'!P183*'Event Trigger'!$E184*(1-'Input Sheet year 2'!I184))</f>
        <v>200000</v>
      </c>
      <c r="F183" s="73">
        <f>'Year 1 Results'!Q183*-1+('Year 1 Results'!Q183*'Event Trigger'!$E184*(1-'Input Sheet year 2'!J184))</f>
        <v>200000</v>
      </c>
      <c r="G183" s="73">
        <f>'Year 1 Results'!R183*-1+('Year 1 Results'!R183*'Event Trigger'!$E184*(1-'Input Sheet year 2'!K184))</f>
        <v>200000</v>
      </c>
      <c r="H183" s="73">
        <f>'Year 1 Results'!S183*-1+('Year 1 Results'!S183*'Event Trigger'!$E184*(1-'Input Sheet year 2'!L184))</f>
        <v>200000</v>
      </c>
      <c r="I183" s="73">
        <f>'Year 1 Results'!T183*-1+('Year 1 Results'!T183*'Event Trigger'!$E184*(1-'Input Sheet year 2'!M184))</f>
        <v>200000</v>
      </c>
      <c r="J183" s="73">
        <f>'Year 1 Results'!U183*-1+('Year 1 Results'!U183*'Event Trigger'!$E184*(1-'Input Sheet year 2'!N184))</f>
        <v>200000</v>
      </c>
      <c r="K183" s="73">
        <f>'Year 1 Results'!V183*-1+('Year 1 Results'!V183*'Event Trigger'!$E184*(1-'Input Sheet year 2'!O184))</f>
        <v>200000</v>
      </c>
      <c r="L183" s="73">
        <f>'Year 1 Results'!W183*-1+('Year 1 Results'!W183*'Event Trigger'!$E184*(1-'Input Sheet year 2'!P184))</f>
        <v>200000</v>
      </c>
      <c r="M183" s="73">
        <f>'Year 1 Results'!X183*-1+('Year 1 Results'!X183*'Event Trigger'!$E184*(1-'Input Sheet year 2'!Q184))</f>
        <v>200000</v>
      </c>
      <c r="N183" s="88"/>
      <c r="O183" s="88">
        <f t="shared" si="20"/>
        <v>-200000</v>
      </c>
      <c r="P183" s="88">
        <f t="shared" si="21"/>
        <v>-200000</v>
      </c>
      <c r="Q183" s="88">
        <f t="shared" si="22"/>
        <v>-200000</v>
      </c>
      <c r="R183" s="88">
        <f t="shared" si="23"/>
        <v>-200000</v>
      </c>
      <c r="S183" s="88">
        <f t="shared" si="24"/>
        <v>-200000</v>
      </c>
      <c r="T183" s="88">
        <f t="shared" si="25"/>
        <v>-200000</v>
      </c>
      <c r="U183" s="88">
        <f t="shared" si="26"/>
        <v>-200000</v>
      </c>
      <c r="V183" s="88">
        <f t="shared" si="27"/>
        <v>-200000</v>
      </c>
      <c r="W183" s="88">
        <f t="shared" si="28"/>
        <v>-200000</v>
      </c>
      <c r="X183" s="88">
        <f t="shared" si="29"/>
        <v>-200000</v>
      </c>
    </row>
  </sheetData>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id="{5FD1BBBD-C0E0-44F1-8423-D8BFBE8017E0}">
            <xm:f>IF(ISBLANK('Asset Master'!$F2),TRUE,FALSE)</xm:f>
            <x14:dxf>
              <fill>
                <patternFill>
                  <bgColor rgb="FF92D050"/>
                </patternFill>
              </fill>
            </x14:dxf>
          </x14:cfRule>
          <x14:cfRule type="expression" priority="2" id="{9DAF12CD-67AF-458C-8127-0EA1C7F1C8A3}">
            <xm:f>IF(AA2&lt;'Asset Master'!$F2,TRUE,FALSE)</xm:f>
            <x14:dxf>
              <font>
                <color theme="0"/>
              </font>
              <fill>
                <patternFill>
                  <bgColor rgb="FFFFC000"/>
                </patternFill>
              </fill>
            </x14:dxf>
          </x14:cfRule>
          <xm:sqref>AA2:AJ136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K183"/>
  <sheetViews>
    <sheetView workbookViewId="0">
      <selection activeCell="K13" sqref="K13"/>
    </sheetView>
  </sheetViews>
  <sheetFormatPr defaultRowHeight="12.75" x14ac:dyDescent="0.2"/>
  <cols>
    <col min="1" max="1" width="42.7109375" style="53" bestFit="1" customWidth="1"/>
    <col min="2" max="2" width="42.7109375" style="53" customWidth="1"/>
    <col min="3" max="3" width="5.140625" style="28" bestFit="1" customWidth="1"/>
    <col min="4" max="8" width="9.140625" style="28"/>
    <col min="9" max="10" width="15.5703125" style="50" customWidth="1"/>
    <col min="11" max="16384" width="9.140625" style="28"/>
  </cols>
  <sheetData>
    <row r="1" spans="1:11" x14ac:dyDescent="0.2">
      <c r="A1" s="45" t="s">
        <v>478</v>
      </c>
      <c r="B1" s="45" t="s">
        <v>928</v>
      </c>
      <c r="C1" s="47" t="s">
        <v>0</v>
      </c>
      <c r="D1" s="47" t="s">
        <v>58</v>
      </c>
      <c r="E1" s="47" t="s">
        <v>59</v>
      </c>
      <c r="F1" s="47" t="s">
        <v>60</v>
      </c>
      <c r="G1" s="47" t="s">
        <v>61</v>
      </c>
      <c r="H1" s="47" t="s">
        <v>62</v>
      </c>
      <c r="J1" s="50" t="s">
        <v>58</v>
      </c>
      <c r="K1" s="28">
        <v>49</v>
      </c>
    </row>
    <row r="2" spans="1:11" ht="25.5" x14ac:dyDescent="0.2">
      <c r="A2" s="37" t="str">
        <f>'Risk Master'!B2&amp;"-"&amp;'Risk Master'!D2</f>
        <v>High tide and high rainfalls leading to large floods-Mumbai</v>
      </c>
      <c r="B2" s="37" t="str">
        <f>'Input Sheet year 2'!B3</f>
        <v>Flood-Mumbai</v>
      </c>
      <c r="C2" s="29" t="str">
        <f>'Risk Master'!F2</f>
        <v>A1</v>
      </c>
      <c r="D2" s="29">
        <f>VLOOKUP($B2,'Probabilty Distribution'!$A:$CX,$K$1,FALSE)</f>
        <v>0</v>
      </c>
      <c r="E2" s="29">
        <f>VLOOKUP($B2,'Probabilty Distribution'!$A:$CX,$K$2,FALSE)</f>
        <v>0</v>
      </c>
      <c r="F2" s="29">
        <f>VLOOKUP($B2,'Probabilty Distribution'!$A:$CX,$K$3,FALSE)</f>
        <v>0</v>
      </c>
      <c r="G2" s="29">
        <f ca="1">VLOOKUP($B2,'Probabilty Distribution'!$A:$CX,$K$4,FALSE)</f>
        <v>0</v>
      </c>
      <c r="H2" s="29">
        <f ca="1">VLOOKUP($B2,'Probabilty Distribution'!$A:$CX,$K$5,FALSE)</f>
        <v>0</v>
      </c>
      <c r="I2" s="40"/>
      <c r="J2" s="50" t="s">
        <v>59</v>
      </c>
      <c r="K2" s="28">
        <v>10</v>
      </c>
    </row>
    <row r="3" spans="1:11" x14ac:dyDescent="0.2">
      <c r="A3" s="37" t="str">
        <f>'Risk Master'!B3&amp;"-"&amp;'Risk Master'!D3</f>
        <v>Earthquake-Mumbai</v>
      </c>
      <c r="B3" s="37" t="str">
        <f>'Input Sheet year 2'!B4</f>
        <v>Earthquake-Mumbai</v>
      </c>
      <c r="C3" s="29" t="str">
        <f>'Risk Master'!F3</f>
        <v>A1</v>
      </c>
      <c r="D3" s="29">
        <f>VLOOKUP($B3,'Probabilty Distribution'!$A:$CX,$K$1,FALSE)</f>
        <v>1</v>
      </c>
      <c r="E3" s="29">
        <f>VLOOKUP($B3,'Probabilty Distribution'!$A:$CX,$K$2,FALSE)</f>
        <v>0</v>
      </c>
      <c r="F3" s="29">
        <f>VLOOKUP($B3,'Probabilty Distribution'!$A:$CX,$K$3,FALSE)</f>
        <v>1</v>
      </c>
      <c r="G3" s="29">
        <f ca="1">VLOOKUP($B3,'Probabilty Distribution'!$A:$CX,$K$4,FALSE)</f>
        <v>1</v>
      </c>
      <c r="H3" s="29">
        <f ca="1">VLOOKUP($B3,'Probabilty Distribution'!$A:$CX,$K$5,FALSE)</f>
        <v>0</v>
      </c>
      <c r="I3" s="40"/>
      <c r="J3" s="50" t="s">
        <v>60</v>
      </c>
      <c r="K3" s="28">
        <v>90</v>
      </c>
    </row>
    <row r="4" spans="1:11" x14ac:dyDescent="0.2">
      <c r="A4" s="37" t="str">
        <f>'Risk Master'!B4&amp;"-"&amp;'Risk Master'!D4</f>
        <v>Fire-Mumbai</v>
      </c>
      <c r="B4" s="37" t="str">
        <f>'Input Sheet year 2'!B5</f>
        <v>Fire-Mumbai</v>
      </c>
      <c r="C4" s="29" t="str">
        <f>'Risk Master'!F4</f>
        <v>A1</v>
      </c>
      <c r="D4" s="29">
        <f>VLOOKUP($B4,'Probabilty Distribution'!$A:$CX,$K$1,FALSE)</f>
        <v>0</v>
      </c>
      <c r="E4" s="29">
        <f>VLOOKUP($B4,'Probabilty Distribution'!$A:$CX,$K$2,FALSE)</f>
        <v>0</v>
      </c>
      <c r="F4" s="29">
        <f>VLOOKUP($B4,'Probabilty Distribution'!$A:$CX,$K$3,FALSE)</f>
        <v>0</v>
      </c>
      <c r="G4" s="29">
        <f ca="1">VLOOKUP($B4,'Probabilty Distribution'!$A:$CX,$K$4,FALSE)</f>
        <v>0</v>
      </c>
      <c r="H4" s="29">
        <f ca="1">VLOOKUP($B4,'Probabilty Distribution'!$A:$CX,$K$5,FALSE)</f>
        <v>1</v>
      </c>
      <c r="I4" s="40"/>
      <c r="J4" s="50" t="s">
        <v>61</v>
      </c>
      <c r="K4" s="28">
        <f t="shared" ref="K4:K5" ca="1" si="0">RANDBETWEEN(3,102)</f>
        <v>85</v>
      </c>
    </row>
    <row r="5" spans="1:11" x14ac:dyDescent="0.2">
      <c r="A5" s="37" t="str">
        <f>'Risk Master'!B5&amp;"-"&amp;'Risk Master'!D5</f>
        <v>Typhoon-Mumbai</v>
      </c>
      <c r="B5" s="37" t="str">
        <f>'Input Sheet year 2'!B6</f>
        <v>Typhoon-Mumbai</v>
      </c>
      <c r="C5" s="29" t="str">
        <f>'Risk Master'!F5</f>
        <v>A1</v>
      </c>
      <c r="D5" s="29">
        <f>VLOOKUP($B5,'Probabilty Distribution'!$A:$CX,$K$1,FALSE)</f>
        <v>1</v>
      </c>
      <c r="E5" s="29">
        <f>VLOOKUP($B5,'Probabilty Distribution'!$A:$CX,$K$2,FALSE)</f>
        <v>0</v>
      </c>
      <c r="F5" s="29">
        <f>VLOOKUP($B5,'Probabilty Distribution'!$A:$CX,$K$3,FALSE)</f>
        <v>0</v>
      </c>
      <c r="G5" s="29">
        <f ca="1">VLOOKUP($B5,'Probabilty Distribution'!$A:$CX,$K$4,FALSE)</f>
        <v>0</v>
      </c>
      <c r="H5" s="29">
        <f ca="1">VLOOKUP($B5,'Probabilty Distribution'!$A:$CX,$K$5,FALSE)</f>
        <v>1</v>
      </c>
      <c r="I5" s="40"/>
      <c r="J5" s="50" t="s">
        <v>62</v>
      </c>
      <c r="K5" s="28">
        <f t="shared" ca="1" si="0"/>
        <v>66</v>
      </c>
    </row>
    <row r="6" spans="1:11" x14ac:dyDescent="0.2">
      <c r="A6" s="37" t="str">
        <f>'Risk Master'!B6&amp;"-"&amp;'Risk Master'!D6</f>
        <v>Thunderstorms, Tornados &amp; Hail-Mumbai</v>
      </c>
      <c r="B6" s="37" t="str">
        <f>'Input Sheet year 2'!B7</f>
        <v>Thunderstorms, Tornados &amp; Hail-Mumbai</v>
      </c>
      <c r="C6" s="29" t="str">
        <f>'Risk Master'!F6</f>
        <v>A1</v>
      </c>
      <c r="D6" s="29">
        <f>VLOOKUP($B6,'Probabilty Distribution'!$A:$CX,$K$1,FALSE)</f>
        <v>0</v>
      </c>
      <c r="E6" s="29">
        <f>VLOOKUP($B6,'Probabilty Distribution'!$A:$CX,$K$2,FALSE)</f>
        <v>0</v>
      </c>
      <c r="F6" s="29">
        <f>VLOOKUP($B6,'Probabilty Distribution'!$A:$CX,$K$3,FALSE)</f>
        <v>0</v>
      </c>
      <c r="G6" s="29">
        <f ca="1">VLOOKUP($B6,'Probabilty Distribution'!$A:$CX,$K$4,FALSE)</f>
        <v>0</v>
      </c>
      <c r="H6" s="29">
        <f ca="1">VLOOKUP($B6,'Probabilty Distribution'!$A:$CX,$K$5,FALSE)</f>
        <v>0</v>
      </c>
      <c r="I6" s="40"/>
      <c r="J6" s="40"/>
    </row>
    <row r="7" spans="1:11" x14ac:dyDescent="0.2">
      <c r="A7" s="37" t="str">
        <f>'Risk Master'!B7&amp;"-"&amp;'Risk Master'!D7</f>
        <v>Tsunami-Mumbai</v>
      </c>
      <c r="B7" s="37" t="str">
        <f>'Input Sheet year 2'!B8</f>
        <v>Tsunami-Mumbai</v>
      </c>
      <c r="C7" s="29" t="str">
        <f>'Risk Master'!F7</f>
        <v>A1</v>
      </c>
      <c r="D7" s="29">
        <f>VLOOKUP($B7,'Probabilty Distribution'!$A:$CX,$K$1,FALSE)</f>
        <v>0</v>
      </c>
      <c r="E7" s="29">
        <f>VLOOKUP($B7,'Probabilty Distribution'!$A:$CX,$K$2,FALSE)</f>
        <v>1</v>
      </c>
      <c r="F7" s="29">
        <f>VLOOKUP($B7,'Probabilty Distribution'!$A:$CX,$K$3,FALSE)</f>
        <v>1</v>
      </c>
      <c r="G7" s="29">
        <f ca="1">VLOOKUP($B7,'Probabilty Distribution'!$A:$CX,$K$4,FALSE)</f>
        <v>0</v>
      </c>
      <c r="H7" s="29">
        <f ca="1">VLOOKUP($B7,'Probabilty Distribution'!$A:$CX,$K$5,FALSE)</f>
        <v>0</v>
      </c>
      <c r="I7" s="40"/>
      <c r="J7" s="40"/>
    </row>
    <row r="8" spans="1:11" ht="25.5" x14ac:dyDescent="0.2">
      <c r="A8" s="37" t="str">
        <f>'Risk Master'!B8&amp;"-"&amp;'Risk Master'!D8</f>
        <v>High tide and high rainfalls leading to large floods-Mumbai</v>
      </c>
      <c r="B8" s="37" t="str">
        <f>'Input Sheet year 2'!B9</f>
        <v>Flood-Mumbai</v>
      </c>
      <c r="C8" s="29" t="str">
        <f>'Risk Master'!F8</f>
        <v>A2</v>
      </c>
      <c r="D8" s="29">
        <f>VLOOKUP($B8,'Probabilty Distribution'!$A:$CX,$K$1,FALSE)</f>
        <v>0</v>
      </c>
      <c r="E8" s="29">
        <f>VLOOKUP($B8,'Probabilty Distribution'!$A:$CX,$K$2,FALSE)</f>
        <v>0</v>
      </c>
      <c r="F8" s="29">
        <f>VLOOKUP($B8,'Probabilty Distribution'!$A:$CX,$K$3,FALSE)</f>
        <v>0</v>
      </c>
      <c r="G8" s="29">
        <f ca="1">VLOOKUP($B8,'Probabilty Distribution'!$A:$CX,$K$4,FALSE)</f>
        <v>0</v>
      </c>
      <c r="H8" s="29">
        <f ca="1">VLOOKUP($B8,'Probabilty Distribution'!$A:$CX,$K$5,FALSE)</f>
        <v>0</v>
      </c>
      <c r="I8" s="40"/>
      <c r="J8" s="40"/>
    </row>
    <row r="9" spans="1:11" x14ac:dyDescent="0.2">
      <c r="A9" s="37" t="str">
        <f>'Risk Master'!B9&amp;"-"&amp;'Risk Master'!D9</f>
        <v>Earthquake-Mumbai</v>
      </c>
      <c r="B9" s="37" t="str">
        <f>'Input Sheet year 2'!B10</f>
        <v>Earthquake-Mumbai</v>
      </c>
      <c r="C9" s="29" t="str">
        <f>'Risk Master'!F9</f>
        <v>A2</v>
      </c>
      <c r="D9" s="29">
        <f>VLOOKUP($B9,'Probabilty Distribution'!$A:$CX,$K$1,FALSE)</f>
        <v>1</v>
      </c>
      <c r="E9" s="29">
        <f>VLOOKUP($B9,'Probabilty Distribution'!$A:$CX,$K$2,FALSE)</f>
        <v>0</v>
      </c>
      <c r="F9" s="29">
        <f>VLOOKUP($B9,'Probabilty Distribution'!$A:$CX,$K$3,FALSE)</f>
        <v>1</v>
      </c>
      <c r="G9" s="29">
        <f ca="1">VLOOKUP($B9,'Probabilty Distribution'!$A:$CX,$K$4,FALSE)</f>
        <v>1</v>
      </c>
      <c r="H9" s="29">
        <f ca="1">VLOOKUP($B9,'Probabilty Distribution'!$A:$CX,$K$5,FALSE)</f>
        <v>0</v>
      </c>
      <c r="I9" s="40"/>
      <c r="J9" s="40"/>
    </row>
    <row r="10" spans="1:11" x14ac:dyDescent="0.2">
      <c r="A10" s="37" t="str">
        <f>'Risk Master'!B10&amp;"-"&amp;'Risk Master'!D10</f>
        <v>Fire-Mumbai</v>
      </c>
      <c r="B10" s="37" t="str">
        <f>'Input Sheet year 2'!B11</f>
        <v>Fire-Mumbai</v>
      </c>
      <c r="C10" s="29" t="str">
        <f>'Risk Master'!F10</f>
        <v>A2</v>
      </c>
      <c r="D10" s="29">
        <f>VLOOKUP($B10,'Probabilty Distribution'!$A:$CX,$K$1,FALSE)</f>
        <v>0</v>
      </c>
      <c r="E10" s="29">
        <f>VLOOKUP($B10,'Probabilty Distribution'!$A:$CX,$K$2,FALSE)</f>
        <v>0</v>
      </c>
      <c r="F10" s="29">
        <f>VLOOKUP($B10,'Probabilty Distribution'!$A:$CX,$K$3,FALSE)</f>
        <v>0</v>
      </c>
      <c r="G10" s="29">
        <f ca="1">VLOOKUP($B10,'Probabilty Distribution'!$A:$CX,$K$4,FALSE)</f>
        <v>0</v>
      </c>
      <c r="H10" s="29">
        <f ca="1">VLOOKUP($B10,'Probabilty Distribution'!$A:$CX,$K$5,FALSE)</f>
        <v>1</v>
      </c>
      <c r="I10" s="40"/>
      <c r="J10" s="40"/>
    </row>
    <row r="11" spans="1:11" x14ac:dyDescent="0.2">
      <c r="A11" s="37" t="str">
        <f>'Risk Master'!B11&amp;"-"&amp;'Risk Master'!D11</f>
        <v>Typhoon-Mumbai</v>
      </c>
      <c r="B11" s="37" t="str">
        <f>'Input Sheet year 2'!B12</f>
        <v>Typhoon-Mumbai</v>
      </c>
      <c r="C11" s="29" t="str">
        <f>'Risk Master'!F11</f>
        <v>A2</v>
      </c>
      <c r="D11" s="29">
        <f>VLOOKUP($B11,'Probabilty Distribution'!$A:$CX,$K$1,FALSE)</f>
        <v>1</v>
      </c>
      <c r="E11" s="29">
        <f>VLOOKUP($B11,'Probabilty Distribution'!$A:$CX,$K$2,FALSE)</f>
        <v>0</v>
      </c>
      <c r="F11" s="29">
        <f>VLOOKUP($B11,'Probabilty Distribution'!$A:$CX,$K$3,FALSE)</f>
        <v>0</v>
      </c>
      <c r="G11" s="29">
        <f ca="1">VLOOKUP($B11,'Probabilty Distribution'!$A:$CX,$K$4,FALSE)</f>
        <v>0</v>
      </c>
      <c r="H11" s="29">
        <f ca="1">VLOOKUP($B11,'Probabilty Distribution'!$A:$CX,$K$5,FALSE)</f>
        <v>1</v>
      </c>
      <c r="I11" s="40"/>
      <c r="J11" s="40"/>
    </row>
    <row r="12" spans="1:11" x14ac:dyDescent="0.2">
      <c r="A12" s="37" t="str">
        <f>'Risk Master'!B12&amp;"-"&amp;'Risk Master'!D12</f>
        <v>Thunderstorms, Tornados &amp; Hail-Mumbai</v>
      </c>
      <c r="B12" s="37" t="str">
        <f>'Input Sheet year 2'!B13</f>
        <v>Thunderstorms, Tornados &amp; Hail-Mumbai</v>
      </c>
      <c r="C12" s="29" t="str">
        <f>'Risk Master'!F12</f>
        <v>A4</v>
      </c>
      <c r="D12" s="29">
        <f>VLOOKUP($B12,'Probabilty Distribution'!$A:$CX,$K$1,FALSE)</f>
        <v>0</v>
      </c>
      <c r="E12" s="29">
        <f>VLOOKUP($B12,'Probabilty Distribution'!$A:$CX,$K$2,FALSE)</f>
        <v>0</v>
      </c>
      <c r="F12" s="29">
        <f>VLOOKUP($B12,'Probabilty Distribution'!$A:$CX,$K$3,FALSE)</f>
        <v>0</v>
      </c>
      <c r="G12" s="29">
        <f ca="1">VLOOKUP($B12,'Probabilty Distribution'!$A:$CX,$K$4,FALSE)</f>
        <v>0</v>
      </c>
      <c r="H12" s="29">
        <f ca="1">VLOOKUP($B12,'Probabilty Distribution'!$A:$CX,$K$5,FALSE)</f>
        <v>0</v>
      </c>
      <c r="I12" s="40"/>
      <c r="J12" s="40"/>
    </row>
    <row r="13" spans="1:11" x14ac:dyDescent="0.2">
      <c r="A13" s="37" t="str">
        <f>'Risk Master'!B13&amp;"-"&amp;'Risk Master'!D13</f>
        <v>Tsunami-Mumbai</v>
      </c>
      <c r="B13" s="37" t="str">
        <f>'Input Sheet year 2'!B14</f>
        <v>Tsunami-Mumbai</v>
      </c>
      <c r="C13" s="29" t="str">
        <f>'Risk Master'!F13</f>
        <v>A4</v>
      </c>
      <c r="D13" s="29">
        <f>VLOOKUP($B13,'Probabilty Distribution'!$A:$CX,$K$1,FALSE)</f>
        <v>0</v>
      </c>
      <c r="E13" s="29">
        <f>VLOOKUP($B13,'Probabilty Distribution'!$A:$CX,$K$2,FALSE)</f>
        <v>1</v>
      </c>
      <c r="F13" s="29">
        <f>VLOOKUP($B13,'Probabilty Distribution'!$A:$CX,$K$3,FALSE)</f>
        <v>1</v>
      </c>
      <c r="G13" s="29">
        <f ca="1">VLOOKUP($B13,'Probabilty Distribution'!$A:$CX,$K$4,FALSE)</f>
        <v>0</v>
      </c>
      <c r="H13" s="29">
        <f ca="1">VLOOKUP($B13,'Probabilty Distribution'!$A:$CX,$K$5,FALSE)</f>
        <v>0</v>
      </c>
      <c r="I13" s="40"/>
      <c r="J13" s="40"/>
    </row>
    <row r="14" spans="1:11" ht="25.5" x14ac:dyDescent="0.2">
      <c r="A14" s="37" t="str">
        <f>'Risk Master'!B14&amp;"-"&amp;'Risk Master'!D14</f>
        <v>High tide and high rainfalls leading to large floods-Mumbai</v>
      </c>
      <c r="B14" s="37" t="str">
        <f>'Input Sheet year 2'!B15</f>
        <v>Flood-Mumbai</v>
      </c>
      <c r="C14" s="29" t="str">
        <f>'Risk Master'!F14</f>
        <v>A6</v>
      </c>
      <c r="D14" s="29">
        <f>VLOOKUP($B14,'Probabilty Distribution'!$A:$CX,$K$1,FALSE)</f>
        <v>0</v>
      </c>
      <c r="E14" s="29">
        <f>VLOOKUP($B14,'Probabilty Distribution'!$A:$CX,$K$2,FALSE)</f>
        <v>0</v>
      </c>
      <c r="F14" s="29">
        <f>VLOOKUP($B14,'Probabilty Distribution'!$A:$CX,$K$3,FALSE)</f>
        <v>0</v>
      </c>
      <c r="G14" s="29">
        <f ca="1">VLOOKUP($B14,'Probabilty Distribution'!$A:$CX,$K$4,FALSE)</f>
        <v>0</v>
      </c>
      <c r="H14" s="29">
        <f ca="1">VLOOKUP($B14,'Probabilty Distribution'!$A:$CX,$K$5,FALSE)</f>
        <v>0</v>
      </c>
      <c r="I14" s="40"/>
      <c r="J14" s="40"/>
    </row>
    <row r="15" spans="1:11" x14ac:dyDescent="0.2">
      <c r="A15" s="37" t="str">
        <f>'Risk Master'!B15&amp;"-"&amp;'Risk Master'!D15</f>
        <v>Earthquake-Mumbai</v>
      </c>
      <c r="B15" s="37" t="str">
        <f>'Input Sheet year 2'!B16</f>
        <v>Earthquake-Mumbai</v>
      </c>
      <c r="C15" s="29" t="str">
        <f>'Risk Master'!F15</f>
        <v>A6</v>
      </c>
      <c r="D15" s="29">
        <f>VLOOKUP($B15,'Probabilty Distribution'!$A:$CX,$K$1,FALSE)</f>
        <v>1</v>
      </c>
      <c r="E15" s="29">
        <f>VLOOKUP($B15,'Probabilty Distribution'!$A:$CX,$K$2,FALSE)</f>
        <v>0</v>
      </c>
      <c r="F15" s="29">
        <f>VLOOKUP($B15,'Probabilty Distribution'!$A:$CX,$K$3,FALSE)</f>
        <v>1</v>
      </c>
      <c r="G15" s="29">
        <f ca="1">VLOOKUP($B15,'Probabilty Distribution'!$A:$CX,$K$4,FALSE)</f>
        <v>1</v>
      </c>
      <c r="H15" s="29">
        <f ca="1">VLOOKUP($B15,'Probabilty Distribution'!$A:$CX,$K$5,FALSE)</f>
        <v>0</v>
      </c>
      <c r="I15" s="40"/>
      <c r="J15" s="40"/>
    </row>
    <row r="16" spans="1:11" x14ac:dyDescent="0.2">
      <c r="A16" s="37" t="str">
        <f>'Risk Master'!B16&amp;"-"&amp;'Risk Master'!D16</f>
        <v>Terror Attack-Mumbai</v>
      </c>
      <c r="B16" s="37" t="str">
        <f>'Input Sheet year 2'!B17</f>
        <v>Terror Attack-Mumbai</v>
      </c>
      <c r="C16" s="29" t="str">
        <f>'Risk Master'!F16</f>
        <v>A4</v>
      </c>
      <c r="D16" s="29">
        <f>VLOOKUP($B16,'Probabilty Distribution'!$A:$CX,$K$1,FALSE)</f>
        <v>0</v>
      </c>
      <c r="E16" s="29">
        <f>VLOOKUP($B16,'Probabilty Distribution'!$A:$CX,$K$2,FALSE)</f>
        <v>1</v>
      </c>
      <c r="F16" s="29">
        <f>VLOOKUP($B16,'Probabilty Distribution'!$A:$CX,$K$3,FALSE)</f>
        <v>1</v>
      </c>
      <c r="G16" s="29">
        <f ca="1">VLOOKUP($B16,'Probabilty Distribution'!$A:$CX,$K$4,FALSE)</f>
        <v>0</v>
      </c>
      <c r="H16" s="29">
        <f ca="1">VLOOKUP($B16,'Probabilty Distribution'!$A:$CX,$K$5,FALSE)</f>
        <v>0</v>
      </c>
      <c r="I16" s="40"/>
      <c r="J16" s="40"/>
    </row>
    <row r="17" spans="1:10" x14ac:dyDescent="0.2">
      <c r="A17" s="37" t="str">
        <f>'Risk Master'!B17&amp;"-"&amp;'Risk Master'!D17</f>
        <v>Typhoon-Mumbai</v>
      </c>
      <c r="B17" s="37" t="str">
        <f>'Input Sheet year 2'!B18</f>
        <v>Typhoon-Mumbai</v>
      </c>
      <c r="C17" s="29" t="str">
        <f>'Risk Master'!F17</f>
        <v>A6</v>
      </c>
      <c r="D17" s="29">
        <f>VLOOKUP($B17,'Probabilty Distribution'!$A:$CX,$K$1,FALSE)</f>
        <v>1</v>
      </c>
      <c r="E17" s="29">
        <f>VLOOKUP($B17,'Probabilty Distribution'!$A:$CX,$K$2,FALSE)</f>
        <v>0</v>
      </c>
      <c r="F17" s="29">
        <f>VLOOKUP($B17,'Probabilty Distribution'!$A:$CX,$K$3,FALSE)</f>
        <v>0</v>
      </c>
      <c r="G17" s="29">
        <f ca="1">VLOOKUP($B17,'Probabilty Distribution'!$A:$CX,$K$4,FALSE)</f>
        <v>0</v>
      </c>
      <c r="H17" s="29">
        <f ca="1">VLOOKUP($B17,'Probabilty Distribution'!$A:$CX,$K$5,FALSE)</f>
        <v>1</v>
      </c>
      <c r="I17" s="40"/>
      <c r="J17" s="40"/>
    </row>
    <row r="18" spans="1:10" x14ac:dyDescent="0.2">
      <c r="A18" s="37" t="str">
        <f>'Risk Master'!B18&amp;"-"&amp;'Risk Master'!D18</f>
        <v>Thunderstorms, Tornados &amp; Hail-Mumbai</v>
      </c>
      <c r="B18" s="37" t="str">
        <f>'Input Sheet year 2'!B19</f>
        <v>Thunderstorms, Tornados &amp; Hail-Mumbai</v>
      </c>
      <c r="C18" s="29" t="str">
        <f>'Risk Master'!F18</f>
        <v>A6</v>
      </c>
      <c r="D18" s="29">
        <f>VLOOKUP($B18,'Probabilty Distribution'!$A:$CX,$K$1,FALSE)</f>
        <v>0</v>
      </c>
      <c r="E18" s="29">
        <f>VLOOKUP($B18,'Probabilty Distribution'!$A:$CX,$K$2,FALSE)</f>
        <v>0</v>
      </c>
      <c r="F18" s="29">
        <f>VLOOKUP($B18,'Probabilty Distribution'!$A:$CX,$K$3,FALSE)</f>
        <v>0</v>
      </c>
      <c r="G18" s="29">
        <f ca="1">VLOOKUP($B18,'Probabilty Distribution'!$A:$CX,$K$4,FALSE)</f>
        <v>0</v>
      </c>
      <c r="H18" s="29">
        <f ca="1">VLOOKUP($B18,'Probabilty Distribution'!$A:$CX,$K$5,FALSE)</f>
        <v>0</v>
      </c>
      <c r="I18" s="40"/>
      <c r="J18" s="40"/>
    </row>
    <row r="19" spans="1:10" x14ac:dyDescent="0.2">
      <c r="A19" s="37" t="str">
        <f>'Risk Master'!B19&amp;"-"&amp;'Risk Master'!D19</f>
        <v>Tsunami-Mumbai</v>
      </c>
      <c r="B19" s="37" t="str">
        <f>'Input Sheet year 2'!B20</f>
        <v>Tsunami-Mumbai</v>
      </c>
      <c r="C19" s="29" t="str">
        <f>'Risk Master'!F19</f>
        <v>A6</v>
      </c>
      <c r="D19" s="29">
        <f>VLOOKUP($B19,'Probabilty Distribution'!$A:$CX,$K$1,FALSE)</f>
        <v>0</v>
      </c>
      <c r="E19" s="29">
        <f>VLOOKUP($B19,'Probabilty Distribution'!$A:$CX,$K$2,FALSE)</f>
        <v>1</v>
      </c>
      <c r="F19" s="29">
        <f>VLOOKUP($B19,'Probabilty Distribution'!$A:$CX,$K$3,FALSE)</f>
        <v>1</v>
      </c>
      <c r="G19" s="29">
        <f ca="1">VLOOKUP($B19,'Probabilty Distribution'!$A:$CX,$K$4,FALSE)</f>
        <v>0</v>
      </c>
      <c r="H19" s="29">
        <f ca="1">VLOOKUP($B19,'Probabilty Distribution'!$A:$CX,$K$5,FALSE)</f>
        <v>0</v>
      </c>
      <c r="I19" s="40"/>
      <c r="J19" s="40"/>
    </row>
    <row r="20" spans="1:10" ht="25.5" x14ac:dyDescent="0.2">
      <c r="A20" s="37" t="str">
        <f>'Risk Master'!B20&amp;"-"&amp;'Risk Master'!D20</f>
        <v>High tide and high rainfalls leading to large floods-Mumbai</v>
      </c>
      <c r="B20" s="37" t="str">
        <f>'Input Sheet year 2'!B21</f>
        <v>Flood-Mumbai</v>
      </c>
      <c r="C20" s="29" t="str">
        <f>'Risk Master'!F20</f>
        <v>A7</v>
      </c>
      <c r="D20" s="29">
        <f>VLOOKUP($B20,'Probabilty Distribution'!$A:$CX,$K$1,FALSE)</f>
        <v>0</v>
      </c>
      <c r="E20" s="29">
        <f>VLOOKUP($B20,'Probabilty Distribution'!$A:$CX,$K$2,FALSE)</f>
        <v>0</v>
      </c>
      <c r="F20" s="29">
        <f>VLOOKUP($B20,'Probabilty Distribution'!$A:$CX,$K$3,FALSE)</f>
        <v>0</v>
      </c>
      <c r="G20" s="29">
        <f ca="1">VLOOKUP($B20,'Probabilty Distribution'!$A:$CX,$K$4,FALSE)</f>
        <v>0</v>
      </c>
      <c r="H20" s="29">
        <f ca="1">VLOOKUP($B20,'Probabilty Distribution'!$A:$CX,$K$5,FALSE)</f>
        <v>0</v>
      </c>
      <c r="I20" s="40"/>
      <c r="J20" s="40"/>
    </row>
    <row r="21" spans="1:10" x14ac:dyDescent="0.2">
      <c r="A21" s="37" t="str">
        <f>'Risk Master'!B21&amp;"-"&amp;'Risk Master'!D21</f>
        <v>Earthquake-Mumbai</v>
      </c>
      <c r="B21" s="37" t="str">
        <f>'Input Sheet year 2'!B22</f>
        <v>Earthquake-Mumbai</v>
      </c>
      <c r="C21" s="29" t="str">
        <f>'Risk Master'!F21</f>
        <v>A8</v>
      </c>
      <c r="D21" s="29">
        <f>VLOOKUP($B21,'Probabilty Distribution'!$A:$CX,$K$1,FALSE)</f>
        <v>1</v>
      </c>
      <c r="E21" s="29">
        <f>VLOOKUP($B21,'Probabilty Distribution'!$A:$CX,$K$2,FALSE)</f>
        <v>0</v>
      </c>
      <c r="F21" s="29">
        <f>VLOOKUP($B21,'Probabilty Distribution'!$A:$CX,$K$3,FALSE)</f>
        <v>1</v>
      </c>
      <c r="G21" s="29">
        <f ca="1">VLOOKUP($B21,'Probabilty Distribution'!$A:$CX,$K$4,FALSE)</f>
        <v>1</v>
      </c>
      <c r="H21" s="29">
        <f ca="1">VLOOKUP($B21,'Probabilty Distribution'!$A:$CX,$K$5,FALSE)</f>
        <v>0</v>
      </c>
      <c r="I21" s="40"/>
      <c r="J21" s="40"/>
    </row>
    <row r="22" spans="1:10" x14ac:dyDescent="0.2">
      <c r="A22" s="37" t="str">
        <f>'Risk Master'!B22&amp;"-"&amp;'Risk Master'!D22</f>
        <v>Fire-Mumbai</v>
      </c>
      <c r="B22" s="37" t="str">
        <f>'Input Sheet year 2'!B23</f>
        <v>Fire-Mumbai</v>
      </c>
      <c r="C22" s="29" t="str">
        <f>'Risk Master'!F22</f>
        <v>A7</v>
      </c>
      <c r="D22" s="29">
        <f>VLOOKUP($B22,'Probabilty Distribution'!$A:$CX,$K$1,FALSE)</f>
        <v>0</v>
      </c>
      <c r="E22" s="29">
        <f>VLOOKUP($B22,'Probabilty Distribution'!$A:$CX,$K$2,FALSE)</f>
        <v>0</v>
      </c>
      <c r="F22" s="29">
        <f>VLOOKUP($B22,'Probabilty Distribution'!$A:$CX,$K$3,FALSE)</f>
        <v>0</v>
      </c>
      <c r="G22" s="29">
        <f ca="1">VLOOKUP($B22,'Probabilty Distribution'!$A:$CX,$K$4,FALSE)</f>
        <v>0</v>
      </c>
      <c r="H22" s="29">
        <f ca="1">VLOOKUP($B22,'Probabilty Distribution'!$A:$CX,$K$5,FALSE)</f>
        <v>1</v>
      </c>
      <c r="I22" s="40"/>
      <c r="J22" s="40"/>
    </row>
    <row r="23" spans="1:10" x14ac:dyDescent="0.2">
      <c r="A23" s="37" t="str">
        <f>'Risk Master'!B23&amp;"-"&amp;'Risk Master'!D23</f>
        <v>Typhoon-Mumbai</v>
      </c>
      <c r="B23" s="37" t="str">
        <f>'Input Sheet year 2'!B24</f>
        <v>Typhoon-Mumbai</v>
      </c>
      <c r="C23" s="29" t="str">
        <f>'Risk Master'!F23</f>
        <v>A8</v>
      </c>
      <c r="D23" s="29">
        <f>VLOOKUP($B23,'Probabilty Distribution'!$A:$CX,$K$1,FALSE)</f>
        <v>1</v>
      </c>
      <c r="E23" s="29">
        <f>VLOOKUP($B23,'Probabilty Distribution'!$A:$CX,$K$2,FALSE)</f>
        <v>0</v>
      </c>
      <c r="F23" s="29">
        <f>VLOOKUP($B23,'Probabilty Distribution'!$A:$CX,$K$3,FALSE)</f>
        <v>0</v>
      </c>
      <c r="G23" s="29">
        <f ca="1">VLOOKUP($B23,'Probabilty Distribution'!$A:$CX,$K$4,FALSE)</f>
        <v>0</v>
      </c>
      <c r="H23" s="29">
        <f ca="1">VLOOKUP($B23,'Probabilty Distribution'!$A:$CX,$K$5,FALSE)</f>
        <v>1</v>
      </c>
      <c r="I23" s="40"/>
      <c r="J23" s="40"/>
    </row>
    <row r="24" spans="1:10" x14ac:dyDescent="0.2">
      <c r="A24" s="37" t="str">
        <f>'Risk Master'!B24&amp;"-"&amp;'Risk Master'!D24</f>
        <v>Thunderstorms, Tornados &amp; Hail-Mumbai</v>
      </c>
      <c r="B24" s="37" t="str">
        <f>'Input Sheet year 2'!B25</f>
        <v>Thunderstorms, Tornados &amp; Hail-Mumbai</v>
      </c>
      <c r="C24" s="29" t="str">
        <f>'Risk Master'!F24</f>
        <v>A8</v>
      </c>
      <c r="D24" s="29">
        <f>VLOOKUP($B24,'Probabilty Distribution'!$A:$CX,$K$1,FALSE)</f>
        <v>0</v>
      </c>
      <c r="E24" s="29">
        <f>VLOOKUP($B24,'Probabilty Distribution'!$A:$CX,$K$2,FALSE)</f>
        <v>0</v>
      </c>
      <c r="F24" s="29">
        <f>VLOOKUP($B24,'Probabilty Distribution'!$A:$CX,$K$3,FALSE)</f>
        <v>0</v>
      </c>
      <c r="G24" s="29">
        <f ca="1">VLOOKUP($B24,'Probabilty Distribution'!$A:$CX,$K$4,FALSE)</f>
        <v>0</v>
      </c>
      <c r="H24" s="29">
        <f ca="1">VLOOKUP($B24,'Probabilty Distribution'!$A:$CX,$K$5,FALSE)</f>
        <v>0</v>
      </c>
      <c r="I24" s="40"/>
      <c r="J24" s="40"/>
    </row>
    <row r="25" spans="1:10" x14ac:dyDescent="0.2">
      <c r="A25" s="37" t="str">
        <f>'Risk Master'!B25&amp;"-"&amp;'Risk Master'!D25</f>
        <v>Tsunami-Mumbai</v>
      </c>
      <c r="B25" s="37" t="str">
        <f>'Input Sheet year 2'!B26</f>
        <v>Tsunami-Mumbai</v>
      </c>
      <c r="C25" s="29" t="str">
        <f>'Risk Master'!F25</f>
        <v>A8</v>
      </c>
      <c r="D25" s="29">
        <f>VLOOKUP($B25,'Probabilty Distribution'!$A:$CX,$K$1,FALSE)</f>
        <v>0</v>
      </c>
      <c r="E25" s="29">
        <f>VLOOKUP($B25,'Probabilty Distribution'!$A:$CX,$K$2,FALSE)</f>
        <v>1</v>
      </c>
      <c r="F25" s="29">
        <f>VLOOKUP($B25,'Probabilty Distribution'!$A:$CX,$K$3,FALSE)</f>
        <v>1</v>
      </c>
      <c r="G25" s="29">
        <f ca="1">VLOOKUP($B25,'Probabilty Distribution'!$A:$CX,$K$4,FALSE)</f>
        <v>0</v>
      </c>
      <c r="H25" s="29">
        <f ca="1">VLOOKUP($B25,'Probabilty Distribution'!$A:$CX,$K$5,FALSE)</f>
        <v>0</v>
      </c>
      <c r="I25" s="40"/>
      <c r="J25" s="40"/>
    </row>
    <row r="26" spans="1:10" ht="25.5" x14ac:dyDescent="0.2">
      <c r="A26" s="37" t="str">
        <f>'Risk Master'!B26&amp;"-"&amp;'Risk Master'!D26</f>
        <v>High tide and high rainfalls leading to large floods-Mumbai</v>
      </c>
      <c r="B26" s="37" t="str">
        <f>'Input Sheet year 2'!B27</f>
        <v>Flood-Mumbai</v>
      </c>
      <c r="C26" s="29" t="str">
        <f>'Risk Master'!F26</f>
        <v>A9</v>
      </c>
      <c r="D26" s="29">
        <f>VLOOKUP($B26,'Probabilty Distribution'!$A:$CX,$K$1,FALSE)</f>
        <v>0</v>
      </c>
      <c r="E26" s="29">
        <f>VLOOKUP($B26,'Probabilty Distribution'!$A:$CX,$K$2,FALSE)</f>
        <v>0</v>
      </c>
      <c r="F26" s="29">
        <f>VLOOKUP($B26,'Probabilty Distribution'!$A:$CX,$K$3,FALSE)</f>
        <v>0</v>
      </c>
      <c r="G26" s="29">
        <f ca="1">VLOOKUP($B26,'Probabilty Distribution'!$A:$CX,$K$4,FALSE)</f>
        <v>0</v>
      </c>
      <c r="H26" s="29">
        <f ca="1">VLOOKUP($B26,'Probabilty Distribution'!$A:$CX,$K$5,FALSE)</f>
        <v>0</v>
      </c>
      <c r="I26" s="40"/>
      <c r="J26" s="40"/>
    </row>
    <row r="27" spans="1:10" x14ac:dyDescent="0.2">
      <c r="A27" s="37" t="str">
        <f>'Risk Master'!B27&amp;"-"&amp;'Risk Master'!D27</f>
        <v>Earthquake-Mumbai</v>
      </c>
      <c r="B27" s="37" t="str">
        <f>'Input Sheet year 2'!B28</f>
        <v>Earthquake-Mumbai</v>
      </c>
      <c r="C27" s="29" t="str">
        <f>'Risk Master'!F27</f>
        <v>A9</v>
      </c>
      <c r="D27" s="29">
        <f>VLOOKUP($B27,'Probabilty Distribution'!$A:$CX,$K$1,FALSE)</f>
        <v>1</v>
      </c>
      <c r="E27" s="29">
        <f>VLOOKUP($B27,'Probabilty Distribution'!$A:$CX,$K$2,FALSE)</f>
        <v>0</v>
      </c>
      <c r="F27" s="29">
        <f>VLOOKUP($B27,'Probabilty Distribution'!$A:$CX,$K$3,FALSE)</f>
        <v>1</v>
      </c>
      <c r="G27" s="29">
        <f ca="1">VLOOKUP($B27,'Probabilty Distribution'!$A:$CX,$K$4,FALSE)</f>
        <v>1</v>
      </c>
      <c r="H27" s="29">
        <f ca="1">VLOOKUP($B27,'Probabilty Distribution'!$A:$CX,$K$5,FALSE)</f>
        <v>0</v>
      </c>
      <c r="I27" s="40"/>
      <c r="J27" s="40"/>
    </row>
    <row r="28" spans="1:10" x14ac:dyDescent="0.2">
      <c r="A28" s="37" t="str">
        <f>'Risk Master'!B28&amp;"-"&amp;'Risk Master'!D28</f>
        <v>Fire-Mumbai</v>
      </c>
      <c r="B28" s="37" t="str">
        <f>'Input Sheet year 2'!B29</f>
        <v>Fire-Mumbai</v>
      </c>
      <c r="C28" s="29" t="str">
        <f>'Risk Master'!F28</f>
        <v>A9</v>
      </c>
      <c r="D28" s="29">
        <f>VLOOKUP($B28,'Probabilty Distribution'!$A:$CX,$K$1,FALSE)</f>
        <v>0</v>
      </c>
      <c r="E28" s="29">
        <f>VLOOKUP($B28,'Probabilty Distribution'!$A:$CX,$K$2,FALSE)</f>
        <v>0</v>
      </c>
      <c r="F28" s="29">
        <f>VLOOKUP($B28,'Probabilty Distribution'!$A:$CX,$K$3,FALSE)</f>
        <v>0</v>
      </c>
      <c r="G28" s="29">
        <f ca="1">VLOOKUP($B28,'Probabilty Distribution'!$A:$CX,$K$4,FALSE)</f>
        <v>0</v>
      </c>
      <c r="H28" s="29">
        <f ca="1">VLOOKUP($B28,'Probabilty Distribution'!$A:$CX,$K$5,FALSE)</f>
        <v>1</v>
      </c>
      <c r="I28" s="40"/>
      <c r="J28" s="40"/>
    </row>
    <row r="29" spans="1:10" x14ac:dyDescent="0.2">
      <c r="A29" s="37" t="str">
        <f>'Risk Master'!B29&amp;"-"&amp;'Risk Master'!D29</f>
        <v>Typhoon-Mumbai</v>
      </c>
      <c r="B29" s="37" t="str">
        <f>'Input Sheet year 2'!B30</f>
        <v>Typhoon-Mumbai</v>
      </c>
      <c r="C29" s="29" t="str">
        <f>'Risk Master'!F29</f>
        <v>A9</v>
      </c>
      <c r="D29" s="29">
        <f>VLOOKUP($B29,'Probabilty Distribution'!$A:$CX,$K$1,FALSE)</f>
        <v>1</v>
      </c>
      <c r="E29" s="29">
        <f>VLOOKUP($B29,'Probabilty Distribution'!$A:$CX,$K$2,FALSE)</f>
        <v>0</v>
      </c>
      <c r="F29" s="29">
        <f>VLOOKUP($B29,'Probabilty Distribution'!$A:$CX,$K$3,FALSE)</f>
        <v>0</v>
      </c>
      <c r="G29" s="29">
        <f ca="1">VLOOKUP($B29,'Probabilty Distribution'!$A:$CX,$K$4,FALSE)</f>
        <v>0</v>
      </c>
      <c r="H29" s="29">
        <f ca="1">VLOOKUP($B29,'Probabilty Distribution'!$A:$CX,$K$5,FALSE)</f>
        <v>1</v>
      </c>
      <c r="I29" s="40"/>
      <c r="J29" s="40"/>
    </row>
    <row r="30" spans="1:10" x14ac:dyDescent="0.2">
      <c r="A30" s="37" t="str">
        <f>'Risk Master'!B30&amp;"-"&amp;'Risk Master'!D30</f>
        <v>Thunderstorms, Tornados &amp; Hail-Mumbai</v>
      </c>
      <c r="B30" s="37" t="str">
        <f>'Input Sheet year 2'!B31</f>
        <v>Thunderstorms, Tornados &amp; Hail-Mumbai</v>
      </c>
      <c r="C30" s="29" t="str">
        <f>'Risk Master'!F30</f>
        <v>A9</v>
      </c>
      <c r="D30" s="29">
        <f>VLOOKUP($B30,'Probabilty Distribution'!$A:$CX,$K$1,FALSE)</f>
        <v>0</v>
      </c>
      <c r="E30" s="29">
        <f>VLOOKUP($B30,'Probabilty Distribution'!$A:$CX,$K$2,FALSE)</f>
        <v>0</v>
      </c>
      <c r="F30" s="29">
        <f>VLOOKUP($B30,'Probabilty Distribution'!$A:$CX,$K$3,FALSE)</f>
        <v>0</v>
      </c>
      <c r="G30" s="29">
        <f ca="1">VLOOKUP($B30,'Probabilty Distribution'!$A:$CX,$K$4,FALSE)</f>
        <v>0</v>
      </c>
      <c r="H30" s="29">
        <f ca="1">VLOOKUP($B30,'Probabilty Distribution'!$A:$CX,$K$5,FALSE)</f>
        <v>0</v>
      </c>
      <c r="I30" s="40"/>
      <c r="J30" s="40"/>
    </row>
    <row r="31" spans="1:10" x14ac:dyDescent="0.2">
      <c r="A31" s="37" t="str">
        <f>'Risk Master'!B31&amp;"-"&amp;'Risk Master'!D31</f>
        <v>Tsunami-Mumbai</v>
      </c>
      <c r="B31" s="37" t="str">
        <f>'Input Sheet year 2'!B32</f>
        <v>Tsunami-Mumbai</v>
      </c>
      <c r="C31" s="29" t="str">
        <f>'Risk Master'!F31</f>
        <v>A9</v>
      </c>
      <c r="D31" s="29">
        <f>VLOOKUP($B31,'Probabilty Distribution'!$A:$CX,$K$1,FALSE)</f>
        <v>0</v>
      </c>
      <c r="E31" s="29">
        <f>VLOOKUP($B31,'Probabilty Distribution'!$A:$CX,$K$2,FALSE)</f>
        <v>1</v>
      </c>
      <c r="F31" s="29">
        <f>VLOOKUP($B31,'Probabilty Distribution'!$A:$CX,$K$3,FALSE)</f>
        <v>1</v>
      </c>
      <c r="G31" s="29">
        <f ca="1">VLOOKUP($B31,'Probabilty Distribution'!$A:$CX,$K$4,FALSE)</f>
        <v>0</v>
      </c>
      <c r="H31" s="29">
        <f ca="1">VLOOKUP($B31,'Probabilty Distribution'!$A:$CX,$K$5,FALSE)</f>
        <v>0</v>
      </c>
      <c r="I31" s="40"/>
      <c r="J31" s="40"/>
    </row>
    <row r="32" spans="1:10" ht="25.5" x14ac:dyDescent="0.2">
      <c r="A32" s="37" t="str">
        <f>'Risk Master'!B32&amp;"-"&amp;'Risk Master'!D32</f>
        <v>High tide and high rainfalls leading to large floods-Mumbai</v>
      </c>
      <c r="B32" s="37" t="str">
        <f>'Input Sheet year 2'!B33</f>
        <v>Flood-Mumbai</v>
      </c>
      <c r="C32" s="29" t="str">
        <f>'Risk Master'!F32</f>
        <v>A10</v>
      </c>
      <c r="D32" s="29">
        <f>VLOOKUP($B32,'Probabilty Distribution'!$A:$CX,$K$1,FALSE)</f>
        <v>0</v>
      </c>
      <c r="E32" s="29">
        <f>VLOOKUP($B32,'Probabilty Distribution'!$A:$CX,$K$2,FALSE)</f>
        <v>0</v>
      </c>
      <c r="F32" s="29">
        <f>VLOOKUP($B32,'Probabilty Distribution'!$A:$CX,$K$3,FALSE)</f>
        <v>0</v>
      </c>
      <c r="G32" s="29">
        <f ca="1">VLOOKUP($B32,'Probabilty Distribution'!$A:$CX,$K$4,FALSE)</f>
        <v>0</v>
      </c>
      <c r="H32" s="29">
        <f ca="1">VLOOKUP($B32,'Probabilty Distribution'!$A:$CX,$K$5,FALSE)</f>
        <v>0</v>
      </c>
      <c r="I32" s="40"/>
      <c r="J32" s="40"/>
    </row>
    <row r="33" spans="1:10" x14ac:dyDescent="0.2">
      <c r="A33" s="37" t="str">
        <f>'Risk Master'!B33&amp;"-"&amp;'Risk Master'!D33</f>
        <v>Earthquake-Mumbai</v>
      </c>
      <c r="B33" s="37" t="str">
        <f>'Input Sheet year 2'!B34</f>
        <v>Earthquake-Mumbai</v>
      </c>
      <c r="C33" s="29" t="str">
        <f>'Risk Master'!F33</f>
        <v>A10</v>
      </c>
      <c r="D33" s="29">
        <f>VLOOKUP($B33,'Probabilty Distribution'!$A:$CX,$K$1,FALSE)</f>
        <v>1</v>
      </c>
      <c r="E33" s="29">
        <f>VLOOKUP($B33,'Probabilty Distribution'!$A:$CX,$K$2,FALSE)</f>
        <v>0</v>
      </c>
      <c r="F33" s="29">
        <f>VLOOKUP($B33,'Probabilty Distribution'!$A:$CX,$K$3,FALSE)</f>
        <v>1</v>
      </c>
      <c r="G33" s="29">
        <f ca="1">VLOOKUP($B33,'Probabilty Distribution'!$A:$CX,$K$4,FALSE)</f>
        <v>1</v>
      </c>
      <c r="H33" s="29">
        <f ca="1">VLOOKUP($B33,'Probabilty Distribution'!$A:$CX,$K$5,FALSE)</f>
        <v>0</v>
      </c>
      <c r="I33" s="40"/>
      <c r="J33" s="40"/>
    </row>
    <row r="34" spans="1:10" x14ac:dyDescent="0.2">
      <c r="A34" s="37" t="str">
        <f>'Risk Master'!B34&amp;"-"&amp;'Risk Master'!D34</f>
        <v>Fire-Mumbai</v>
      </c>
      <c r="B34" s="37" t="str">
        <f>'Input Sheet year 2'!B35</f>
        <v>Fire-Mumbai</v>
      </c>
      <c r="C34" s="29" t="str">
        <f>'Risk Master'!F34</f>
        <v>A10</v>
      </c>
      <c r="D34" s="29">
        <f>VLOOKUP($B34,'Probabilty Distribution'!$A:$CX,$K$1,FALSE)</f>
        <v>0</v>
      </c>
      <c r="E34" s="29">
        <f>VLOOKUP($B34,'Probabilty Distribution'!$A:$CX,$K$2,FALSE)</f>
        <v>0</v>
      </c>
      <c r="F34" s="29">
        <f>VLOOKUP($B34,'Probabilty Distribution'!$A:$CX,$K$3,FALSE)</f>
        <v>0</v>
      </c>
      <c r="G34" s="29">
        <f ca="1">VLOOKUP($B34,'Probabilty Distribution'!$A:$CX,$K$4,FALSE)</f>
        <v>0</v>
      </c>
      <c r="H34" s="29">
        <f ca="1">VLOOKUP($B34,'Probabilty Distribution'!$A:$CX,$K$5,FALSE)</f>
        <v>1</v>
      </c>
      <c r="I34" s="40"/>
      <c r="J34" s="40"/>
    </row>
    <row r="35" spans="1:10" x14ac:dyDescent="0.2">
      <c r="A35" s="37" t="str">
        <f>'Risk Master'!B35&amp;"-"&amp;'Risk Master'!D35</f>
        <v>Terror Attack-Mumbai</v>
      </c>
      <c r="B35" s="37" t="str">
        <f>'Input Sheet year 2'!B36</f>
        <v>Terror Attack-Mumbai</v>
      </c>
      <c r="C35" s="29" t="str">
        <f>'Risk Master'!F35</f>
        <v>A10</v>
      </c>
      <c r="D35" s="29">
        <f>VLOOKUP($B35,'Probabilty Distribution'!$A:$CX,$K$1,FALSE)</f>
        <v>0</v>
      </c>
      <c r="E35" s="29">
        <f>VLOOKUP($B35,'Probabilty Distribution'!$A:$CX,$K$2,FALSE)</f>
        <v>1</v>
      </c>
      <c r="F35" s="29">
        <f>VLOOKUP($B35,'Probabilty Distribution'!$A:$CX,$K$3,FALSE)</f>
        <v>1</v>
      </c>
      <c r="G35" s="29">
        <f ca="1">VLOOKUP($B35,'Probabilty Distribution'!$A:$CX,$K$4,FALSE)</f>
        <v>0</v>
      </c>
      <c r="H35" s="29">
        <f ca="1">VLOOKUP($B35,'Probabilty Distribution'!$A:$CX,$K$5,FALSE)</f>
        <v>0</v>
      </c>
      <c r="I35" s="40"/>
      <c r="J35" s="40"/>
    </row>
    <row r="36" spans="1:10" x14ac:dyDescent="0.2">
      <c r="A36" s="37" t="str">
        <f>'Risk Master'!B36&amp;"-"&amp;'Risk Master'!D36</f>
        <v>Thunderstorms, Tornados &amp; Hail-Mumbai</v>
      </c>
      <c r="B36" s="37" t="str">
        <f>'Input Sheet year 2'!B37</f>
        <v>Thunderstorms, Tornados &amp; Hail-Mumbai</v>
      </c>
      <c r="C36" s="29" t="str">
        <f>'Risk Master'!F36</f>
        <v>A10</v>
      </c>
      <c r="D36" s="29">
        <f>VLOOKUP($B36,'Probabilty Distribution'!$A:$CX,$K$1,FALSE)</f>
        <v>0</v>
      </c>
      <c r="E36" s="29">
        <f>VLOOKUP($B36,'Probabilty Distribution'!$A:$CX,$K$2,FALSE)</f>
        <v>0</v>
      </c>
      <c r="F36" s="29">
        <f>VLOOKUP($B36,'Probabilty Distribution'!$A:$CX,$K$3,FALSE)</f>
        <v>0</v>
      </c>
      <c r="G36" s="29">
        <f ca="1">VLOOKUP($B36,'Probabilty Distribution'!$A:$CX,$K$4,FALSE)</f>
        <v>0</v>
      </c>
      <c r="H36" s="29">
        <f ca="1">VLOOKUP($B36,'Probabilty Distribution'!$A:$CX,$K$5,FALSE)</f>
        <v>0</v>
      </c>
      <c r="I36" s="40"/>
      <c r="J36" s="40"/>
    </row>
    <row r="37" spans="1:10" x14ac:dyDescent="0.2">
      <c r="A37" s="37" t="str">
        <f>'Risk Master'!B37&amp;"-"&amp;'Risk Master'!D37</f>
        <v>Tsunami-Mumbai</v>
      </c>
      <c r="B37" s="37" t="str">
        <f>'Input Sheet year 2'!B38</f>
        <v>Tsunami-Mumbai</v>
      </c>
      <c r="C37" s="29" t="str">
        <f>'Risk Master'!F37</f>
        <v>A10</v>
      </c>
      <c r="D37" s="29">
        <f>VLOOKUP($B37,'Probabilty Distribution'!$A:$CX,$K$1,FALSE)</f>
        <v>0</v>
      </c>
      <c r="E37" s="29">
        <f>VLOOKUP($B37,'Probabilty Distribution'!$A:$CX,$K$2,FALSE)</f>
        <v>1</v>
      </c>
      <c r="F37" s="29">
        <f>VLOOKUP($B37,'Probabilty Distribution'!$A:$CX,$K$3,FALSE)</f>
        <v>1</v>
      </c>
      <c r="G37" s="29">
        <f ca="1">VLOOKUP($B37,'Probabilty Distribution'!$A:$CX,$K$4,FALSE)</f>
        <v>0</v>
      </c>
      <c r="H37" s="29">
        <f ca="1">VLOOKUP($B37,'Probabilty Distribution'!$A:$CX,$K$5,FALSE)</f>
        <v>0</v>
      </c>
      <c r="I37" s="40"/>
      <c r="J37" s="40"/>
    </row>
    <row r="38" spans="1:10" ht="25.5" x14ac:dyDescent="0.2">
      <c r="A38" s="37" t="str">
        <f>'Risk Master'!B38&amp;"-"&amp;'Risk Master'!D38</f>
        <v>High tide and high rainfalls leading to large floods-Mumbai</v>
      </c>
      <c r="B38" s="37" t="str">
        <f>'Input Sheet year 2'!B39</f>
        <v>Flood-Mumbai</v>
      </c>
      <c r="C38" s="29" t="str">
        <f>'Risk Master'!F38</f>
        <v>A11</v>
      </c>
      <c r="D38" s="29">
        <f>VLOOKUP($B38,'Probabilty Distribution'!$A:$CX,$K$1,FALSE)</f>
        <v>0</v>
      </c>
      <c r="E38" s="29">
        <f>VLOOKUP($B38,'Probabilty Distribution'!$A:$CX,$K$2,FALSE)</f>
        <v>0</v>
      </c>
      <c r="F38" s="29">
        <f>VLOOKUP($B38,'Probabilty Distribution'!$A:$CX,$K$3,FALSE)</f>
        <v>0</v>
      </c>
      <c r="G38" s="29">
        <f ca="1">VLOOKUP($B38,'Probabilty Distribution'!$A:$CX,$K$4,FALSE)</f>
        <v>0</v>
      </c>
      <c r="H38" s="29">
        <f ca="1">VLOOKUP($B38,'Probabilty Distribution'!$A:$CX,$K$5,FALSE)</f>
        <v>0</v>
      </c>
      <c r="I38" s="40"/>
      <c r="J38" s="40"/>
    </row>
    <row r="39" spans="1:10" x14ac:dyDescent="0.2">
      <c r="A39" s="37" t="str">
        <f>'Risk Master'!B39&amp;"-"&amp;'Risk Master'!D39</f>
        <v>Earthquake-Mumbai</v>
      </c>
      <c r="B39" s="37" t="str">
        <f>'Input Sheet year 2'!B40</f>
        <v>Earthquake-Mumbai</v>
      </c>
      <c r="C39" s="29" t="str">
        <f>'Risk Master'!F39</f>
        <v>A11</v>
      </c>
      <c r="D39" s="29">
        <f>VLOOKUP($B39,'Probabilty Distribution'!$A:$CX,$K$1,FALSE)</f>
        <v>1</v>
      </c>
      <c r="E39" s="29">
        <f>VLOOKUP($B39,'Probabilty Distribution'!$A:$CX,$K$2,FALSE)</f>
        <v>0</v>
      </c>
      <c r="F39" s="29">
        <f>VLOOKUP($B39,'Probabilty Distribution'!$A:$CX,$K$3,FALSE)</f>
        <v>1</v>
      </c>
      <c r="G39" s="29">
        <f ca="1">VLOOKUP($B39,'Probabilty Distribution'!$A:$CX,$K$4,FALSE)</f>
        <v>1</v>
      </c>
      <c r="H39" s="29">
        <f ca="1">VLOOKUP($B39,'Probabilty Distribution'!$A:$CX,$K$5,FALSE)</f>
        <v>0</v>
      </c>
      <c r="I39" s="40"/>
      <c r="J39" s="40"/>
    </row>
    <row r="40" spans="1:10" x14ac:dyDescent="0.2">
      <c r="A40" s="37" t="str">
        <f>'Risk Master'!B40&amp;"-"&amp;'Risk Master'!D40</f>
        <v>Fire-Mumbai</v>
      </c>
      <c r="B40" s="37" t="str">
        <f>'Input Sheet year 2'!B41</f>
        <v>Fire-Mumbai</v>
      </c>
      <c r="C40" s="29" t="str">
        <f>'Risk Master'!F40</f>
        <v>A11</v>
      </c>
      <c r="D40" s="29">
        <f>VLOOKUP($B40,'Probabilty Distribution'!$A:$CX,$K$1,FALSE)</f>
        <v>0</v>
      </c>
      <c r="E40" s="29">
        <f>VLOOKUP($B40,'Probabilty Distribution'!$A:$CX,$K$2,FALSE)</f>
        <v>0</v>
      </c>
      <c r="F40" s="29">
        <f>VLOOKUP($B40,'Probabilty Distribution'!$A:$CX,$K$3,FALSE)</f>
        <v>0</v>
      </c>
      <c r="G40" s="29">
        <f ca="1">VLOOKUP($B40,'Probabilty Distribution'!$A:$CX,$K$4,FALSE)</f>
        <v>0</v>
      </c>
      <c r="H40" s="29">
        <f ca="1">VLOOKUP($B40,'Probabilty Distribution'!$A:$CX,$K$5,FALSE)</f>
        <v>1</v>
      </c>
      <c r="I40" s="40"/>
      <c r="J40" s="40"/>
    </row>
    <row r="41" spans="1:10" x14ac:dyDescent="0.2">
      <c r="A41" s="37" t="str">
        <f>'Risk Master'!B41&amp;"-"&amp;'Risk Master'!D41</f>
        <v>Typhoon-Mumbai</v>
      </c>
      <c r="B41" s="37" t="str">
        <f>'Input Sheet year 2'!B42</f>
        <v>Typhoon-Mumbai</v>
      </c>
      <c r="C41" s="29" t="str">
        <f>'Risk Master'!F41</f>
        <v>A11</v>
      </c>
      <c r="D41" s="29">
        <f>VLOOKUP($B41,'Probabilty Distribution'!$A:$CX,$K$1,FALSE)</f>
        <v>1</v>
      </c>
      <c r="E41" s="29">
        <f>VLOOKUP($B41,'Probabilty Distribution'!$A:$CX,$K$2,FALSE)</f>
        <v>0</v>
      </c>
      <c r="F41" s="29">
        <f>VLOOKUP($B41,'Probabilty Distribution'!$A:$CX,$K$3,FALSE)</f>
        <v>0</v>
      </c>
      <c r="G41" s="29">
        <f ca="1">VLOOKUP($B41,'Probabilty Distribution'!$A:$CX,$K$4,FALSE)</f>
        <v>0</v>
      </c>
      <c r="H41" s="29">
        <f ca="1">VLOOKUP($B41,'Probabilty Distribution'!$A:$CX,$K$5,FALSE)</f>
        <v>1</v>
      </c>
      <c r="I41" s="40"/>
      <c r="J41" s="40"/>
    </row>
    <row r="42" spans="1:10" x14ac:dyDescent="0.2">
      <c r="A42" s="37" t="str">
        <f>'Risk Master'!B42&amp;"-"&amp;'Risk Master'!D42</f>
        <v>Thunderstorms, Tornados &amp; Hail-Mumbai</v>
      </c>
      <c r="B42" s="37" t="str">
        <f>'Input Sheet year 2'!B43</f>
        <v>Thunderstorms, Tornados &amp; Hail-Mumbai</v>
      </c>
      <c r="C42" s="29" t="str">
        <f>'Risk Master'!F42</f>
        <v>A11</v>
      </c>
      <c r="D42" s="29">
        <f>VLOOKUP($B42,'Probabilty Distribution'!$A:$CX,$K$1,FALSE)</f>
        <v>0</v>
      </c>
      <c r="E42" s="29">
        <f>VLOOKUP($B42,'Probabilty Distribution'!$A:$CX,$K$2,FALSE)</f>
        <v>0</v>
      </c>
      <c r="F42" s="29">
        <f>VLOOKUP($B42,'Probabilty Distribution'!$A:$CX,$K$3,FALSE)</f>
        <v>0</v>
      </c>
      <c r="G42" s="29">
        <f ca="1">VLOOKUP($B42,'Probabilty Distribution'!$A:$CX,$K$4,FALSE)</f>
        <v>0</v>
      </c>
      <c r="H42" s="29">
        <f ca="1">VLOOKUP($B42,'Probabilty Distribution'!$A:$CX,$K$5,FALSE)</f>
        <v>0</v>
      </c>
      <c r="I42" s="40"/>
      <c r="J42" s="40"/>
    </row>
    <row r="43" spans="1:10" x14ac:dyDescent="0.2">
      <c r="A43" s="37" t="str">
        <f>'Risk Master'!B43&amp;"-"&amp;'Risk Master'!D43</f>
        <v>Tsunami-Mumbai</v>
      </c>
      <c r="B43" s="37" t="str">
        <f>'Input Sheet year 2'!B44</f>
        <v>Tsunami-Mumbai</v>
      </c>
      <c r="C43" s="29" t="str">
        <f>'Risk Master'!F43</f>
        <v>A11</v>
      </c>
      <c r="D43" s="29">
        <f>VLOOKUP($B43,'Probabilty Distribution'!$A:$CX,$K$1,FALSE)</f>
        <v>0</v>
      </c>
      <c r="E43" s="29">
        <f>VLOOKUP($B43,'Probabilty Distribution'!$A:$CX,$K$2,FALSE)</f>
        <v>1</v>
      </c>
      <c r="F43" s="29">
        <f>VLOOKUP($B43,'Probabilty Distribution'!$A:$CX,$K$3,FALSE)</f>
        <v>1</v>
      </c>
      <c r="G43" s="29">
        <f ca="1">VLOOKUP($B43,'Probabilty Distribution'!$A:$CX,$K$4,FALSE)</f>
        <v>0</v>
      </c>
      <c r="H43" s="29">
        <f ca="1">VLOOKUP($B43,'Probabilty Distribution'!$A:$CX,$K$5,FALSE)</f>
        <v>0</v>
      </c>
      <c r="I43" s="40"/>
      <c r="J43" s="40"/>
    </row>
    <row r="44" spans="1:10" ht="25.5" x14ac:dyDescent="0.2">
      <c r="A44" s="37" t="str">
        <f>'Risk Master'!B44&amp;"-"&amp;'Risk Master'!D44</f>
        <v>High tide and high rainfalls leading to large floods-Mumbai</v>
      </c>
      <c r="B44" s="37" t="str">
        <f>'Input Sheet year 2'!B45</f>
        <v>Flood-Mumbai</v>
      </c>
      <c r="C44" s="29" t="str">
        <f>'Risk Master'!F44</f>
        <v>A12</v>
      </c>
      <c r="D44" s="29">
        <f>VLOOKUP($B44,'Probabilty Distribution'!$A:$CX,$K$1,FALSE)</f>
        <v>0</v>
      </c>
      <c r="E44" s="29">
        <f>VLOOKUP($B44,'Probabilty Distribution'!$A:$CX,$K$2,FALSE)</f>
        <v>0</v>
      </c>
      <c r="F44" s="29">
        <f>VLOOKUP($B44,'Probabilty Distribution'!$A:$CX,$K$3,FALSE)</f>
        <v>0</v>
      </c>
      <c r="G44" s="29">
        <f ca="1">VLOOKUP($B44,'Probabilty Distribution'!$A:$CX,$K$4,FALSE)</f>
        <v>0</v>
      </c>
      <c r="H44" s="29">
        <f ca="1">VLOOKUP($B44,'Probabilty Distribution'!$A:$CX,$K$5,FALSE)</f>
        <v>0</v>
      </c>
      <c r="I44" s="40"/>
      <c r="J44" s="40"/>
    </row>
    <row r="45" spans="1:10" x14ac:dyDescent="0.2">
      <c r="A45" s="37" t="str">
        <f>'Risk Master'!B45&amp;"-"&amp;'Risk Master'!D45</f>
        <v>Earthquake-Mumbai</v>
      </c>
      <c r="B45" s="37" t="str">
        <f>'Input Sheet year 2'!B46</f>
        <v>Earthquake-Mumbai</v>
      </c>
      <c r="C45" s="29" t="str">
        <f>'Risk Master'!F45</f>
        <v>A12</v>
      </c>
      <c r="D45" s="29">
        <f>VLOOKUP($B45,'Probabilty Distribution'!$A:$CX,$K$1,FALSE)</f>
        <v>1</v>
      </c>
      <c r="E45" s="29">
        <f>VLOOKUP($B45,'Probabilty Distribution'!$A:$CX,$K$2,FALSE)</f>
        <v>0</v>
      </c>
      <c r="F45" s="29">
        <f>VLOOKUP($B45,'Probabilty Distribution'!$A:$CX,$K$3,FALSE)</f>
        <v>1</v>
      </c>
      <c r="G45" s="29">
        <f ca="1">VLOOKUP($B45,'Probabilty Distribution'!$A:$CX,$K$4,FALSE)</f>
        <v>1</v>
      </c>
      <c r="H45" s="29">
        <f ca="1">VLOOKUP($B45,'Probabilty Distribution'!$A:$CX,$K$5,FALSE)</f>
        <v>0</v>
      </c>
      <c r="I45" s="40"/>
      <c r="J45" s="40"/>
    </row>
    <row r="46" spans="1:10" x14ac:dyDescent="0.2">
      <c r="A46" s="37" t="str">
        <f>'Risk Master'!B46&amp;"-"&amp;'Risk Master'!D46</f>
        <v>Fire-Mumbai</v>
      </c>
      <c r="B46" s="37" t="str">
        <f>'Input Sheet year 2'!B47</f>
        <v>Fire-Mumbai</v>
      </c>
      <c r="C46" s="29" t="str">
        <f>'Risk Master'!F46</f>
        <v>A12</v>
      </c>
      <c r="D46" s="29">
        <f>VLOOKUP($B46,'Probabilty Distribution'!$A:$CX,$K$1,FALSE)</f>
        <v>0</v>
      </c>
      <c r="E46" s="29">
        <f>VLOOKUP($B46,'Probabilty Distribution'!$A:$CX,$K$2,FALSE)</f>
        <v>0</v>
      </c>
      <c r="F46" s="29">
        <f>VLOOKUP($B46,'Probabilty Distribution'!$A:$CX,$K$3,FALSE)</f>
        <v>0</v>
      </c>
      <c r="G46" s="29">
        <f ca="1">VLOOKUP($B46,'Probabilty Distribution'!$A:$CX,$K$4,FALSE)</f>
        <v>0</v>
      </c>
      <c r="H46" s="29">
        <f ca="1">VLOOKUP($B46,'Probabilty Distribution'!$A:$CX,$K$5,FALSE)</f>
        <v>1</v>
      </c>
      <c r="I46" s="40"/>
      <c r="J46" s="40"/>
    </row>
    <row r="47" spans="1:10" x14ac:dyDescent="0.2">
      <c r="A47" s="37" t="str">
        <f>'Risk Master'!B47&amp;"-"&amp;'Risk Master'!D47</f>
        <v>Typhoon-Mumbai</v>
      </c>
      <c r="B47" s="37" t="str">
        <f>'Input Sheet year 2'!B48</f>
        <v>Typhoon-Mumbai</v>
      </c>
      <c r="C47" s="29" t="str">
        <f>'Risk Master'!F47</f>
        <v>A12</v>
      </c>
      <c r="D47" s="29">
        <f>VLOOKUP($B47,'Probabilty Distribution'!$A:$CX,$K$1,FALSE)</f>
        <v>1</v>
      </c>
      <c r="E47" s="29">
        <f>VLOOKUP($B47,'Probabilty Distribution'!$A:$CX,$K$2,FALSE)</f>
        <v>0</v>
      </c>
      <c r="F47" s="29">
        <f>VLOOKUP($B47,'Probabilty Distribution'!$A:$CX,$K$3,FALSE)</f>
        <v>0</v>
      </c>
      <c r="G47" s="29">
        <f ca="1">VLOOKUP($B47,'Probabilty Distribution'!$A:$CX,$K$4,FALSE)</f>
        <v>0</v>
      </c>
      <c r="H47" s="29">
        <f ca="1">VLOOKUP($B47,'Probabilty Distribution'!$A:$CX,$K$5,FALSE)</f>
        <v>1</v>
      </c>
      <c r="I47" s="40"/>
      <c r="J47" s="40"/>
    </row>
    <row r="48" spans="1:10" x14ac:dyDescent="0.2">
      <c r="A48" s="37" t="str">
        <f>'Risk Master'!B48&amp;"-"&amp;'Risk Master'!D48</f>
        <v>Thunderstorms, Tornados &amp; Hail-Mumbai</v>
      </c>
      <c r="B48" s="37" t="str">
        <f>'Input Sheet year 2'!B49</f>
        <v>Thunderstorms, Tornados &amp; Hail-Mumbai</v>
      </c>
      <c r="C48" s="29" t="str">
        <f>'Risk Master'!F48</f>
        <v>A12</v>
      </c>
      <c r="D48" s="29">
        <f>VLOOKUP($B48,'Probabilty Distribution'!$A:$CX,$K$1,FALSE)</f>
        <v>0</v>
      </c>
      <c r="E48" s="29">
        <f>VLOOKUP($B48,'Probabilty Distribution'!$A:$CX,$K$2,FALSE)</f>
        <v>0</v>
      </c>
      <c r="F48" s="29">
        <f>VLOOKUP($B48,'Probabilty Distribution'!$A:$CX,$K$3,FALSE)</f>
        <v>0</v>
      </c>
      <c r="G48" s="29">
        <f ca="1">VLOOKUP($B48,'Probabilty Distribution'!$A:$CX,$K$4,FALSE)</f>
        <v>0</v>
      </c>
      <c r="H48" s="29">
        <f ca="1">VLOOKUP($B48,'Probabilty Distribution'!$A:$CX,$K$5,FALSE)</f>
        <v>0</v>
      </c>
      <c r="I48" s="28"/>
      <c r="J48" s="28"/>
    </row>
    <row r="49" spans="1:10" x14ac:dyDescent="0.2">
      <c r="A49" s="37" t="str">
        <f>'Risk Master'!B49&amp;"-"&amp;'Risk Master'!D49</f>
        <v>Tsunami-Mumbai</v>
      </c>
      <c r="B49" s="37" t="str">
        <f>'Input Sheet year 2'!B50</f>
        <v>Tsunami-Mumbai</v>
      </c>
      <c r="C49" s="29" t="str">
        <f>'Risk Master'!F49</f>
        <v>A12</v>
      </c>
      <c r="D49" s="29">
        <f>VLOOKUP($B49,'Probabilty Distribution'!$A:$CX,$K$1,FALSE)</f>
        <v>0</v>
      </c>
      <c r="E49" s="29">
        <f>VLOOKUP($B49,'Probabilty Distribution'!$A:$CX,$K$2,FALSE)</f>
        <v>1</v>
      </c>
      <c r="F49" s="29">
        <f>VLOOKUP($B49,'Probabilty Distribution'!$A:$CX,$K$3,FALSE)</f>
        <v>1</v>
      </c>
      <c r="G49" s="29">
        <f ca="1">VLOOKUP($B49,'Probabilty Distribution'!$A:$CX,$K$4,FALSE)</f>
        <v>0</v>
      </c>
      <c r="H49" s="29">
        <f ca="1">VLOOKUP($B49,'Probabilty Distribution'!$A:$CX,$K$5,FALSE)</f>
        <v>0</v>
      </c>
      <c r="I49" s="28"/>
      <c r="J49" s="28"/>
    </row>
    <row r="50" spans="1:10" ht="25.5" x14ac:dyDescent="0.2">
      <c r="A50" s="37" t="str">
        <f>'Risk Master'!B50&amp;"-"&amp;'Risk Master'!D50</f>
        <v>High tide and high rainfalls leading to large floods-Mumbai</v>
      </c>
      <c r="B50" s="37" t="str">
        <f>'Input Sheet year 2'!B51</f>
        <v>Flood-Mumbai</v>
      </c>
      <c r="C50" s="29" t="str">
        <f>'Risk Master'!F50</f>
        <v>A13</v>
      </c>
      <c r="D50" s="29">
        <f>VLOOKUP($B50,'Probabilty Distribution'!$A:$CX,$K$1,FALSE)</f>
        <v>0</v>
      </c>
      <c r="E50" s="29">
        <f>VLOOKUP($B50,'Probabilty Distribution'!$A:$CX,$K$2,FALSE)</f>
        <v>0</v>
      </c>
      <c r="F50" s="29">
        <f>VLOOKUP($B50,'Probabilty Distribution'!$A:$CX,$K$3,FALSE)</f>
        <v>0</v>
      </c>
      <c r="G50" s="29">
        <f ca="1">VLOOKUP($B50,'Probabilty Distribution'!$A:$CX,$K$4,FALSE)</f>
        <v>0</v>
      </c>
      <c r="H50" s="29">
        <f ca="1">VLOOKUP($B50,'Probabilty Distribution'!$A:$CX,$K$5,FALSE)</f>
        <v>0</v>
      </c>
      <c r="I50" s="28"/>
      <c r="J50" s="28"/>
    </row>
    <row r="51" spans="1:10" x14ac:dyDescent="0.2">
      <c r="A51" s="37" t="str">
        <f>'Risk Master'!B51&amp;"-"&amp;'Risk Master'!D51</f>
        <v>Earthquake-Mumbai</v>
      </c>
      <c r="B51" s="37" t="str">
        <f>'Input Sheet year 2'!B52</f>
        <v>Earthquake-Mumbai</v>
      </c>
      <c r="C51" s="29" t="str">
        <f>'Risk Master'!F51</f>
        <v>A13</v>
      </c>
      <c r="D51" s="29">
        <f>VLOOKUP($B51,'Probabilty Distribution'!$A:$CX,$K$1,FALSE)</f>
        <v>1</v>
      </c>
      <c r="E51" s="29">
        <f>VLOOKUP($B51,'Probabilty Distribution'!$A:$CX,$K$2,FALSE)</f>
        <v>0</v>
      </c>
      <c r="F51" s="29">
        <f>VLOOKUP($B51,'Probabilty Distribution'!$A:$CX,$K$3,FALSE)</f>
        <v>1</v>
      </c>
      <c r="G51" s="29">
        <f ca="1">VLOOKUP($B51,'Probabilty Distribution'!$A:$CX,$K$4,FALSE)</f>
        <v>1</v>
      </c>
      <c r="H51" s="29">
        <f ca="1">VLOOKUP($B51,'Probabilty Distribution'!$A:$CX,$K$5,FALSE)</f>
        <v>0</v>
      </c>
      <c r="I51" s="28"/>
      <c r="J51" s="28"/>
    </row>
    <row r="52" spans="1:10" x14ac:dyDescent="0.2">
      <c r="A52" s="37" t="str">
        <f>'Risk Master'!B52&amp;"-"&amp;'Risk Master'!D52</f>
        <v>Fire-Mumbai</v>
      </c>
      <c r="B52" s="37" t="str">
        <f>'Input Sheet year 2'!B53</f>
        <v>Fire-Mumbai</v>
      </c>
      <c r="C52" s="29" t="str">
        <f>'Risk Master'!F52</f>
        <v>A13</v>
      </c>
      <c r="D52" s="29">
        <f>VLOOKUP($B52,'Probabilty Distribution'!$A:$CX,$K$1,FALSE)</f>
        <v>0</v>
      </c>
      <c r="E52" s="29">
        <f>VLOOKUP($B52,'Probabilty Distribution'!$A:$CX,$K$2,FALSE)</f>
        <v>0</v>
      </c>
      <c r="F52" s="29">
        <f>VLOOKUP($B52,'Probabilty Distribution'!$A:$CX,$K$3,FALSE)</f>
        <v>0</v>
      </c>
      <c r="G52" s="29">
        <f ca="1">VLOOKUP($B52,'Probabilty Distribution'!$A:$CX,$K$4,FALSE)</f>
        <v>0</v>
      </c>
      <c r="H52" s="29">
        <f ca="1">VLOOKUP($B52,'Probabilty Distribution'!$A:$CX,$K$5,FALSE)</f>
        <v>1</v>
      </c>
      <c r="I52" s="28"/>
      <c r="J52" s="28"/>
    </row>
    <row r="53" spans="1:10" x14ac:dyDescent="0.2">
      <c r="A53" s="37" t="str">
        <f>'Risk Master'!B53&amp;"-"&amp;'Risk Master'!D53</f>
        <v>Typhoon-Mumbai</v>
      </c>
      <c r="B53" s="37" t="str">
        <f>'Input Sheet year 2'!B54</f>
        <v>Typhoon-Mumbai</v>
      </c>
      <c r="C53" s="29" t="str">
        <f>'Risk Master'!F53</f>
        <v>A13</v>
      </c>
      <c r="D53" s="29">
        <f>VLOOKUP($B53,'Probabilty Distribution'!$A:$CX,$K$1,FALSE)</f>
        <v>1</v>
      </c>
      <c r="E53" s="29">
        <f>VLOOKUP($B53,'Probabilty Distribution'!$A:$CX,$K$2,FALSE)</f>
        <v>0</v>
      </c>
      <c r="F53" s="29">
        <f>VLOOKUP($B53,'Probabilty Distribution'!$A:$CX,$K$3,FALSE)</f>
        <v>0</v>
      </c>
      <c r="G53" s="29">
        <f ca="1">VLOOKUP($B53,'Probabilty Distribution'!$A:$CX,$K$4,FALSE)</f>
        <v>0</v>
      </c>
      <c r="H53" s="29">
        <f ca="1">VLOOKUP($B53,'Probabilty Distribution'!$A:$CX,$K$5,FALSE)</f>
        <v>1</v>
      </c>
      <c r="I53" s="28"/>
      <c r="J53" s="28"/>
    </row>
    <row r="54" spans="1:10" x14ac:dyDescent="0.2">
      <c r="A54" s="37" t="str">
        <f>'Risk Master'!B54&amp;"-"&amp;'Risk Master'!D54</f>
        <v>Thunderstorms, Tornados &amp; Hail-Mumbai</v>
      </c>
      <c r="B54" s="37" t="str">
        <f>'Input Sheet year 2'!B55</f>
        <v>Thunderstorms, Tornados &amp; Hail-Mumbai</v>
      </c>
      <c r="C54" s="29" t="str">
        <f>'Risk Master'!F54</f>
        <v>A13</v>
      </c>
      <c r="D54" s="29">
        <f>VLOOKUP($B54,'Probabilty Distribution'!$A:$CX,$K$1,FALSE)</f>
        <v>0</v>
      </c>
      <c r="E54" s="29">
        <f>VLOOKUP($B54,'Probabilty Distribution'!$A:$CX,$K$2,FALSE)</f>
        <v>0</v>
      </c>
      <c r="F54" s="29">
        <f>VLOOKUP($B54,'Probabilty Distribution'!$A:$CX,$K$3,FALSE)</f>
        <v>0</v>
      </c>
      <c r="G54" s="29">
        <f ca="1">VLOOKUP($B54,'Probabilty Distribution'!$A:$CX,$K$4,FALSE)</f>
        <v>0</v>
      </c>
      <c r="H54" s="29">
        <f ca="1">VLOOKUP($B54,'Probabilty Distribution'!$A:$CX,$K$5,FALSE)</f>
        <v>0</v>
      </c>
      <c r="I54" s="28"/>
      <c r="J54" s="28"/>
    </row>
    <row r="55" spans="1:10" x14ac:dyDescent="0.2">
      <c r="A55" s="37" t="str">
        <f>'Risk Master'!B55&amp;"-"&amp;'Risk Master'!D55</f>
        <v>Tsunami-Mumbai</v>
      </c>
      <c r="B55" s="37" t="str">
        <f>'Input Sheet year 2'!B56</f>
        <v>Tsunami-Mumbai</v>
      </c>
      <c r="C55" s="29" t="str">
        <f>'Risk Master'!F55</f>
        <v>A13</v>
      </c>
      <c r="D55" s="29">
        <f>VLOOKUP($B55,'Probabilty Distribution'!$A:$CX,$K$1,FALSE)</f>
        <v>0</v>
      </c>
      <c r="E55" s="29">
        <f>VLOOKUP($B55,'Probabilty Distribution'!$A:$CX,$K$2,FALSE)</f>
        <v>1</v>
      </c>
      <c r="F55" s="29">
        <f>VLOOKUP($B55,'Probabilty Distribution'!$A:$CX,$K$3,FALSE)</f>
        <v>1</v>
      </c>
      <c r="G55" s="29">
        <f ca="1">VLOOKUP($B55,'Probabilty Distribution'!$A:$CX,$K$4,FALSE)</f>
        <v>0</v>
      </c>
      <c r="H55" s="29">
        <f ca="1">VLOOKUP($B55,'Probabilty Distribution'!$A:$CX,$K$5,FALSE)</f>
        <v>0</v>
      </c>
      <c r="I55" s="28"/>
      <c r="J55" s="28"/>
    </row>
    <row r="56" spans="1:10" ht="25.5" x14ac:dyDescent="0.2">
      <c r="A56" s="37" t="str">
        <f>'Risk Master'!B56&amp;"-"&amp;'Risk Master'!D56</f>
        <v>High tide and high rainfalls leading to large floods-Mumbai</v>
      </c>
      <c r="B56" s="37" t="str">
        <f>'Input Sheet year 2'!B57</f>
        <v>Flood-Mumbai</v>
      </c>
      <c r="C56" s="29" t="str">
        <f>'Risk Master'!F56</f>
        <v>A14</v>
      </c>
      <c r="D56" s="29">
        <f>VLOOKUP($B56,'Probabilty Distribution'!$A:$CX,$K$1,FALSE)</f>
        <v>0</v>
      </c>
      <c r="E56" s="29">
        <f>VLOOKUP($B56,'Probabilty Distribution'!$A:$CX,$K$2,FALSE)</f>
        <v>0</v>
      </c>
      <c r="F56" s="29">
        <f>VLOOKUP($B56,'Probabilty Distribution'!$A:$CX,$K$3,FALSE)</f>
        <v>0</v>
      </c>
      <c r="G56" s="29">
        <f ca="1">VLOOKUP($B56,'Probabilty Distribution'!$A:$CX,$K$4,FALSE)</f>
        <v>0</v>
      </c>
      <c r="H56" s="29">
        <f ca="1">VLOOKUP($B56,'Probabilty Distribution'!$A:$CX,$K$5,FALSE)</f>
        <v>0</v>
      </c>
      <c r="I56" s="28"/>
      <c r="J56" s="28"/>
    </row>
    <row r="57" spans="1:10" x14ac:dyDescent="0.2">
      <c r="A57" s="37" t="str">
        <f>'Risk Master'!B57&amp;"-"&amp;'Risk Master'!D57</f>
        <v>Earthquake-Mumbai</v>
      </c>
      <c r="B57" s="37" t="str">
        <f>'Input Sheet year 2'!B58</f>
        <v>Earthquake-Mumbai</v>
      </c>
      <c r="C57" s="29" t="str">
        <f>'Risk Master'!F57</f>
        <v>A14</v>
      </c>
      <c r="D57" s="29">
        <f>VLOOKUP($B57,'Probabilty Distribution'!$A:$CX,$K$1,FALSE)</f>
        <v>1</v>
      </c>
      <c r="E57" s="29">
        <f>VLOOKUP($B57,'Probabilty Distribution'!$A:$CX,$K$2,FALSE)</f>
        <v>0</v>
      </c>
      <c r="F57" s="29">
        <f>VLOOKUP($B57,'Probabilty Distribution'!$A:$CX,$K$3,FALSE)</f>
        <v>1</v>
      </c>
      <c r="G57" s="29">
        <f ca="1">VLOOKUP($B57,'Probabilty Distribution'!$A:$CX,$K$4,FALSE)</f>
        <v>1</v>
      </c>
      <c r="H57" s="29">
        <f ca="1">VLOOKUP($B57,'Probabilty Distribution'!$A:$CX,$K$5,FALSE)</f>
        <v>0</v>
      </c>
      <c r="I57" s="28"/>
      <c r="J57" s="28"/>
    </row>
    <row r="58" spans="1:10" x14ac:dyDescent="0.2">
      <c r="A58" s="37" t="str">
        <f>'Risk Master'!B58&amp;"-"&amp;'Risk Master'!D58</f>
        <v>Fire-Mumbai</v>
      </c>
      <c r="B58" s="37" t="str">
        <f>'Input Sheet year 2'!B59</f>
        <v>Fire-Mumbai</v>
      </c>
      <c r="C58" s="29" t="str">
        <f>'Risk Master'!F58</f>
        <v>A14</v>
      </c>
      <c r="D58" s="29">
        <f>VLOOKUP($B58,'Probabilty Distribution'!$A:$CX,$K$1,FALSE)</f>
        <v>0</v>
      </c>
      <c r="E58" s="29">
        <f>VLOOKUP($B58,'Probabilty Distribution'!$A:$CX,$K$2,FALSE)</f>
        <v>0</v>
      </c>
      <c r="F58" s="29">
        <f>VLOOKUP($B58,'Probabilty Distribution'!$A:$CX,$K$3,FALSE)</f>
        <v>0</v>
      </c>
      <c r="G58" s="29">
        <f ca="1">VLOOKUP($B58,'Probabilty Distribution'!$A:$CX,$K$4,FALSE)</f>
        <v>0</v>
      </c>
      <c r="H58" s="29">
        <f ca="1">VLOOKUP($B58,'Probabilty Distribution'!$A:$CX,$K$5,FALSE)</f>
        <v>1</v>
      </c>
      <c r="I58" s="28"/>
      <c r="J58" s="28"/>
    </row>
    <row r="59" spans="1:10" x14ac:dyDescent="0.2">
      <c r="A59" s="37" t="str">
        <f>'Risk Master'!B59&amp;"-"&amp;'Risk Master'!D59</f>
        <v>Typhoon-Mumbai</v>
      </c>
      <c r="B59" s="37" t="str">
        <f>'Input Sheet year 2'!B60</f>
        <v>Typhoon-Mumbai</v>
      </c>
      <c r="C59" s="29" t="str">
        <f>'Risk Master'!F59</f>
        <v>A14</v>
      </c>
      <c r="D59" s="29">
        <f>VLOOKUP($B59,'Probabilty Distribution'!$A:$CX,$K$1,FALSE)</f>
        <v>1</v>
      </c>
      <c r="E59" s="29">
        <f>VLOOKUP($B59,'Probabilty Distribution'!$A:$CX,$K$2,FALSE)</f>
        <v>0</v>
      </c>
      <c r="F59" s="29">
        <f>VLOOKUP($B59,'Probabilty Distribution'!$A:$CX,$K$3,FALSE)</f>
        <v>0</v>
      </c>
      <c r="G59" s="29">
        <f ca="1">VLOOKUP($B59,'Probabilty Distribution'!$A:$CX,$K$4,FALSE)</f>
        <v>0</v>
      </c>
      <c r="H59" s="29">
        <f ca="1">VLOOKUP($B59,'Probabilty Distribution'!$A:$CX,$K$5,FALSE)</f>
        <v>1</v>
      </c>
      <c r="I59" s="28"/>
      <c r="J59" s="28"/>
    </row>
    <row r="60" spans="1:10" x14ac:dyDescent="0.2">
      <c r="A60" s="37" t="str">
        <f>'Risk Master'!B60&amp;"-"&amp;'Risk Master'!D60</f>
        <v>Thunderstorms, Tornados &amp; Hail-Mumbai</v>
      </c>
      <c r="B60" s="37" t="str">
        <f>'Input Sheet year 2'!B61</f>
        <v>Thunderstorms, Tornados &amp; Hail-Mumbai</v>
      </c>
      <c r="C60" s="29" t="str">
        <f>'Risk Master'!F60</f>
        <v>A14</v>
      </c>
      <c r="D60" s="29">
        <f>VLOOKUP($B60,'Probabilty Distribution'!$A:$CX,$K$1,FALSE)</f>
        <v>0</v>
      </c>
      <c r="E60" s="29">
        <f>VLOOKUP($B60,'Probabilty Distribution'!$A:$CX,$K$2,FALSE)</f>
        <v>0</v>
      </c>
      <c r="F60" s="29">
        <f>VLOOKUP($B60,'Probabilty Distribution'!$A:$CX,$K$3,FALSE)</f>
        <v>0</v>
      </c>
      <c r="G60" s="29">
        <f ca="1">VLOOKUP($B60,'Probabilty Distribution'!$A:$CX,$K$4,FALSE)</f>
        <v>0</v>
      </c>
      <c r="H60" s="29">
        <f ca="1">VLOOKUP($B60,'Probabilty Distribution'!$A:$CX,$K$5,FALSE)</f>
        <v>0</v>
      </c>
      <c r="I60" s="28"/>
      <c r="J60" s="28"/>
    </row>
    <row r="61" spans="1:10" x14ac:dyDescent="0.2">
      <c r="A61" s="37" t="str">
        <f>'Risk Master'!B61&amp;"-"&amp;'Risk Master'!D61</f>
        <v>Tsunami-Mumbai</v>
      </c>
      <c r="B61" s="37" t="str">
        <f>'Input Sheet year 2'!B62</f>
        <v>Tsunami-Mumbai</v>
      </c>
      <c r="C61" s="29" t="str">
        <f>'Risk Master'!F61</f>
        <v>A14</v>
      </c>
      <c r="D61" s="29">
        <f>VLOOKUP($B61,'Probabilty Distribution'!$A:$CX,$K$1,FALSE)</f>
        <v>0</v>
      </c>
      <c r="E61" s="29">
        <f>VLOOKUP($B61,'Probabilty Distribution'!$A:$CX,$K$2,FALSE)</f>
        <v>1</v>
      </c>
      <c r="F61" s="29">
        <f>VLOOKUP($B61,'Probabilty Distribution'!$A:$CX,$K$3,FALSE)</f>
        <v>1</v>
      </c>
      <c r="G61" s="29">
        <f ca="1">VLOOKUP($B61,'Probabilty Distribution'!$A:$CX,$K$4,FALSE)</f>
        <v>0</v>
      </c>
      <c r="H61" s="29">
        <f ca="1">VLOOKUP($B61,'Probabilty Distribution'!$A:$CX,$K$5,FALSE)</f>
        <v>0</v>
      </c>
      <c r="I61" s="28"/>
      <c r="J61" s="28"/>
    </row>
    <row r="62" spans="1:10" ht="25.5" x14ac:dyDescent="0.2">
      <c r="A62" s="37" t="str">
        <f>'Risk Master'!B62&amp;"-"&amp;'Risk Master'!D62</f>
        <v>High tide and high rainfalls leading to large floods-Mumbai</v>
      </c>
      <c r="B62" s="37" t="str">
        <f>'Input Sheet year 2'!B63</f>
        <v>Flood-Mumbai</v>
      </c>
      <c r="C62" s="29" t="str">
        <f>'Risk Master'!F62</f>
        <v>A15</v>
      </c>
      <c r="D62" s="29">
        <f>VLOOKUP($B62,'Probabilty Distribution'!$A:$CX,$K$1,FALSE)</f>
        <v>0</v>
      </c>
      <c r="E62" s="29">
        <f>VLOOKUP($B62,'Probabilty Distribution'!$A:$CX,$K$2,FALSE)</f>
        <v>0</v>
      </c>
      <c r="F62" s="29">
        <f>VLOOKUP($B62,'Probabilty Distribution'!$A:$CX,$K$3,FALSE)</f>
        <v>0</v>
      </c>
      <c r="G62" s="29">
        <f ca="1">VLOOKUP($B62,'Probabilty Distribution'!$A:$CX,$K$4,FALSE)</f>
        <v>0</v>
      </c>
      <c r="H62" s="29">
        <f ca="1">VLOOKUP($B62,'Probabilty Distribution'!$A:$CX,$K$5,FALSE)</f>
        <v>0</v>
      </c>
      <c r="I62" s="28"/>
      <c r="J62" s="28"/>
    </row>
    <row r="63" spans="1:10" x14ac:dyDescent="0.2">
      <c r="A63" s="37" t="str">
        <f>'Risk Master'!B63&amp;"-"&amp;'Risk Master'!D63</f>
        <v>Earthquake-Mumbai</v>
      </c>
      <c r="B63" s="37" t="str">
        <f>'Input Sheet year 2'!B64</f>
        <v>Earthquake-Mumbai</v>
      </c>
      <c r="C63" s="29" t="str">
        <f>'Risk Master'!F63</f>
        <v>A15</v>
      </c>
      <c r="D63" s="29">
        <f>VLOOKUP($B63,'Probabilty Distribution'!$A:$CX,$K$1,FALSE)</f>
        <v>1</v>
      </c>
      <c r="E63" s="29">
        <f>VLOOKUP($B63,'Probabilty Distribution'!$A:$CX,$K$2,FALSE)</f>
        <v>0</v>
      </c>
      <c r="F63" s="29">
        <f>VLOOKUP($B63,'Probabilty Distribution'!$A:$CX,$K$3,FALSE)</f>
        <v>1</v>
      </c>
      <c r="G63" s="29">
        <f ca="1">VLOOKUP($B63,'Probabilty Distribution'!$A:$CX,$K$4,FALSE)</f>
        <v>1</v>
      </c>
      <c r="H63" s="29">
        <f ca="1">VLOOKUP($B63,'Probabilty Distribution'!$A:$CX,$K$5,FALSE)</f>
        <v>0</v>
      </c>
      <c r="I63" s="28"/>
      <c r="J63" s="28"/>
    </row>
    <row r="64" spans="1:10" x14ac:dyDescent="0.2">
      <c r="A64" s="37" t="str">
        <f>'Risk Master'!B64&amp;"-"&amp;'Risk Master'!D64</f>
        <v>Fire-Mumbai</v>
      </c>
      <c r="B64" s="37" t="str">
        <f>'Input Sheet year 2'!B65</f>
        <v>Fire-Mumbai</v>
      </c>
      <c r="C64" s="29" t="str">
        <f>'Risk Master'!F64</f>
        <v>A15</v>
      </c>
      <c r="D64" s="29">
        <f>VLOOKUP($B64,'Probabilty Distribution'!$A:$CX,$K$1,FALSE)</f>
        <v>0</v>
      </c>
      <c r="E64" s="29">
        <f>VLOOKUP($B64,'Probabilty Distribution'!$A:$CX,$K$2,FALSE)</f>
        <v>0</v>
      </c>
      <c r="F64" s="29">
        <f>VLOOKUP($B64,'Probabilty Distribution'!$A:$CX,$K$3,FALSE)</f>
        <v>0</v>
      </c>
      <c r="G64" s="29">
        <f ca="1">VLOOKUP($B64,'Probabilty Distribution'!$A:$CX,$K$4,FALSE)</f>
        <v>0</v>
      </c>
      <c r="H64" s="29">
        <f ca="1">VLOOKUP($B64,'Probabilty Distribution'!$A:$CX,$K$5,FALSE)</f>
        <v>1</v>
      </c>
      <c r="I64" s="28"/>
      <c r="J64" s="28"/>
    </row>
    <row r="65" spans="1:10" x14ac:dyDescent="0.2">
      <c r="A65" s="37" t="str">
        <f>'Risk Master'!B65&amp;"-"&amp;'Risk Master'!D65</f>
        <v>Typhoon-Mumbai</v>
      </c>
      <c r="B65" s="37" t="str">
        <f>'Input Sheet year 2'!B66</f>
        <v>Typhoon-Mumbai</v>
      </c>
      <c r="C65" s="29" t="str">
        <f>'Risk Master'!F65</f>
        <v>A15</v>
      </c>
      <c r="D65" s="29">
        <f>VLOOKUP($B65,'Probabilty Distribution'!$A:$CX,$K$1,FALSE)</f>
        <v>1</v>
      </c>
      <c r="E65" s="29">
        <f>VLOOKUP($B65,'Probabilty Distribution'!$A:$CX,$K$2,FALSE)</f>
        <v>0</v>
      </c>
      <c r="F65" s="29">
        <f>VLOOKUP($B65,'Probabilty Distribution'!$A:$CX,$K$3,FALSE)</f>
        <v>0</v>
      </c>
      <c r="G65" s="29">
        <f ca="1">VLOOKUP($B65,'Probabilty Distribution'!$A:$CX,$K$4,FALSE)</f>
        <v>0</v>
      </c>
      <c r="H65" s="29">
        <f ca="1">VLOOKUP($B65,'Probabilty Distribution'!$A:$CX,$K$5,FALSE)</f>
        <v>1</v>
      </c>
      <c r="I65" s="28"/>
      <c r="J65" s="28"/>
    </row>
    <row r="66" spans="1:10" x14ac:dyDescent="0.2">
      <c r="A66" s="37" t="str">
        <f>'Risk Master'!B66&amp;"-"&amp;'Risk Master'!D66</f>
        <v>Thunderstorms, Tornados &amp; Hail-Mumbai</v>
      </c>
      <c r="B66" s="37" t="str">
        <f>'Input Sheet year 2'!B67</f>
        <v>Thunderstorms, Tornados &amp; Hail-Mumbai</v>
      </c>
      <c r="C66" s="29" t="str">
        <f>'Risk Master'!F66</f>
        <v>A15</v>
      </c>
      <c r="D66" s="29">
        <f>VLOOKUP($B66,'Probabilty Distribution'!$A:$CX,$K$1,FALSE)</f>
        <v>0</v>
      </c>
      <c r="E66" s="29">
        <f>VLOOKUP($B66,'Probabilty Distribution'!$A:$CX,$K$2,FALSE)</f>
        <v>0</v>
      </c>
      <c r="F66" s="29">
        <f>VLOOKUP($B66,'Probabilty Distribution'!$A:$CX,$K$3,FALSE)</f>
        <v>0</v>
      </c>
      <c r="G66" s="29">
        <f ca="1">VLOOKUP($B66,'Probabilty Distribution'!$A:$CX,$K$4,FALSE)</f>
        <v>0</v>
      </c>
      <c r="H66" s="29">
        <f ca="1">VLOOKUP($B66,'Probabilty Distribution'!$A:$CX,$K$5,FALSE)</f>
        <v>0</v>
      </c>
      <c r="I66" s="28"/>
      <c r="J66" s="28"/>
    </row>
    <row r="67" spans="1:10" x14ac:dyDescent="0.2">
      <c r="A67" s="37" t="str">
        <f>'Risk Master'!B67&amp;"-"&amp;'Risk Master'!D67</f>
        <v>Tsunami-Mumbai</v>
      </c>
      <c r="B67" s="37" t="str">
        <f>'Input Sheet year 2'!B68</f>
        <v>Tsunami-Mumbai</v>
      </c>
      <c r="C67" s="29" t="str">
        <f>'Risk Master'!F67</f>
        <v>A15</v>
      </c>
      <c r="D67" s="29">
        <f>VLOOKUP($B67,'Probabilty Distribution'!$A:$CX,$K$1,FALSE)</f>
        <v>0</v>
      </c>
      <c r="E67" s="29">
        <f>VLOOKUP($B67,'Probabilty Distribution'!$A:$CX,$K$2,FALSE)</f>
        <v>1</v>
      </c>
      <c r="F67" s="29">
        <f>VLOOKUP($B67,'Probabilty Distribution'!$A:$CX,$K$3,FALSE)</f>
        <v>1</v>
      </c>
      <c r="G67" s="29">
        <f ca="1">VLOOKUP($B67,'Probabilty Distribution'!$A:$CX,$K$4,FALSE)</f>
        <v>0</v>
      </c>
      <c r="H67" s="29">
        <f ca="1">VLOOKUP($B67,'Probabilty Distribution'!$A:$CX,$K$5,FALSE)</f>
        <v>0</v>
      </c>
      <c r="I67" s="28"/>
      <c r="J67" s="28"/>
    </row>
    <row r="68" spans="1:10" x14ac:dyDescent="0.2">
      <c r="A68" s="37" t="str">
        <f>'Risk Master'!B68&amp;"-"&amp;'Risk Master'!D68</f>
        <v>Hurricane-Typhoon -Germany</v>
      </c>
      <c r="B68" s="37" t="str">
        <f>'Input Sheet year 2'!B69</f>
        <v>Hurricane-Typhoon -Germany</v>
      </c>
      <c r="C68" s="29" t="str">
        <f>'Risk Master'!F68</f>
        <v>A16</v>
      </c>
      <c r="D68" s="29">
        <f>VLOOKUP($B68,'Probabilty Distribution'!$A:$CX,$K$1,FALSE)</f>
        <v>0</v>
      </c>
      <c r="E68" s="29">
        <f>VLOOKUP($B68,'Probabilty Distribution'!$A:$CX,$K$2,FALSE)</f>
        <v>1</v>
      </c>
      <c r="F68" s="29">
        <f>VLOOKUP($B68,'Probabilty Distribution'!$A:$CX,$K$3,FALSE)</f>
        <v>0</v>
      </c>
      <c r="G68" s="29">
        <f ca="1">VLOOKUP($B68,'Probabilty Distribution'!$A:$CX,$K$4,FALSE)</f>
        <v>0</v>
      </c>
      <c r="H68" s="29">
        <f ca="1">VLOOKUP($B68,'Probabilty Distribution'!$A:$CX,$K$5,FALSE)</f>
        <v>0</v>
      </c>
      <c r="I68" s="28"/>
      <c r="J68" s="28"/>
    </row>
    <row r="69" spans="1:10" x14ac:dyDescent="0.2">
      <c r="A69" s="37" t="str">
        <f>'Risk Master'!B69&amp;"-"&amp;'Risk Master'!D69</f>
        <v>Earthquake-Germany</v>
      </c>
      <c r="B69" s="37" t="str">
        <f>'Input Sheet year 2'!B70</f>
        <v>Earthquake-Germany</v>
      </c>
      <c r="C69" s="29" t="str">
        <f>'Risk Master'!F69</f>
        <v>A16</v>
      </c>
      <c r="D69" s="29">
        <f>VLOOKUP($B69,'Probabilty Distribution'!$A:$CX,$K$1,FALSE)</f>
        <v>0</v>
      </c>
      <c r="E69" s="29">
        <f>VLOOKUP($B69,'Probabilty Distribution'!$A:$CX,$K$2,FALSE)</f>
        <v>0</v>
      </c>
      <c r="F69" s="29">
        <f>VLOOKUP($B69,'Probabilty Distribution'!$A:$CX,$K$3,FALSE)</f>
        <v>0</v>
      </c>
      <c r="G69" s="29">
        <f ca="1">VLOOKUP($B69,'Probabilty Distribution'!$A:$CX,$K$4,FALSE)</f>
        <v>0</v>
      </c>
      <c r="H69" s="29">
        <f ca="1">VLOOKUP($B69,'Probabilty Distribution'!$A:$CX,$K$5,FALSE)</f>
        <v>0</v>
      </c>
      <c r="I69" s="28"/>
      <c r="J69" s="28"/>
    </row>
    <row r="70" spans="1:10" x14ac:dyDescent="0.2">
      <c r="A70" s="37" t="str">
        <f>'Risk Master'!B70&amp;"-"&amp;'Risk Master'!D70</f>
        <v>Fire-Germany</v>
      </c>
      <c r="B70" s="37" t="str">
        <f>'Input Sheet year 2'!B71</f>
        <v>Fire-Germany</v>
      </c>
      <c r="C70" s="29" t="str">
        <f>'Risk Master'!F70</f>
        <v>A16</v>
      </c>
      <c r="D70" s="29">
        <f>VLOOKUP($B70,'Probabilty Distribution'!$A:$CX,$K$1,FALSE)</f>
        <v>0</v>
      </c>
      <c r="E70" s="29">
        <f>VLOOKUP($B70,'Probabilty Distribution'!$A:$CX,$K$2,FALSE)</f>
        <v>1</v>
      </c>
      <c r="F70" s="29">
        <f>VLOOKUP($B70,'Probabilty Distribution'!$A:$CX,$K$3,FALSE)</f>
        <v>0</v>
      </c>
      <c r="G70" s="29">
        <f ca="1">VLOOKUP($B70,'Probabilty Distribution'!$A:$CX,$K$4,FALSE)</f>
        <v>0</v>
      </c>
      <c r="H70" s="29">
        <f ca="1">VLOOKUP($B70,'Probabilty Distribution'!$A:$CX,$K$5,FALSE)</f>
        <v>0</v>
      </c>
      <c r="I70" s="28"/>
      <c r="J70" s="28"/>
    </row>
    <row r="71" spans="1:10" x14ac:dyDescent="0.2">
      <c r="A71" s="37" t="str">
        <f>'Risk Master'!B71&amp;"-"&amp;'Risk Master'!D71</f>
        <v>Thunderstorms, Tornados &amp; Hail-Germany</v>
      </c>
      <c r="B71" s="37" t="str">
        <f>'Input Sheet year 2'!B72</f>
        <v>Thunderstorms, Tornados &amp; Hail-Germany</v>
      </c>
      <c r="C71" s="29" t="str">
        <f>'Risk Master'!F71</f>
        <v>A16</v>
      </c>
      <c r="D71" s="29">
        <f>VLOOKUP($B71,'Probabilty Distribution'!$A:$CX,$K$1,FALSE)</f>
        <v>0</v>
      </c>
      <c r="E71" s="29">
        <f>VLOOKUP($B71,'Probabilty Distribution'!$A:$CX,$K$2,FALSE)</f>
        <v>1</v>
      </c>
      <c r="F71" s="29">
        <f>VLOOKUP($B71,'Probabilty Distribution'!$A:$CX,$K$3,FALSE)</f>
        <v>1</v>
      </c>
      <c r="G71" s="29">
        <f ca="1">VLOOKUP($B71,'Probabilty Distribution'!$A:$CX,$K$4,FALSE)</f>
        <v>0</v>
      </c>
      <c r="H71" s="29">
        <f ca="1">VLOOKUP($B71,'Probabilty Distribution'!$A:$CX,$K$5,FALSE)</f>
        <v>0</v>
      </c>
      <c r="I71" s="28"/>
      <c r="J71" s="28"/>
    </row>
    <row r="72" spans="1:10" x14ac:dyDescent="0.2">
      <c r="A72" s="37" t="str">
        <f>'Risk Master'!B72&amp;"-"&amp;'Risk Master'!D72</f>
        <v>Hurricane-Typhoon -Germany</v>
      </c>
      <c r="B72" s="37" t="str">
        <f>'Input Sheet year 2'!B73</f>
        <v>Hurricane-Typhoon -Germany</v>
      </c>
      <c r="C72" s="29" t="str">
        <f>'Risk Master'!F72</f>
        <v>A19</v>
      </c>
      <c r="D72" s="29">
        <f>VLOOKUP($B72,'Probabilty Distribution'!$A:$CX,$K$1,FALSE)</f>
        <v>0</v>
      </c>
      <c r="E72" s="29">
        <f>VLOOKUP($B72,'Probabilty Distribution'!$A:$CX,$K$2,FALSE)</f>
        <v>1</v>
      </c>
      <c r="F72" s="29">
        <f>VLOOKUP($B72,'Probabilty Distribution'!$A:$CX,$K$3,FALSE)</f>
        <v>0</v>
      </c>
      <c r="G72" s="29">
        <f ca="1">VLOOKUP($B72,'Probabilty Distribution'!$A:$CX,$K$4,FALSE)</f>
        <v>0</v>
      </c>
      <c r="H72" s="29">
        <f ca="1">VLOOKUP($B72,'Probabilty Distribution'!$A:$CX,$K$5,FALSE)</f>
        <v>0</v>
      </c>
      <c r="I72" s="28"/>
      <c r="J72" s="28"/>
    </row>
    <row r="73" spans="1:10" x14ac:dyDescent="0.2">
      <c r="A73" s="37" t="str">
        <f>'Risk Master'!B73&amp;"-"&amp;'Risk Master'!D73</f>
        <v>Earthquake-Germany</v>
      </c>
      <c r="B73" s="37" t="str">
        <f>'Input Sheet year 2'!B74</f>
        <v>Earthquake-Germany</v>
      </c>
      <c r="C73" s="29" t="str">
        <f>'Risk Master'!F73</f>
        <v>A19</v>
      </c>
      <c r="D73" s="29">
        <f>VLOOKUP($B73,'Probabilty Distribution'!$A:$CX,$K$1,FALSE)</f>
        <v>0</v>
      </c>
      <c r="E73" s="29">
        <f>VLOOKUP($B73,'Probabilty Distribution'!$A:$CX,$K$2,FALSE)</f>
        <v>0</v>
      </c>
      <c r="F73" s="29">
        <f>VLOOKUP($B73,'Probabilty Distribution'!$A:$CX,$K$3,FALSE)</f>
        <v>0</v>
      </c>
      <c r="G73" s="29">
        <f ca="1">VLOOKUP($B73,'Probabilty Distribution'!$A:$CX,$K$4,FALSE)</f>
        <v>0</v>
      </c>
      <c r="H73" s="29">
        <f ca="1">VLOOKUP($B73,'Probabilty Distribution'!$A:$CX,$K$5,FALSE)</f>
        <v>0</v>
      </c>
      <c r="I73" s="28"/>
      <c r="J73" s="28"/>
    </row>
    <row r="74" spans="1:10" x14ac:dyDescent="0.2">
      <c r="A74" s="37" t="str">
        <f>'Risk Master'!B74&amp;"-"&amp;'Risk Master'!D74</f>
        <v>Fire-Germany</v>
      </c>
      <c r="B74" s="37" t="str">
        <f>'Input Sheet year 2'!B75</f>
        <v>Fire-Germany</v>
      </c>
      <c r="C74" s="29" t="str">
        <f>'Risk Master'!F74</f>
        <v>A19</v>
      </c>
      <c r="D74" s="29">
        <f>VLOOKUP($B74,'Probabilty Distribution'!$A:$CX,$K$1,FALSE)</f>
        <v>0</v>
      </c>
      <c r="E74" s="29">
        <f>VLOOKUP($B74,'Probabilty Distribution'!$A:$CX,$K$2,FALSE)</f>
        <v>1</v>
      </c>
      <c r="F74" s="29">
        <f>VLOOKUP($B74,'Probabilty Distribution'!$A:$CX,$K$3,FALSE)</f>
        <v>0</v>
      </c>
      <c r="G74" s="29">
        <f ca="1">VLOOKUP($B74,'Probabilty Distribution'!$A:$CX,$K$4,FALSE)</f>
        <v>0</v>
      </c>
      <c r="H74" s="29">
        <f ca="1">VLOOKUP($B74,'Probabilty Distribution'!$A:$CX,$K$5,FALSE)</f>
        <v>0</v>
      </c>
      <c r="I74" s="28"/>
      <c r="J74" s="28"/>
    </row>
    <row r="75" spans="1:10" x14ac:dyDescent="0.2">
      <c r="A75" s="37" t="str">
        <f>'Risk Master'!B75&amp;"-"&amp;'Risk Master'!D75</f>
        <v>Thunderstorms, Tornados &amp; Hail-Germany</v>
      </c>
      <c r="B75" s="37" t="str">
        <f>'Input Sheet year 2'!B76</f>
        <v>Thunderstorms, Tornados &amp; Hail-Germany</v>
      </c>
      <c r="C75" s="29" t="str">
        <f>'Risk Master'!F75</f>
        <v>A19</v>
      </c>
      <c r="D75" s="29">
        <f>VLOOKUP($B75,'Probabilty Distribution'!$A:$CX,$K$1,FALSE)</f>
        <v>0</v>
      </c>
      <c r="E75" s="29">
        <f>VLOOKUP($B75,'Probabilty Distribution'!$A:$CX,$K$2,FALSE)</f>
        <v>1</v>
      </c>
      <c r="F75" s="29">
        <f>VLOOKUP($B75,'Probabilty Distribution'!$A:$CX,$K$3,FALSE)</f>
        <v>1</v>
      </c>
      <c r="G75" s="29">
        <f ca="1">VLOOKUP($B75,'Probabilty Distribution'!$A:$CX,$K$4,FALSE)</f>
        <v>0</v>
      </c>
      <c r="H75" s="29">
        <f ca="1">VLOOKUP($B75,'Probabilty Distribution'!$A:$CX,$K$5,FALSE)</f>
        <v>0</v>
      </c>
      <c r="I75" s="28"/>
      <c r="J75" s="28"/>
    </row>
    <row r="76" spans="1:10" x14ac:dyDescent="0.2">
      <c r="A76" s="37" t="str">
        <f>'Risk Master'!B76&amp;"-"&amp;'Risk Master'!D76</f>
        <v>Hurricane-Typhoon -Germany</v>
      </c>
      <c r="B76" s="37" t="str">
        <f>'Input Sheet year 2'!B77</f>
        <v>Hurricane-Typhoon -Germany</v>
      </c>
      <c r="C76" s="29" t="str">
        <f>'Risk Master'!F76</f>
        <v>A22</v>
      </c>
      <c r="D76" s="29">
        <f>VLOOKUP($B76,'Probabilty Distribution'!$A:$CX,$K$1,FALSE)</f>
        <v>0</v>
      </c>
      <c r="E76" s="29">
        <f>VLOOKUP($B76,'Probabilty Distribution'!$A:$CX,$K$2,FALSE)</f>
        <v>1</v>
      </c>
      <c r="F76" s="29">
        <f>VLOOKUP($B76,'Probabilty Distribution'!$A:$CX,$K$3,FALSE)</f>
        <v>0</v>
      </c>
      <c r="G76" s="29">
        <f ca="1">VLOOKUP($B76,'Probabilty Distribution'!$A:$CX,$K$4,FALSE)</f>
        <v>0</v>
      </c>
      <c r="H76" s="29">
        <f ca="1">VLOOKUP($B76,'Probabilty Distribution'!$A:$CX,$K$5,FALSE)</f>
        <v>0</v>
      </c>
      <c r="I76" s="28"/>
      <c r="J76" s="28"/>
    </row>
    <row r="77" spans="1:10" x14ac:dyDescent="0.2">
      <c r="A77" s="37" t="str">
        <f>'Risk Master'!B77&amp;"-"&amp;'Risk Master'!D77</f>
        <v>Earthquake-Germany</v>
      </c>
      <c r="B77" s="37" t="str">
        <f>'Input Sheet year 2'!B78</f>
        <v>Earthquake-Germany</v>
      </c>
      <c r="C77" s="29" t="str">
        <f>'Risk Master'!F77</f>
        <v>A22</v>
      </c>
      <c r="D77" s="29">
        <f>VLOOKUP($B77,'Probabilty Distribution'!$A:$CX,$K$1,FALSE)</f>
        <v>0</v>
      </c>
      <c r="E77" s="29">
        <f>VLOOKUP($B77,'Probabilty Distribution'!$A:$CX,$K$2,FALSE)</f>
        <v>0</v>
      </c>
      <c r="F77" s="29">
        <f>VLOOKUP($B77,'Probabilty Distribution'!$A:$CX,$K$3,FALSE)</f>
        <v>0</v>
      </c>
      <c r="G77" s="29">
        <f ca="1">VLOOKUP($B77,'Probabilty Distribution'!$A:$CX,$K$4,FALSE)</f>
        <v>0</v>
      </c>
      <c r="H77" s="29">
        <f ca="1">VLOOKUP($B77,'Probabilty Distribution'!$A:$CX,$K$5,FALSE)</f>
        <v>0</v>
      </c>
      <c r="I77" s="28"/>
      <c r="J77" s="28"/>
    </row>
    <row r="78" spans="1:10" x14ac:dyDescent="0.2">
      <c r="A78" s="37" t="str">
        <f>'Risk Master'!B78&amp;"-"&amp;'Risk Master'!D78</f>
        <v>Fire-Germany</v>
      </c>
      <c r="B78" s="37" t="str">
        <f>'Input Sheet year 2'!B79</f>
        <v>Fire-Germany</v>
      </c>
      <c r="C78" s="29" t="str">
        <f>'Risk Master'!F78</f>
        <v>A22</v>
      </c>
      <c r="D78" s="29">
        <f>VLOOKUP($B78,'Probabilty Distribution'!$A:$CX,$K$1,FALSE)</f>
        <v>0</v>
      </c>
      <c r="E78" s="29">
        <f>VLOOKUP($B78,'Probabilty Distribution'!$A:$CX,$K$2,FALSE)</f>
        <v>1</v>
      </c>
      <c r="F78" s="29">
        <f>VLOOKUP($B78,'Probabilty Distribution'!$A:$CX,$K$3,FALSE)</f>
        <v>0</v>
      </c>
      <c r="G78" s="29">
        <f ca="1">VLOOKUP($B78,'Probabilty Distribution'!$A:$CX,$K$4,FALSE)</f>
        <v>0</v>
      </c>
      <c r="H78" s="29">
        <f ca="1">VLOOKUP($B78,'Probabilty Distribution'!$A:$CX,$K$5,FALSE)</f>
        <v>0</v>
      </c>
      <c r="I78" s="28"/>
      <c r="J78" s="28"/>
    </row>
    <row r="79" spans="1:10" x14ac:dyDescent="0.2">
      <c r="A79" s="37" t="str">
        <f>'Risk Master'!B79&amp;"-"&amp;'Risk Master'!D79</f>
        <v>Thunderstorms, Tornados &amp; Hail-Germany</v>
      </c>
      <c r="B79" s="37" t="str">
        <f>'Input Sheet year 2'!B80</f>
        <v>Thunderstorms, Tornados &amp; Hail-Germany</v>
      </c>
      <c r="C79" s="29" t="str">
        <f>'Risk Master'!F79</f>
        <v>A22</v>
      </c>
      <c r="D79" s="29">
        <f>VLOOKUP($B79,'Probabilty Distribution'!$A:$CX,$K$1,FALSE)</f>
        <v>0</v>
      </c>
      <c r="E79" s="29">
        <f>VLOOKUP($B79,'Probabilty Distribution'!$A:$CX,$K$2,FALSE)</f>
        <v>1</v>
      </c>
      <c r="F79" s="29">
        <f>VLOOKUP($B79,'Probabilty Distribution'!$A:$CX,$K$3,FALSE)</f>
        <v>1</v>
      </c>
      <c r="G79" s="29">
        <f ca="1">VLOOKUP($B79,'Probabilty Distribution'!$A:$CX,$K$4,FALSE)</f>
        <v>0</v>
      </c>
      <c r="H79" s="29">
        <f ca="1">VLOOKUP($B79,'Probabilty Distribution'!$A:$CX,$K$5,FALSE)</f>
        <v>0</v>
      </c>
      <c r="I79" s="28"/>
      <c r="J79" s="28"/>
    </row>
    <row r="80" spans="1:10" x14ac:dyDescent="0.2">
      <c r="A80" s="37" t="str">
        <f>'Risk Master'!B80&amp;"-"&amp;'Risk Master'!D80</f>
        <v>Hurricane-Typhoon -Germany</v>
      </c>
      <c r="B80" s="37" t="str">
        <f>'Input Sheet year 2'!B81</f>
        <v>Hurricane-Typhoon -Germany</v>
      </c>
      <c r="C80" s="29" t="str">
        <f>'Risk Master'!F80</f>
        <v>A23</v>
      </c>
      <c r="D80" s="29">
        <f>VLOOKUP($B80,'Probabilty Distribution'!$A:$CX,$K$1,FALSE)</f>
        <v>0</v>
      </c>
      <c r="E80" s="29">
        <f>VLOOKUP($B80,'Probabilty Distribution'!$A:$CX,$K$2,FALSE)</f>
        <v>1</v>
      </c>
      <c r="F80" s="29">
        <f>VLOOKUP($B80,'Probabilty Distribution'!$A:$CX,$K$3,FALSE)</f>
        <v>0</v>
      </c>
      <c r="G80" s="29">
        <f ca="1">VLOOKUP($B80,'Probabilty Distribution'!$A:$CX,$K$4,FALSE)</f>
        <v>0</v>
      </c>
      <c r="H80" s="29">
        <f ca="1">VLOOKUP($B80,'Probabilty Distribution'!$A:$CX,$K$5,FALSE)</f>
        <v>0</v>
      </c>
      <c r="I80" s="28"/>
      <c r="J80" s="28"/>
    </row>
    <row r="81" spans="1:10" x14ac:dyDescent="0.2">
      <c r="A81" s="37" t="str">
        <f>'Risk Master'!B81&amp;"-"&amp;'Risk Master'!D81</f>
        <v>Earthquake-Germany</v>
      </c>
      <c r="B81" s="37" t="str">
        <f>'Input Sheet year 2'!B82</f>
        <v>Earthquake-Germany</v>
      </c>
      <c r="C81" s="29" t="str">
        <f>'Risk Master'!F81</f>
        <v>A23</v>
      </c>
      <c r="D81" s="29">
        <f>VLOOKUP($B81,'Probabilty Distribution'!$A:$CX,$K$1,FALSE)</f>
        <v>0</v>
      </c>
      <c r="E81" s="29">
        <f>VLOOKUP($B81,'Probabilty Distribution'!$A:$CX,$K$2,FALSE)</f>
        <v>0</v>
      </c>
      <c r="F81" s="29">
        <f>VLOOKUP($B81,'Probabilty Distribution'!$A:$CX,$K$3,FALSE)</f>
        <v>0</v>
      </c>
      <c r="G81" s="29">
        <f ca="1">VLOOKUP($B81,'Probabilty Distribution'!$A:$CX,$K$4,FALSE)</f>
        <v>0</v>
      </c>
      <c r="H81" s="29">
        <f ca="1">VLOOKUP($B81,'Probabilty Distribution'!$A:$CX,$K$5,FALSE)</f>
        <v>0</v>
      </c>
      <c r="I81" s="28"/>
      <c r="J81" s="28"/>
    </row>
    <row r="82" spans="1:10" x14ac:dyDescent="0.2">
      <c r="A82" s="37" t="str">
        <f>'Risk Master'!B82&amp;"-"&amp;'Risk Master'!D82</f>
        <v>Fire-Germany</v>
      </c>
      <c r="B82" s="37" t="str">
        <f>'Input Sheet year 2'!B83</f>
        <v>Fire-Germany</v>
      </c>
      <c r="C82" s="29" t="str">
        <f>'Risk Master'!F82</f>
        <v>A23</v>
      </c>
      <c r="D82" s="29">
        <f>VLOOKUP($B82,'Probabilty Distribution'!$A:$CX,$K$1,FALSE)</f>
        <v>0</v>
      </c>
      <c r="E82" s="29">
        <f>VLOOKUP($B82,'Probabilty Distribution'!$A:$CX,$K$2,FALSE)</f>
        <v>1</v>
      </c>
      <c r="F82" s="29">
        <f>VLOOKUP($B82,'Probabilty Distribution'!$A:$CX,$K$3,FALSE)</f>
        <v>0</v>
      </c>
      <c r="G82" s="29">
        <f ca="1">VLOOKUP($B82,'Probabilty Distribution'!$A:$CX,$K$4,FALSE)</f>
        <v>0</v>
      </c>
      <c r="H82" s="29">
        <f ca="1">VLOOKUP($B82,'Probabilty Distribution'!$A:$CX,$K$5,FALSE)</f>
        <v>0</v>
      </c>
      <c r="I82" s="28"/>
      <c r="J82" s="28"/>
    </row>
    <row r="83" spans="1:10" x14ac:dyDescent="0.2">
      <c r="A83" s="37" t="str">
        <f>'Risk Master'!B83&amp;"-"&amp;'Risk Master'!D83</f>
        <v>Thunderstorms, Tornados &amp; Hail-Germany</v>
      </c>
      <c r="B83" s="37" t="str">
        <f>'Input Sheet year 2'!B84</f>
        <v>Thunderstorms, Tornados &amp; Hail-Germany</v>
      </c>
      <c r="C83" s="29" t="str">
        <f>'Risk Master'!F83</f>
        <v>A23</v>
      </c>
      <c r="D83" s="29">
        <f>VLOOKUP($B83,'Probabilty Distribution'!$A:$CX,$K$1,FALSE)</f>
        <v>0</v>
      </c>
      <c r="E83" s="29">
        <f>VLOOKUP($B83,'Probabilty Distribution'!$A:$CX,$K$2,FALSE)</f>
        <v>1</v>
      </c>
      <c r="F83" s="29">
        <f>VLOOKUP($B83,'Probabilty Distribution'!$A:$CX,$K$3,FALSE)</f>
        <v>1</v>
      </c>
      <c r="G83" s="29">
        <f ca="1">VLOOKUP($B83,'Probabilty Distribution'!$A:$CX,$K$4,FALSE)</f>
        <v>0</v>
      </c>
      <c r="H83" s="29">
        <f ca="1">VLOOKUP($B83,'Probabilty Distribution'!$A:$CX,$K$5,FALSE)</f>
        <v>0</v>
      </c>
      <c r="I83" s="28"/>
      <c r="J83" s="28"/>
    </row>
    <row r="84" spans="1:10" x14ac:dyDescent="0.2">
      <c r="A84" s="37" t="str">
        <f>'Risk Master'!B84&amp;"-"&amp;'Risk Master'!D84</f>
        <v>Hurricane-Typhoon -Germany</v>
      </c>
      <c r="B84" s="37" t="str">
        <f>'Input Sheet year 2'!B85</f>
        <v>Hurricane-Typhoon -Germany</v>
      </c>
      <c r="C84" s="29" t="str">
        <f>'Risk Master'!F84</f>
        <v>A25</v>
      </c>
      <c r="D84" s="29">
        <f>VLOOKUP($B84,'Probabilty Distribution'!$A:$CX,$K$1,FALSE)</f>
        <v>0</v>
      </c>
      <c r="E84" s="29">
        <f>VLOOKUP($B84,'Probabilty Distribution'!$A:$CX,$K$2,FALSE)</f>
        <v>1</v>
      </c>
      <c r="F84" s="29">
        <f>VLOOKUP($B84,'Probabilty Distribution'!$A:$CX,$K$3,FALSE)</f>
        <v>0</v>
      </c>
      <c r="G84" s="29">
        <f ca="1">VLOOKUP($B84,'Probabilty Distribution'!$A:$CX,$K$4,FALSE)</f>
        <v>0</v>
      </c>
      <c r="H84" s="29">
        <f ca="1">VLOOKUP($B84,'Probabilty Distribution'!$A:$CX,$K$5,FALSE)</f>
        <v>0</v>
      </c>
      <c r="I84" s="28"/>
      <c r="J84" s="28"/>
    </row>
    <row r="85" spans="1:10" x14ac:dyDescent="0.2">
      <c r="A85" s="37" t="str">
        <f>'Risk Master'!B85&amp;"-"&amp;'Risk Master'!D85</f>
        <v>Earthquake-Germany</v>
      </c>
      <c r="B85" s="37" t="str">
        <f>'Input Sheet year 2'!B86</f>
        <v>Earthquake-Germany</v>
      </c>
      <c r="C85" s="29" t="str">
        <f>'Risk Master'!F85</f>
        <v>A25</v>
      </c>
      <c r="D85" s="29">
        <f>VLOOKUP($B85,'Probabilty Distribution'!$A:$CX,$K$1,FALSE)</f>
        <v>0</v>
      </c>
      <c r="E85" s="29">
        <f>VLOOKUP($B85,'Probabilty Distribution'!$A:$CX,$K$2,FALSE)</f>
        <v>0</v>
      </c>
      <c r="F85" s="29">
        <f>VLOOKUP($B85,'Probabilty Distribution'!$A:$CX,$K$3,FALSE)</f>
        <v>0</v>
      </c>
      <c r="G85" s="29">
        <f ca="1">VLOOKUP($B85,'Probabilty Distribution'!$A:$CX,$K$4,FALSE)</f>
        <v>0</v>
      </c>
      <c r="H85" s="29">
        <f ca="1">VLOOKUP($B85,'Probabilty Distribution'!$A:$CX,$K$5,FALSE)</f>
        <v>0</v>
      </c>
      <c r="I85" s="28"/>
      <c r="J85" s="28"/>
    </row>
    <row r="86" spans="1:10" x14ac:dyDescent="0.2">
      <c r="A86" s="37" t="str">
        <f>'Risk Master'!B86&amp;"-"&amp;'Risk Master'!D86</f>
        <v>Fire-Germany</v>
      </c>
      <c r="B86" s="37" t="str">
        <f>'Input Sheet year 2'!B87</f>
        <v>Fire-Germany</v>
      </c>
      <c r="C86" s="29" t="str">
        <f>'Risk Master'!F86</f>
        <v>A25</v>
      </c>
      <c r="D86" s="29">
        <f>VLOOKUP($B86,'Probabilty Distribution'!$A:$CX,$K$1,FALSE)</f>
        <v>0</v>
      </c>
      <c r="E86" s="29">
        <f>VLOOKUP($B86,'Probabilty Distribution'!$A:$CX,$K$2,FALSE)</f>
        <v>1</v>
      </c>
      <c r="F86" s="29">
        <f>VLOOKUP($B86,'Probabilty Distribution'!$A:$CX,$K$3,FALSE)</f>
        <v>0</v>
      </c>
      <c r="G86" s="29">
        <f ca="1">VLOOKUP($B86,'Probabilty Distribution'!$A:$CX,$K$4,FALSE)</f>
        <v>0</v>
      </c>
      <c r="H86" s="29">
        <f ca="1">VLOOKUP($B86,'Probabilty Distribution'!$A:$CX,$K$5,FALSE)</f>
        <v>0</v>
      </c>
      <c r="I86" s="28"/>
      <c r="J86" s="28"/>
    </row>
    <row r="87" spans="1:10" x14ac:dyDescent="0.2">
      <c r="A87" s="37" t="str">
        <f>'Risk Master'!B87&amp;"-"&amp;'Risk Master'!D87</f>
        <v>Thunderstorms, Tornados &amp; Hail-Germany</v>
      </c>
      <c r="B87" s="37" t="str">
        <f>'Input Sheet year 2'!B88</f>
        <v>Thunderstorms, Tornados &amp; Hail-Germany</v>
      </c>
      <c r="C87" s="29" t="str">
        <f>'Risk Master'!F87</f>
        <v>A25</v>
      </c>
      <c r="D87" s="29">
        <f>VLOOKUP($B87,'Probabilty Distribution'!$A:$CX,$K$1,FALSE)</f>
        <v>0</v>
      </c>
      <c r="E87" s="29">
        <f>VLOOKUP($B87,'Probabilty Distribution'!$A:$CX,$K$2,FALSE)</f>
        <v>1</v>
      </c>
      <c r="F87" s="29">
        <f>VLOOKUP($B87,'Probabilty Distribution'!$A:$CX,$K$3,FALSE)</f>
        <v>1</v>
      </c>
      <c r="G87" s="29">
        <f ca="1">VLOOKUP($B87,'Probabilty Distribution'!$A:$CX,$K$4,FALSE)</f>
        <v>0</v>
      </c>
      <c r="H87" s="29">
        <f ca="1">VLOOKUP($B87,'Probabilty Distribution'!$A:$CX,$K$5,FALSE)</f>
        <v>0</v>
      </c>
      <c r="I87" s="28"/>
      <c r="J87" s="28"/>
    </row>
    <row r="88" spans="1:10" x14ac:dyDescent="0.2">
      <c r="A88" s="37" t="str">
        <f>'Risk Master'!B88&amp;"-"&amp;'Risk Master'!D88</f>
        <v>Hurricane-Typhoon -Germany</v>
      </c>
      <c r="B88" s="37" t="str">
        <f>'Input Sheet year 2'!B89</f>
        <v>Hurricane-Typhoon -Germany</v>
      </c>
      <c r="C88" s="29" t="str">
        <f>'Risk Master'!F88</f>
        <v>A28</v>
      </c>
      <c r="D88" s="29">
        <f>VLOOKUP($B88,'Probabilty Distribution'!$A:$CX,$K$1,FALSE)</f>
        <v>0</v>
      </c>
      <c r="E88" s="29">
        <f>VLOOKUP($B88,'Probabilty Distribution'!$A:$CX,$K$2,FALSE)</f>
        <v>1</v>
      </c>
      <c r="F88" s="29">
        <f>VLOOKUP($B88,'Probabilty Distribution'!$A:$CX,$K$3,FALSE)</f>
        <v>0</v>
      </c>
      <c r="G88" s="29">
        <f ca="1">VLOOKUP($B88,'Probabilty Distribution'!$A:$CX,$K$4,FALSE)</f>
        <v>0</v>
      </c>
      <c r="H88" s="29">
        <f ca="1">VLOOKUP($B88,'Probabilty Distribution'!$A:$CX,$K$5,FALSE)</f>
        <v>0</v>
      </c>
      <c r="I88" s="28"/>
      <c r="J88" s="28"/>
    </row>
    <row r="89" spans="1:10" x14ac:dyDescent="0.2">
      <c r="A89" s="37" t="str">
        <f>'Risk Master'!B89&amp;"-"&amp;'Risk Master'!D89</f>
        <v>Earthquake-Germany</v>
      </c>
      <c r="B89" s="37" t="str">
        <f>'Input Sheet year 2'!B90</f>
        <v>Earthquake-Germany</v>
      </c>
      <c r="C89" s="29" t="str">
        <f>'Risk Master'!F89</f>
        <v>A28</v>
      </c>
      <c r="D89" s="29">
        <f>VLOOKUP($B89,'Probabilty Distribution'!$A:$CX,$K$1,FALSE)</f>
        <v>0</v>
      </c>
      <c r="E89" s="29">
        <f>VLOOKUP($B89,'Probabilty Distribution'!$A:$CX,$K$2,FALSE)</f>
        <v>0</v>
      </c>
      <c r="F89" s="29">
        <f>VLOOKUP($B89,'Probabilty Distribution'!$A:$CX,$K$3,FALSE)</f>
        <v>0</v>
      </c>
      <c r="G89" s="29">
        <f ca="1">VLOOKUP($B89,'Probabilty Distribution'!$A:$CX,$K$4,FALSE)</f>
        <v>0</v>
      </c>
      <c r="H89" s="29">
        <f ca="1">VLOOKUP($B89,'Probabilty Distribution'!$A:$CX,$K$5,FALSE)</f>
        <v>0</v>
      </c>
      <c r="I89" s="28"/>
      <c r="J89" s="28"/>
    </row>
    <row r="90" spans="1:10" x14ac:dyDescent="0.2">
      <c r="A90" s="37" t="str">
        <f>'Risk Master'!B90&amp;"-"&amp;'Risk Master'!D90</f>
        <v>Fire-Germany</v>
      </c>
      <c r="B90" s="37" t="str">
        <f>'Input Sheet year 2'!B91</f>
        <v>Fire-Germany</v>
      </c>
      <c r="C90" s="29" t="str">
        <f>'Risk Master'!F90</f>
        <v>A28</v>
      </c>
      <c r="D90" s="29">
        <f>VLOOKUP($B90,'Probabilty Distribution'!$A:$CX,$K$1,FALSE)</f>
        <v>0</v>
      </c>
      <c r="E90" s="29">
        <f>VLOOKUP($B90,'Probabilty Distribution'!$A:$CX,$K$2,FALSE)</f>
        <v>1</v>
      </c>
      <c r="F90" s="29">
        <f>VLOOKUP($B90,'Probabilty Distribution'!$A:$CX,$K$3,FALSE)</f>
        <v>0</v>
      </c>
      <c r="G90" s="29">
        <f ca="1">VLOOKUP($B90,'Probabilty Distribution'!$A:$CX,$K$4,FALSE)</f>
        <v>0</v>
      </c>
      <c r="H90" s="29">
        <f ca="1">VLOOKUP($B90,'Probabilty Distribution'!$A:$CX,$K$5,FALSE)</f>
        <v>0</v>
      </c>
      <c r="I90" s="28"/>
      <c r="J90" s="28"/>
    </row>
    <row r="91" spans="1:10" x14ac:dyDescent="0.2">
      <c r="A91" s="37" t="str">
        <f>'Risk Master'!B91&amp;"-"&amp;'Risk Master'!D91</f>
        <v>Thunderstorms, Tornados &amp; Hail-Germany</v>
      </c>
      <c r="B91" s="37" t="str">
        <f>'Input Sheet year 2'!B92</f>
        <v>Thunderstorms, Tornados &amp; Hail-Germany</v>
      </c>
      <c r="C91" s="29" t="str">
        <f>'Risk Master'!F91</f>
        <v>A28</v>
      </c>
      <c r="D91" s="29">
        <f>VLOOKUP($B91,'Probabilty Distribution'!$A:$CX,$K$1,FALSE)</f>
        <v>0</v>
      </c>
      <c r="E91" s="29">
        <f>VLOOKUP($B91,'Probabilty Distribution'!$A:$CX,$K$2,FALSE)</f>
        <v>1</v>
      </c>
      <c r="F91" s="29">
        <f>VLOOKUP($B91,'Probabilty Distribution'!$A:$CX,$K$3,FALSE)</f>
        <v>1</v>
      </c>
      <c r="G91" s="29">
        <f ca="1">VLOOKUP($B91,'Probabilty Distribution'!$A:$CX,$K$4,FALSE)</f>
        <v>0</v>
      </c>
      <c r="H91" s="29">
        <f ca="1">VLOOKUP($B91,'Probabilty Distribution'!$A:$CX,$K$5,FALSE)</f>
        <v>0</v>
      </c>
      <c r="I91" s="28"/>
      <c r="J91" s="28"/>
    </row>
    <row r="92" spans="1:10" x14ac:dyDescent="0.2">
      <c r="A92" s="37" t="str">
        <f>'Risk Master'!B92&amp;"-"&amp;'Risk Master'!D92</f>
        <v>Hurricane-Typhoon -Germany</v>
      </c>
      <c r="B92" s="37" t="str">
        <f>'Input Sheet year 2'!B93</f>
        <v>Hurricane-Typhoon -Germany</v>
      </c>
      <c r="C92" s="29" t="str">
        <f>'Risk Master'!F92</f>
        <v>A30</v>
      </c>
      <c r="D92" s="29">
        <f>VLOOKUP($B92,'Probabilty Distribution'!$A:$CX,$K$1,FALSE)</f>
        <v>0</v>
      </c>
      <c r="E92" s="29">
        <f>VLOOKUP($B92,'Probabilty Distribution'!$A:$CX,$K$2,FALSE)</f>
        <v>1</v>
      </c>
      <c r="F92" s="29">
        <f>VLOOKUP($B92,'Probabilty Distribution'!$A:$CX,$K$3,FALSE)</f>
        <v>0</v>
      </c>
      <c r="G92" s="29">
        <f ca="1">VLOOKUP($B92,'Probabilty Distribution'!$A:$CX,$K$4,FALSE)</f>
        <v>0</v>
      </c>
      <c r="H92" s="29">
        <f ca="1">VLOOKUP($B92,'Probabilty Distribution'!$A:$CX,$K$5,FALSE)</f>
        <v>0</v>
      </c>
      <c r="I92" s="28"/>
      <c r="J92" s="28"/>
    </row>
    <row r="93" spans="1:10" x14ac:dyDescent="0.2">
      <c r="A93" s="37" t="str">
        <f>'Risk Master'!B93&amp;"-"&amp;'Risk Master'!D93</f>
        <v>Earthquake-Germany</v>
      </c>
      <c r="B93" s="37" t="str">
        <f>'Input Sheet year 2'!B94</f>
        <v>Earthquake-Germany</v>
      </c>
      <c r="C93" s="29" t="str">
        <f>'Risk Master'!F93</f>
        <v>A30</v>
      </c>
      <c r="D93" s="29">
        <f>VLOOKUP($B93,'Probabilty Distribution'!$A:$CX,$K$1,FALSE)</f>
        <v>0</v>
      </c>
      <c r="E93" s="29">
        <f>VLOOKUP($B93,'Probabilty Distribution'!$A:$CX,$K$2,FALSE)</f>
        <v>0</v>
      </c>
      <c r="F93" s="29">
        <f>VLOOKUP($B93,'Probabilty Distribution'!$A:$CX,$K$3,FALSE)</f>
        <v>0</v>
      </c>
      <c r="G93" s="29">
        <f ca="1">VLOOKUP($B93,'Probabilty Distribution'!$A:$CX,$K$4,FALSE)</f>
        <v>0</v>
      </c>
      <c r="H93" s="29">
        <f ca="1">VLOOKUP($B93,'Probabilty Distribution'!$A:$CX,$K$5,FALSE)</f>
        <v>0</v>
      </c>
      <c r="I93" s="28"/>
      <c r="J93" s="28"/>
    </row>
    <row r="94" spans="1:10" x14ac:dyDescent="0.2">
      <c r="A94" s="37" t="str">
        <f>'Risk Master'!B94&amp;"-"&amp;'Risk Master'!D94</f>
        <v>Fire-Germany</v>
      </c>
      <c r="B94" s="37" t="str">
        <f>'Input Sheet year 2'!B95</f>
        <v>Fire-Germany</v>
      </c>
      <c r="C94" s="29" t="str">
        <f>'Risk Master'!F94</f>
        <v>A30</v>
      </c>
      <c r="D94" s="29">
        <f>VLOOKUP($B94,'Probabilty Distribution'!$A:$CX,$K$1,FALSE)</f>
        <v>0</v>
      </c>
      <c r="E94" s="29">
        <f>VLOOKUP($B94,'Probabilty Distribution'!$A:$CX,$K$2,FALSE)</f>
        <v>1</v>
      </c>
      <c r="F94" s="29">
        <f>VLOOKUP($B94,'Probabilty Distribution'!$A:$CX,$K$3,FALSE)</f>
        <v>0</v>
      </c>
      <c r="G94" s="29">
        <f ca="1">VLOOKUP($B94,'Probabilty Distribution'!$A:$CX,$K$4,FALSE)</f>
        <v>0</v>
      </c>
      <c r="H94" s="29">
        <f ca="1">VLOOKUP($B94,'Probabilty Distribution'!$A:$CX,$K$5,FALSE)</f>
        <v>0</v>
      </c>
      <c r="I94" s="28"/>
      <c r="J94" s="28"/>
    </row>
    <row r="95" spans="1:10" x14ac:dyDescent="0.2">
      <c r="A95" s="37" t="str">
        <f>'Risk Master'!B95&amp;"-"&amp;'Risk Master'!D95</f>
        <v>Thunderstorms, Tornados &amp; Hail-Germany</v>
      </c>
      <c r="B95" s="37" t="str">
        <f>'Input Sheet year 2'!B96</f>
        <v>Thunderstorms, Tornados &amp; Hail-Germany</v>
      </c>
      <c r="C95" s="29" t="str">
        <f>'Risk Master'!F95</f>
        <v>A30</v>
      </c>
      <c r="D95" s="29">
        <f>VLOOKUP($B95,'Probabilty Distribution'!$A:$CX,$K$1,FALSE)</f>
        <v>0</v>
      </c>
      <c r="E95" s="29">
        <f>VLOOKUP($B95,'Probabilty Distribution'!$A:$CX,$K$2,FALSE)</f>
        <v>1</v>
      </c>
      <c r="F95" s="29">
        <f>VLOOKUP($B95,'Probabilty Distribution'!$A:$CX,$K$3,FALSE)</f>
        <v>1</v>
      </c>
      <c r="G95" s="29">
        <f ca="1">VLOOKUP($B95,'Probabilty Distribution'!$A:$CX,$K$4,FALSE)</f>
        <v>0</v>
      </c>
      <c r="H95" s="29">
        <f ca="1">VLOOKUP($B95,'Probabilty Distribution'!$A:$CX,$K$5,FALSE)</f>
        <v>0</v>
      </c>
      <c r="I95" s="28"/>
      <c r="J95" s="28"/>
    </row>
    <row r="96" spans="1:10" ht="25.5" x14ac:dyDescent="0.2">
      <c r="A96" s="37" t="str">
        <f>'Risk Master'!B96&amp;"-"&amp;'Risk Master'!D96</f>
        <v>Extremely Dangerous Super Typhoon Haiyan (Yolanda) to Strike the Philippines -Manila</v>
      </c>
      <c r="B96" s="37" t="str">
        <f>'Input Sheet year 2'!B97</f>
        <v>Hurricane-Typhoon -Manila</v>
      </c>
      <c r="C96" s="29" t="str">
        <f>'Risk Master'!F96</f>
        <v>A34</v>
      </c>
      <c r="D96" s="29">
        <f>VLOOKUP($B96,'Probabilty Distribution'!$A:$CX,$K$1,FALSE)</f>
        <v>0</v>
      </c>
      <c r="E96" s="29">
        <f>VLOOKUP($B96,'Probabilty Distribution'!$A:$CX,$K$2,FALSE)</f>
        <v>0</v>
      </c>
      <c r="F96" s="29">
        <f>VLOOKUP($B96,'Probabilty Distribution'!$A:$CX,$K$3,FALSE)</f>
        <v>0</v>
      </c>
      <c r="G96" s="29">
        <f ca="1">VLOOKUP($B96,'Probabilty Distribution'!$A:$CX,$K$4,FALSE)</f>
        <v>1</v>
      </c>
      <c r="H96" s="29">
        <f ca="1">VLOOKUP($B96,'Probabilty Distribution'!$A:$CX,$K$5,FALSE)</f>
        <v>1</v>
      </c>
      <c r="I96" s="28"/>
      <c r="J96" s="28"/>
    </row>
    <row r="97" spans="1:10" x14ac:dyDescent="0.2">
      <c r="A97" s="37" t="str">
        <f>'Risk Master'!B97&amp;"-"&amp;'Risk Master'!D97</f>
        <v>Earthquake-Manila</v>
      </c>
      <c r="B97" s="37" t="str">
        <f>'Input Sheet year 2'!B98</f>
        <v>Earthquake-Manila</v>
      </c>
      <c r="C97" s="29" t="str">
        <f>'Risk Master'!F97</f>
        <v>A34</v>
      </c>
      <c r="D97" s="29">
        <f>VLOOKUP($B97,'Probabilty Distribution'!$A:$CX,$K$1,FALSE)</f>
        <v>0</v>
      </c>
      <c r="E97" s="29">
        <f>VLOOKUP($B97,'Probabilty Distribution'!$A:$CX,$K$2,FALSE)</f>
        <v>1</v>
      </c>
      <c r="F97" s="29">
        <f>VLOOKUP($B97,'Probabilty Distribution'!$A:$CX,$K$3,FALSE)</f>
        <v>0</v>
      </c>
      <c r="G97" s="29">
        <f ca="1">VLOOKUP($B97,'Probabilty Distribution'!$A:$CX,$K$4,FALSE)</f>
        <v>0</v>
      </c>
      <c r="H97" s="29">
        <f ca="1">VLOOKUP($B97,'Probabilty Distribution'!$A:$CX,$K$5,FALSE)</f>
        <v>0</v>
      </c>
      <c r="I97" s="28"/>
      <c r="J97" s="28"/>
    </row>
    <row r="98" spans="1:10" x14ac:dyDescent="0.2">
      <c r="A98" s="37" t="str">
        <f>'Risk Master'!B98&amp;"-"&amp;'Risk Master'!D98</f>
        <v>Fire-Manila</v>
      </c>
      <c r="B98" s="37" t="str">
        <f>'Input Sheet year 2'!B99</f>
        <v>Fire-Manila</v>
      </c>
      <c r="C98" s="29" t="str">
        <f>'Risk Master'!F98</f>
        <v>A34</v>
      </c>
      <c r="D98" s="29">
        <f>VLOOKUP($B98,'Probabilty Distribution'!$A:$CX,$K$1,FALSE)</f>
        <v>1</v>
      </c>
      <c r="E98" s="29">
        <f>VLOOKUP($B98,'Probabilty Distribution'!$A:$CX,$K$2,FALSE)</f>
        <v>0</v>
      </c>
      <c r="F98" s="29">
        <f>VLOOKUP($B98,'Probabilty Distribution'!$A:$CX,$K$3,FALSE)</f>
        <v>1</v>
      </c>
      <c r="G98" s="29">
        <f ca="1">VLOOKUP($B98,'Probabilty Distribution'!$A:$CX,$K$4,FALSE)</f>
        <v>0</v>
      </c>
      <c r="H98" s="29">
        <f ca="1">VLOOKUP($B98,'Probabilty Distribution'!$A:$CX,$K$5,FALSE)</f>
        <v>1</v>
      </c>
      <c r="I98" s="28"/>
      <c r="J98" s="28"/>
    </row>
    <row r="99" spans="1:10" x14ac:dyDescent="0.2">
      <c r="A99" s="37" t="str">
        <f>'Risk Master'!B99&amp;"-"&amp;'Risk Master'!D99</f>
        <v>Earthquake-Manila</v>
      </c>
      <c r="B99" s="37" t="str">
        <f>'Input Sheet year 2'!B100</f>
        <v>Earthquake-Manila</v>
      </c>
      <c r="C99" s="29" t="str">
        <f>'Risk Master'!F99</f>
        <v>A33</v>
      </c>
      <c r="D99" s="29">
        <f>VLOOKUP($B99,'Probabilty Distribution'!$A:$CX,$K$1,FALSE)</f>
        <v>0</v>
      </c>
      <c r="E99" s="29">
        <f>VLOOKUP($B99,'Probabilty Distribution'!$A:$CX,$K$2,FALSE)</f>
        <v>1</v>
      </c>
      <c r="F99" s="29">
        <f>VLOOKUP($B99,'Probabilty Distribution'!$A:$CX,$K$3,FALSE)</f>
        <v>0</v>
      </c>
      <c r="G99" s="29">
        <f ca="1">VLOOKUP($B99,'Probabilty Distribution'!$A:$CX,$K$4,FALSE)</f>
        <v>0</v>
      </c>
      <c r="H99" s="29">
        <f ca="1">VLOOKUP($B99,'Probabilty Distribution'!$A:$CX,$K$5,FALSE)</f>
        <v>0</v>
      </c>
    </row>
    <row r="100" spans="1:10" x14ac:dyDescent="0.2">
      <c r="A100" s="37" t="str">
        <f>'Risk Master'!B100&amp;"-"&amp;'Risk Master'!D100</f>
        <v>Fire-Manila</v>
      </c>
      <c r="B100" s="37" t="str">
        <f>'Input Sheet year 2'!B101</f>
        <v>Fire-Manila</v>
      </c>
      <c r="C100" s="29" t="str">
        <f>'Risk Master'!F100</f>
        <v>A33</v>
      </c>
      <c r="D100" s="29">
        <f>VLOOKUP($B100,'Probabilty Distribution'!$A:$CX,$K$1,FALSE)</f>
        <v>1</v>
      </c>
      <c r="E100" s="29">
        <f>VLOOKUP($B100,'Probabilty Distribution'!$A:$CX,$K$2,FALSE)</f>
        <v>0</v>
      </c>
      <c r="F100" s="29">
        <f>VLOOKUP($B100,'Probabilty Distribution'!$A:$CX,$K$3,FALSE)</f>
        <v>1</v>
      </c>
      <c r="G100" s="29">
        <f ca="1">VLOOKUP($B100,'Probabilty Distribution'!$A:$CX,$K$4,FALSE)</f>
        <v>0</v>
      </c>
      <c r="H100" s="29">
        <f ca="1">VLOOKUP($B100,'Probabilty Distribution'!$A:$CX,$K$5,FALSE)</f>
        <v>1</v>
      </c>
    </row>
    <row r="101" spans="1:10" x14ac:dyDescent="0.2">
      <c r="A101" s="37" t="str">
        <f>'Risk Master'!B101&amp;"-"&amp;'Risk Master'!D101</f>
        <v>Typhoon Nari (Santi) -Manila</v>
      </c>
      <c r="B101" s="37" t="str">
        <f>'Input Sheet year 2'!B102</f>
        <v>Hurricane-Typhoon -Manila</v>
      </c>
      <c r="C101" s="29" t="str">
        <f>'Risk Master'!F101</f>
        <v>A36</v>
      </c>
      <c r="D101" s="29">
        <f>VLOOKUP($B101,'Probabilty Distribution'!$A:$CX,$K$1,FALSE)</f>
        <v>0</v>
      </c>
      <c r="E101" s="29">
        <f>VLOOKUP($B101,'Probabilty Distribution'!$A:$CX,$K$2,FALSE)</f>
        <v>0</v>
      </c>
      <c r="F101" s="29">
        <f>VLOOKUP($B101,'Probabilty Distribution'!$A:$CX,$K$3,FALSE)</f>
        <v>0</v>
      </c>
      <c r="G101" s="29">
        <f ca="1">VLOOKUP($B101,'Probabilty Distribution'!$A:$CX,$K$4,FALSE)</f>
        <v>1</v>
      </c>
      <c r="H101" s="29">
        <f ca="1">VLOOKUP($B101,'Probabilty Distribution'!$A:$CX,$K$5,FALSE)</f>
        <v>1</v>
      </c>
    </row>
    <row r="102" spans="1:10" x14ac:dyDescent="0.2">
      <c r="A102" s="37" t="str">
        <f>'Risk Master'!B102&amp;"-"&amp;'Risk Master'!D102</f>
        <v>Earthquake-Manila</v>
      </c>
      <c r="B102" s="37" t="str">
        <f>'Input Sheet year 2'!B103</f>
        <v>Earthquake-Manila</v>
      </c>
      <c r="C102" s="29" t="str">
        <f>'Risk Master'!F102</f>
        <v>A38</v>
      </c>
      <c r="D102" s="29">
        <f>VLOOKUP($B102,'Probabilty Distribution'!$A:$CX,$K$1,FALSE)</f>
        <v>0</v>
      </c>
      <c r="E102" s="29">
        <f>VLOOKUP($B102,'Probabilty Distribution'!$A:$CX,$K$2,FALSE)</f>
        <v>1</v>
      </c>
      <c r="F102" s="29">
        <f>VLOOKUP($B102,'Probabilty Distribution'!$A:$CX,$K$3,FALSE)</f>
        <v>0</v>
      </c>
      <c r="G102" s="29">
        <f ca="1">VLOOKUP($B102,'Probabilty Distribution'!$A:$CX,$K$4,FALSE)</f>
        <v>0</v>
      </c>
      <c r="H102" s="29">
        <f ca="1">VLOOKUP($B102,'Probabilty Distribution'!$A:$CX,$K$5,FALSE)</f>
        <v>0</v>
      </c>
    </row>
    <row r="103" spans="1:10" x14ac:dyDescent="0.2">
      <c r="A103" s="37" t="str">
        <f>'Risk Master'!B103&amp;"-"&amp;'Risk Master'!D103</f>
        <v>Fire-Manila</v>
      </c>
      <c r="B103" s="37" t="str">
        <f>'Input Sheet year 2'!B104</f>
        <v>Fire-Manila</v>
      </c>
      <c r="C103" s="29" t="str">
        <f>'Risk Master'!F103</f>
        <v>A40</v>
      </c>
      <c r="D103" s="29">
        <f>VLOOKUP($B103,'Probabilty Distribution'!$A:$CX,$K$1,FALSE)</f>
        <v>1</v>
      </c>
      <c r="E103" s="29">
        <f>VLOOKUP($B103,'Probabilty Distribution'!$A:$CX,$K$2,FALSE)</f>
        <v>0</v>
      </c>
      <c r="F103" s="29">
        <f>VLOOKUP($B103,'Probabilty Distribution'!$A:$CX,$K$3,FALSE)</f>
        <v>1</v>
      </c>
      <c r="G103" s="29">
        <f ca="1">VLOOKUP($B103,'Probabilty Distribution'!$A:$CX,$K$4,FALSE)</f>
        <v>0</v>
      </c>
      <c r="H103" s="29">
        <f ca="1">VLOOKUP($B103,'Probabilty Distribution'!$A:$CX,$K$5,FALSE)</f>
        <v>1</v>
      </c>
    </row>
    <row r="104" spans="1:10" x14ac:dyDescent="0.2">
      <c r="A104" s="37" t="str">
        <f>'Risk Master'!B104&amp;"-"&amp;'Risk Master'!D104</f>
        <v>Typhoon Utor (Labuyo)-Manila</v>
      </c>
      <c r="B104" s="37" t="str">
        <f>'Input Sheet year 2'!B105</f>
        <v>Hurricane-Typhoon -Manila</v>
      </c>
      <c r="C104" s="29" t="str">
        <f>'Risk Master'!F104</f>
        <v>A43</v>
      </c>
      <c r="D104" s="29">
        <f>VLOOKUP($B104,'Probabilty Distribution'!$A:$CX,$K$1,FALSE)</f>
        <v>0</v>
      </c>
      <c r="E104" s="29">
        <f>VLOOKUP($B104,'Probabilty Distribution'!$A:$CX,$K$2,FALSE)</f>
        <v>0</v>
      </c>
      <c r="F104" s="29">
        <f>VLOOKUP($B104,'Probabilty Distribution'!$A:$CX,$K$3,FALSE)</f>
        <v>0</v>
      </c>
      <c r="G104" s="29">
        <f ca="1">VLOOKUP($B104,'Probabilty Distribution'!$A:$CX,$K$4,FALSE)</f>
        <v>1</v>
      </c>
      <c r="H104" s="29">
        <f ca="1">VLOOKUP($B104,'Probabilty Distribution'!$A:$CX,$K$5,FALSE)</f>
        <v>1</v>
      </c>
    </row>
    <row r="105" spans="1:10" x14ac:dyDescent="0.2">
      <c r="A105" s="37" t="str">
        <f>'Risk Master'!B105&amp;"-"&amp;'Risk Master'!D105</f>
        <v>Earthquake-Manila</v>
      </c>
      <c r="B105" s="37" t="str">
        <f>'Input Sheet year 2'!B106</f>
        <v>Earthquake-Manila</v>
      </c>
      <c r="C105" s="29" t="str">
        <f>'Risk Master'!F105</f>
        <v>A43</v>
      </c>
      <c r="D105" s="29">
        <f>VLOOKUP($B105,'Probabilty Distribution'!$A:$CX,$K$1,FALSE)</f>
        <v>0</v>
      </c>
      <c r="E105" s="29">
        <f>VLOOKUP($B105,'Probabilty Distribution'!$A:$CX,$K$2,FALSE)</f>
        <v>1</v>
      </c>
      <c r="F105" s="29">
        <f>VLOOKUP($B105,'Probabilty Distribution'!$A:$CX,$K$3,FALSE)</f>
        <v>0</v>
      </c>
      <c r="G105" s="29">
        <f ca="1">VLOOKUP($B105,'Probabilty Distribution'!$A:$CX,$K$4,FALSE)</f>
        <v>0</v>
      </c>
      <c r="H105" s="29">
        <f ca="1">VLOOKUP($B105,'Probabilty Distribution'!$A:$CX,$K$5,FALSE)</f>
        <v>0</v>
      </c>
    </row>
    <row r="106" spans="1:10" x14ac:dyDescent="0.2">
      <c r="A106" s="37" t="str">
        <f>'Risk Master'!B106&amp;"-"&amp;'Risk Master'!D106</f>
        <v>Fire-Manila</v>
      </c>
      <c r="B106" s="37" t="str">
        <f>'Input Sheet year 2'!B107</f>
        <v>Fire-Manila</v>
      </c>
      <c r="C106" s="29" t="str">
        <f>'Risk Master'!F106</f>
        <v>A43</v>
      </c>
      <c r="D106" s="29">
        <f>VLOOKUP($B106,'Probabilty Distribution'!$A:$CX,$K$1,FALSE)</f>
        <v>1</v>
      </c>
      <c r="E106" s="29">
        <f>VLOOKUP($B106,'Probabilty Distribution'!$A:$CX,$K$2,FALSE)</f>
        <v>0</v>
      </c>
      <c r="F106" s="29">
        <f>VLOOKUP($B106,'Probabilty Distribution'!$A:$CX,$K$3,FALSE)</f>
        <v>1</v>
      </c>
      <c r="G106" s="29">
        <f ca="1">VLOOKUP($B106,'Probabilty Distribution'!$A:$CX,$K$4,FALSE)</f>
        <v>0</v>
      </c>
      <c r="H106" s="29">
        <f ca="1">VLOOKUP($B106,'Probabilty Distribution'!$A:$CX,$K$5,FALSE)</f>
        <v>1</v>
      </c>
    </row>
    <row r="107" spans="1:10" x14ac:dyDescent="0.2">
      <c r="A107" s="37" t="str">
        <f>'Risk Master'!B107&amp;"-"&amp;'Risk Master'!D107</f>
        <v>Super Typhoon Usagi-Manila</v>
      </c>
      <c r="B107" s="37" t="str">
        <f>'Input Sheet year 2'!B108</f>
        <v>Hurricane-Typhoon -Manila</v>
      </c>
      <c r="C107" s="29" t="str">
        <f>'Risk Master'!F107</f>
        <v>A45</v>
      </c>
      <c r="D107" s="29">
        <f>VLOOKUP($B107,'Probabilty Distribution'!$A:$CX,$K$1,FALSE)</f>
        <v>0</v>
      </c>
      <c r="E107" s="29">
        <f>VLOOKUP($B107,'Probabilty Distribution'!$A:$CX,$K$2,FALSE)</f>
        <v>0</v>
      </c>
      <c r="F107" s="29">
        <f>VLOOKUP($B107,'Probabilty Distribution'!$A:$CX,$K$3,FALSE)</f>
        <v>0</v>
      </c>
      <c r="G107" s="29">
        <f ca="1">VLOOKUP($B107,'Probabilty Distribution'!$A:$CX,$K$4,FALSE)</f>
        <v>1</v>
      </c>
      <c r="H107" s="29">
        <f ca="1">VLOOKUP($B107,'Probabilty Distribution'!$A:$CX,$K$5,FALSE)</f>
        <v>1</v>
      </c>
    </row>
    <row r="108" spans="1:10" x14ac:dyDescent="0.2">
      <c r="A108" s="37" t="str">
        <f>'Risk Master'!B108&amp;"-"&amp;'Risk Master'!D108</f>
        <v>Thunderstorms, Tornados &amp; Hail-San Francisco</v>
      </c>
      <c r="B108" s="37" t="str">
        <f>'Input Sheet year 2'!B109</f>
        <v>Thunderstorms, Tornados &amp; Hail-San Francisco</v>
      </c>
      <c r="C108" s="29" t="str">
        <f>'Risk Master'!F108</f>
        <v>A47</v>
      </c>
      <c r="D108" s="29">
        <f>VLOOKUP($B108,'Probabilty Distribution'!$A:$CX,$K$1,FALSE)</f>
        <v>0</v>
      </c>
      <c r="E108" s="29">
        <f>VLOOKUP($B108,'Probabilty Distribution'!$A:$CX,$K$2,FALSE)</f>
        <v>0</v>
      </c>
      <c r="F108" s="29">
        <f>VLOOKUP($B108,'Probabilty Distribution'!$A:$CX,$K$3,FALSE)</f>
        <v>1</v>
      </c>
      <c r="G108" s="29">
        <f ca="1">VLOOKUP($B108,'Probabilty Distribution'!$A:$CX,$K$4,FALSE)</f>
        <v>1</v>
      </c>
      <c r="H108" s="29">
        <f ca="1">VLOOKUP($B108,'Probabilty Distribution'!$A:$CX,$K$5,FALSE)</f>
        <v>1</v>
      </c>
    </row>
    <row r="109" spans="1:10" x14ac:dyDescent="0.2">
      <c r="A109" s="37" t="str">
        <f>'Risk Master'!B109&amp;"-"&amp;'Risk Master'!D109</f>
        <v>Hurricane-Typhoon -San Francisco</v>
      </c>
      <c r="B109" s="37" t="str">
        <f>'Input Sheet year 2'!B110</f>
        <v>Hurricane-Typhoon -San Francisco</v>
      </c>
      <c r="C109" s="29" t="str">
        <f>'Risk Master'!F109</f>
        <v>A47</v>
      </c>
      <c r="D109" s="29">
        <f>VLOOKUP($B109,'Probabilty Distribution'!$A:$CX,$K$1,FALSE)</f>
        <v>0</v>
      </c>
      <c r="E109" s="29">
        <f>VLOOKUP($B109,'Probabilty Distribution'!$A:$CX,$K$2,FALSE)</f>
        <v>0</v>
      </c>
      <c r="F109" s="29">
        <f>VLOOKUP($B109,'Probabilty Distribution'!$A:$CX,$K$3,FALSE)</f>
        <v>0</v>
      </c>
      <c r="G109" s="29">
        <f ca="1">VLOOKUP($B109,'Probabilty Distribution'!$A:$CX,$K$4,FALSE)</f>
        <v>1</v>
      </c>
      <c r="H109" s="29">
        <f ca="1">VLOOKUP($B109,'Probabilty Distribution'!$A:$CX,$K$5,FALSE)</f>
        <v>0</v>
      </c>
    </row>
    <row r="110" spans="1:10" x14ac:dyDescent="0.2">
      <c r="A110" s="37" t="str">
        <f>'Risk Master'!B110&amp;"-"&amp;'Risk Master'!D110</f>
        <v>Earthquake-San Francisco</v>
      </c>
      <c r="B110" s="37" t="str">
        <f>'Input Sheet year 2'!B111</f>
        <v>Earthquake-San Francisco</v>
      </c>
      <c r="C110" s="29" t="str">
        <f>'Risk Master'!F110</f>
        <v>A47</v>
      </c>
      <c r="D110" s="29">
        <f>VLOOKUP($B110,'Probabilty Distribution'!$A:$CX,$K$1,FALSE)</f>
        <v>0</v>
      </c>
      <c r="E110" s="29">
        <f>VLOOKUP($B110,'Probabilty Distribution'!$A:$CX,$K$2,FALSE)</f>
        <v>0</v>
      </c>
      <c r="F110" s="29">
        <f>VLOOKUP($B110,'Probabilty Distribution'!$A:$CX,$K$3,FALSE)</f>
        <v>0</v>
      </c>
      <c r="G110" s="29">
        <f ca="1">VLOOKUP($B110,'Probabilty Distribution'!$A:$CX,$K$4,FALSE)</f>
        <v>0</v>
      </c>
      <c r="H110" s="29">
        <f ca="1">VLOOKUP($B110,'Probabilty Distribution'!$A:$CX,$K$5,FALSE)</f>
        <v>1</v>
      </c>
    </row>
    <row r="111" spans="1:10" x14ac:dyDescent="0.2">
      <c r="A111" s="37" t="str">
        <f>'Risk Master'!B111&amp;"-"&amp;'Risk Master'!D111</f>
        <v>Thunderstorms, Tornados &amp; Hail-San Francisco</v>
      </c>
      <c r="B111" s="37" t="str">
        <f>'Input Sheet year 2'!B112</f>
        <v>Thunderstorms, Tornados &amp; Hail-San Francisco</v>
      </c>
      <c r="C111" s="29" t="str">
        <f>'Risk Master'!F111</f>
        <v>A49</v>
      </c>
      <c r="D111" s="29">
        <f>VLOOKUP($B111,'Probabilty Distribution'!$A:$CX,$K$1,FALSE)</f>
        <v>0</v>
      </c>
      <c r="E111" s="29">
        <f>VLOOKUP($B111,'Probabilty Distribution'!$A:$CX,$K$2,FALSE)</f>
        <v>0</v>
      </c>
      <c r="F111" s="29">
        <f>VLOOKUP($B111,'Probabilty Distribution'!$A:$CX,$K$3,FALSE)</f>
        <v>1</v>
      </c>
      <c r="G111" s="29">
        <f ca="1">VLOOKUP($B111,'Probabilty Distribution'!$A:$CX,$K$4,FALSE)</f>
        <v>1</v>
      </c>
      <c r="H111" s="29">
        <f ca="1">VLOOKUP($B111,'Probabilty Distribution'!$A:$CX,$K$5,FALSE)</f>
        <v>1</v>
      </c>
    </row>
    <row r="112" spans="1:10" x14ac:dyDescent="0.2">
      <c r="A112" s="37" t="str">
        <f>'Risk Master'!B112&amp;"-"&amp;'Risk Master'!D112</f>
        <v>Hurricane-Typhoon -San Francisco</v>
      </c>
      <c r="B112" s="37" t="str">
        <f>'Input Sheet year 2'!B113</f>
        <v>Hurricane-Typhoon -San Francisco</v>
      </c>
      <c r="C112" s="29" t="str">
        <f>'Risk Master'!F112</f>
        <v>A49</v>
      </c>
      <c r="D112" s="29">
        <f>VLOOKUP($B112,'Probabilty Distribution'!$A:$CX,$K$1,FALSE)</f>
        <v>0</v>
      </c>
      <c r="E112" s="29">
        <f>VLOOKUP($B112,'Probabilty Distribution'!$A:$CX,$K$2,FALSE)</f>
        <v>0</v>
      </c>
      <c r="F112" s="29">
        <f>VLOOKUP($B112,'Probabilty Distribution'!$A:$CX,$K$3,FALSE)</f>
        <v>0</v>
      </c>
      <c r="G112" s="29">
        <f ca="1">VLOOKUP($B112,'Probabilty Distribution'!$A:$CX,$K$4,FALSE)</f>
        <v>1</v>
      </c>
      <c r="H112" s="29">
        <f ca="1">VLOOKUP($B112,'Probabilty Distribution'!$A:$CX,$K$5,FALSE)</f>
        <v>0</v>
      </c>
    </row>
    <row r="113" spans="1:8" x14ac:dyDescent="0.2">
      <c r="A113" s="37" t="str">
        <f>'Risk Master'!B113&amp;"-"&amp;'Risk Master'!D113</f>
        <v>Earthquake-San Francisco</v>
      </c>
      <c r="B113" s="37" t="str">
        <f>'Input Sheet year 2'!B114</f>
        <v>Earthquake-San Francisco</v>
      </c>
      <c r="C113" s="29" t="str">
        <f>'Risk Master'!F113</f>
        <v>A49</v>
      </c>
      <c r="D113" s="29">
        <f>VLOOKUP($B113,'Probabilty Distribution'!$A:$CX,$K$1,FALSE)</f>
        <v>0</v>
      </c>
      <c r="E113" s="29">
        <f>VLOOKUP($B113,'Probabilty Distribution'!$A:$CX,$K$2,FALSE)</f>
        <v>0</v>
      </c>
      <c r="F113" s="29">
        <f>VLOOKUP($B113,'Probabilty Distribution'!$A:$CX,$K$3,FALSE)</f>
        <v>0</v>
      </c>
      <c r="G113" s="29">
        <f ca="1">VLOOKUP($B113,'Probabilty Distribution'!$A:$CX,$K$4,FALSE)</f>
        <v>0</v>
      </c>
      <c r="H113" s="29">
        <f ca="1">VLOOKUP($B113,'Probabilty Distribution'!$A:$CX,$K$5,FALSE)</f>
        <v>1</v>
      </c>
    </row>
    <row r="114" spans="1:8" x14ac:dyDescent="0.2">
      <c r="A114" s="37" t="str">
        <f>'Risk Master'!B114&amp;"-"&amp;'Risk Master'!D114</f>
        <v>Thunderstorms, Tornados &amp; Hail-San Francisco</v>
      </c>
      <c r="B114" s="37" t="str">
        <f>'Input Sheet year 2'!B115</f>
        <v>Thunderstorms, Tornados &amp; Hail-San Francisco</v>
      </c>
      <c r="C114" s="29" t="str">
        <f>'Risk Master'!F114</f>
        <v>A53</v>
      </c>
      <c r="D114" s="29">
        <f>VLOOKUP($B114,'Probabilty Distribution'!$A:$CX,$K$1,FALSE)</f>
        <v>0</v>
      </c>
      <c r="E114" s="29">
        <f>VLOOKUP($B114,'Probabilty Distribution'!$A:$CX,$K$2,FALSE)</f>
        <v>0</v>
      </c>
      <c r="F114" s="29">
        <f>VLOOKUP($B114,'Probabilty Distribution'!$A:$CX,$K$3,FALSE)</f>
        <v>1</v>
      </c>
      <c r="G114" s="29">
        <f ca="1">VLOOKUP($B114,'Probabilty Distribution'!$A:$CX,$K$4,FALSE)</f>
        <v>1</v>
      </c>
      <c r="H114" s="29">
        <f ca="1">VLOOKUP($B114,'Probabilty Distribution'!$A:$CX,$K$5,FALSE)</f>
        <v>1</v>
      </c>
    </row>
    <row r="115" spans="1:8" x14ac:dyDescent="0.2">
      <c r="A115" s="37" t="str">
        <f>'Risk Master'!B115&amp;"-"&amp;'Risk Master'!D115</f>
        <v>Hurricane-Typhoon -San Francisco</v>
      </c>
      <c r="B115" s="37" t="str">
        <f>'Input Sheet year 2'!B116</f>
        <v>Hurricane-Typhoon -San Francisco</v>
      </c>
      <c r="C115" s="29" t="str">
        <f>'Risk Master'!F115</f>
        <v>A53</v>
      </c>
      <c r="D115" s="29">
        <f>VLOOKUP($B115,'Probabilty Distribution'!$A:$CX,$K$1,FALSE)</f>
        <v>0</v>
      </c>
      <c r="E115" s="29">
        <f>VLOOKUP($B115,'Probabilty Distribution'!$A:$CX,$K$2,FALSE)</f>
        <v>0</v>
      </c>
      <c r="F115" s="29">
        <f>VLOOKUP($B115,'Probabilty Distribution'!$A:$CX,$K$3,FALSE)</f>
        <v>0</v>
      </c>
      <c r="G115" s="29">
        <f ca="1">VLOOKUP($B115,'Probabilty Distribution'!$A:$CX,$K$4,FALSE)</f>
        <v>1</v>
      </c>
      <c r="H115" s="29">
        <f ca="1">VLOOKUP($B115,'Probabilty Distribution'!$A:$CX,$K$5,FALSE)</f>
        <v>0</v>
      </c>
    </row>
    <row r="116" spans="1:8" x14ac:dyDescent="0.2">
      <c r="A116" s="37" t="str">
        <f>'Risk Master'!B116&amp;"-"&amp;'Risk Master'!D116</f>
        <v>Earthquake-San Francisco</v>
      </c>
      <c r="B116" s="37" t="str">
        <f>'Input Sheet year 2'!B117</f>
        <v>Earthquake-San Francisco</v>
      </c>
      <c r="C116" s="29" t="str">
        <f>'Risk Master'!F116</f>
        <v>A53</v>
      </c>
      <c r="D116" s="29">
        <f>VLOOKUP($B116,'Probabilty Distribution'!$A:$CX,$K$1,FALSE)</f>
        <v>0</v>
      </c>
      <c r="E116" s="29">
        <f>VLOOKUP($B116,'Probabilty Distribution'!$A:$CX,$K$2,FALSE)</f>
        <v>0</v>
      </c>
      <c r="F116" s="29">
        <f>VLOOKUP($B116,'Probabilty Distribution'!$A:$CX,$K$3,FALSE)</f>
        <v>0</v>
      </c>
      <c r="G116" s="29">
        <f ca="1">VLOOKUP($B116,'Probabilty Distribution'!$A:$CX,$K$4,FALSE)</f>
        <v>0</v>
      </c>
      <c r="H116" s="29">
        <f ca="1">VLOOKUP($B116,'Probabilty Distribution'!$A:$CX,$K$5,FALSE)</f>
        <v>1</v>
      </c>
    </row>
    <row r="117" spans="1:8" x14ac:dyDescent="0.2">
      <c r="A117" s="37" t="str">
        <f>'Risk Master'!B117&amp;"-"&amp;'Risk Master'!D117</f>
        <v>Thunderstorms, Tornados &amp; Hail-San Francisco</v>
      </c>
      <c r="B117" s="37" t="str">
        <f>'Input Sheet year 2'!B118</f>
        <v>Thunderstorms, Tornados &amp; Hail-San Francisco</v>
      </c>
      <c r="C117" s="29" t="str">
        <f>'Risk Master'!F117</f>
        <v>A54</v>
      </c>
      <c r="D117" s="29">
        <f>VLOOKUP($B117,'Probabilty Distribution'!$A:$CX,$K$1,FALSE)</f>
        <v>0</v>
      </c>
      <c r="E117" s="29">
        <f>VLOOKUP($B117,'Probabilty Distribution'!$A:$CX,$K$2,FALSE)</f>
        <v>0</v>
      </c>
      <c r="F117" s="29">
        <f>VLOOKUP($B117,'Probabilty Distribution'!$A:$CX,$K$3,FALSE)</f>
        <v>1</v>
      </c>
      <c r="G117" s="29">
        <f ca="1">VLOOKUP($B117,'Probabilty Distribution'!$A:$CX,$K$4,FALSE)</f>
        <v>1</v>
      </c>
      <c r="H117" s="29">
        <f ca="1">VLOOKUP($B117,'Probabilty Distribution'!$A:$CX,$K$5,FALSE)</f>
        <v>1</v>
      </c>
    </row>
    <row r="118" spans="1:8" x14ac:dyDescent="0.2">
      <c r="A118" s="37" t="str">
        <f>'Risk Master'!B118&amp;"-"&amp;'Risk Master'!D118</f>
        <v>Hurricane-Typhoon -San Francisco</v>
      </c>
      <c r="B118" s="37" t="str">
        <f>'Input Sheet year 2'!B119</f>
        <v>Hurricane-Typhoon -San Francisco</v>
      </c>
      <c r="C118" s="29" t="str">
        <f>'Risk Master'!F118</f>
        <v>A55</v>
      </c>
      <c r="D118" s="29">
        <f>VLOOKUP($B118,'Probabilty Distribution'!$A:$CX,$K$1,FALSE)</f>
        <v>0</v>
      </c>
      <c r="E118" s="29">
        <f>VLOOKUP($B118,'Probabilty Distribution'!$A:$CX,$K$2,FALSE)</f>
        <v>0</v>
      </c>
      <c r="F118" s="29">
        <f>VLOOKUP($B118,'Probabilty Distribution'!$A:$CX,$K$3,FALSE)</f>
        <v>0</v>
      </c>
      <c r="G118" s="29">
        <f ca="1">VLOOKUP($B118,'Probabilty Distribution'!$A:$CX,$K$4,FALSE)</f>
        <v>1</v>
      </c>
      <c r="H118" s="29">
        <f ca="1">VLOOKUP($B118,'Probabilty Distribution'!$A:$CX,$K$5,FALSE)</f>
        <v>0</v>
      </c>
    </row>
    <row r="119" spans="1:8" x14ac:dyDescent="0.2">
      <c r="A119" s="37" t="str">
        <f>'Risk Master'!B119&amp;"-"&amp;'Risk Master'!D119</f>
        <v>Earthquake-San Francisco</v>
      </c>
      <c r="B119" s="37" t="str">
        <f>'Input Sheet year 2'!B120</f>
        <v>Earthquake-San Francisco</v>
      </c>
      <c r="C119" s="29" t="str">
        <f>'Risk Master'!F119</f>
        <v>A60</v>
      </c>
      <c r="D119" s="29">
        <f>VLOOKUP($B119,'Probabilty Distribution'!$A:$CX,$K$1,FALSE)</f>
        <v>0</v>
      </c>
      <c r="E119" s="29">
        <f>VLOOKUP($B119,'Probabilty Distribution'!$A:$CX,$K$2,FALSE)</f>
        <v>0</v>
      </c>
      <c r="F119" s="29">
        <f>VLOOKUP($B119,'Probabilty Distribution'!$A:$CX,$K$3,FALSE)</f>
        <v>0</v>
      </c>
      <c r="G119" s="29">
        <f ca="1">VLOOKUP($B119,'Probabilty Distribution'!$A:$CX,$K$4,FALSE)</f>
        <v>0</v>
      </c>
      <c r="H119" s="29">
        <f ca="1">VLOOKUP($B119,'Probabilty Distribution'!$A:$CX,$K$5,FALSE)</f>
        <v>1</v>
      </c>
    </row>
    <row r="120" spans="1:8" x14ac:dyDescent="0.2">
      <c r="A120" s="37" t="str">
        <f>'Risk Master'!B120&amp;"-"&amp;'Risk Master'!D120</f>
        <v>Hurricane-Typhoon -San Francisco</v>
      </c>
      <c r="B120" s="37" t="str">
        <f>'Input Sheet year 2'!B121</f>
        <v>Hurricane-Typhoon -San Francisco</v>
      </c>
      <c r="C120" s="29" t="str">
        <f>'Risk Master'!F120</f>
        <v>A58</v>
      </c>
      <c r="D120" s="29">
        <f>VLOOKUP($B120,'Probabilty Distribution'!$A:$CX,$K$1,FALSE)</f>
        <v>0</v>
      </c>
      <c r="E120" s="29">
        <f>VLOOKUP($B120,'Probabilty Distribution'!$A:$CX,$K$2,FALSE)</f>
        <v>0</v>
      </c>
      <c r="F120" s="29">
        <f>VLOOKUP($B120,'Probabilty Distribution'!$A:$CX,$K$3,FALSE)</f>
        <v>0</v>
      </c>
      <c r="G120" s="29">
        <f ca="1">VLOOKUP($B120,'Probabilty Distribution'!$A:$CX,$K$4,FALSE)</f>
        <v>1</v>
      </c>
      <c r="H120" s="29">
        <f ca="1">VLOOKUP($B120,'Probabilty Distribution'!$A:$CX,$K$5,FALSE)</f>
        <v>0</v>
      </c>
    </row>
    <row r="121" spans="1:8" x14ac:dyDescent="0.2">
      <c r="A121" s="37" t="str">
        <f>'Risk Master'!B121&amp;"-"&amp;'Risk Master'!D121</f>
        <v>Thunderstorms, Tornados &amp; Hail-Calgary</v>
      </c>
      <c r="B121" s="37" t="str">
        <f>'Input Sheet year 2'!B122</f>
        <v>Thunderstorms, Tornados &amp; Hail-Calgary</v>
      </c>
      <c r="C121" s="29" t="str">
        <f>'Risk Master'!F121</f>
        <v>A64</v>
      </c>
      <c r="D121" s="29">
        <f>VLOOKUP($B121,'Probabilty Distribution'!$A:$CX,$K$1,FALSE)</f>
        <v>0</v>
      </c>
      <c r="E121" s="29">
        <f>VLOOKUP($B121,'Probabilty Distribution'!$A:$CX,$K$2,FALSE)</f>
        <v>1</v>
      </c>
      <c r="F121" s="29">
        <f>VLOOKUP($B121,'Probabilty Distribution'!$A:$CX,$K$3,FALSE)</f>
        <v>1</v>
      </c>
      <c r="G121" s="29">
        <f ca="1">VLOOKUP($B121,'Probabilty Distribution'!$A:$CX,$K$4,FALSE)</f>
        <v>1</v>
      </c>
      <c r="H121" s="29">
        <f ca="1">VLOOKUP($B121,'Probabilty Distribution'!$A:$CX,$K$5,FALSE)</f>
        <v>0</v>
      </c>
    </row>
    <row r="122" spans="1:8" x14ac:dyDescent="0.2">
      <c r="A122" s="37" t="str">
        <f>'Risk Master'!B122&amp;"-"&amp;'Risk Master'!D122</f>
        <v>Hurricane-Typhoon -Calgary</v>
      </c>
      <c r="B122" s="37" t="str">
        <f>'Input Sheet year 2'!B123</f>
        <v>Hurricane-Typhoon -Calgary</v>
      </c>
      <c r="C122" s="29" t="str">
        <f>'Risk Master'!F122</f>
        <v>A64</v>
      </c>
      <c r="D122" s="29">
        <f>VLOOKUP($B122,'Probabilty Distribution'!$A:$CX,$K$1,FALSE)</f>
        <v>0</v>
      </c>
      <c r="E122" s="29">
        <f>VLOOKUP($B122,'Probabilty Distribution'!$A:$CX,$K$2,FALSE)</f>
        <v>0</v>
      </c>
      <c r="F122" s="29">
        <f>VLOOKUP($B122,'Probabilty Distribution'!$A:$CX,$K$3,FALSE)</f>
        <v>0</v>
      </c>
      <c r="G122" s="29">
        <f ca="1">VLOOKUP($B122,'Probabilty Distribution'!$A:$CX,$K$4,FALSE)</f>
        <v>0</v>
      </c>
      <c r="H122" s="29">
        <f ca="1">VLOOKUP($B122,'Probabilty Distribution'!$A:$CX,$K$5,FALSE)</f>
        <v>1</v>
      </c>
    </row>
    <row r="123" spans="1:8" x14ac:dyDescent="0.2">
      <c r="A123" s="37" t="str">
        <f>'Risk Master'!B123&amp;"-"&amp;'Risk Master'!D123</f>
        <v>Earthquake-Calgary</v>
      </c>
      <c r="B123" s="37" t="str">
        <f>'Input Sheet year 2'!B124</f>
        <v>Earthquake-Calgary</v>
      </c>
      <c r="C123" s="29" t="str">
        <f>'Risk Master'!F123</f>
        <v>A64</v>
      </c>
      <c r="D123" s="29">
        <f>VLOOKUP($B123,'Probabilty Distribution'!$A:$CX,$K$1,FALSE)</f>
        <v>0</v>
      </c>
      <c r="E123" s="29">
        <f>VLOOKUP($B123,'Probabilty Distribution'!$A:$CX,$K$2,FALSE)</f>
        <v>1</v>
      </c>
      <c r="F123" s="29">
        <f>VLOOKUP($B123,'Probabilty Distribution'!$A:$CX,$K$3,FALSE)</f>
        <v>0</v>
      </c>
      <c r="G123" s="29">
        <f ca="1">VLOOKUP($B123,'Probabilty Distribution'!$A:$CX,$K$4,FALSE)</f>
        <v>0</v>
      </c>
      <c r="H123" s="29">
        <f ca="1">VLOOKUP($B123,'Probabilty Distribution'!$A:$CX,$K$5,FALSE)</f>
        <v>0</v>
      </c>
    </row>
    <row r="124" spans="1:8" x14ac:dyDescent="0.2">
      <c r="A124" s="37" t="str">
        <f>'Risk Master'!B124&amp;"-"&amp;'Risk Master'!D124</f>
        <v>Thunderstorms, Tornados &amp; Hail-Calgary</v>
      </c>
      <c r="B124" s="37" t="str">
        <f>'Input Sheet year 2'!B125</f>
        <v>Thunderstorms, Tornados &amp; Hail-Calgary</v>
      </c>
      <c r="C124" s="29" t="str">
        <f>'Risk Master'!F124</f>
        <v>A67</v>
      </c>
      <c r="D124" s="29">
        <f>VLOOKUP($B124,'Probabilty Distribution'!$A:$CX,$K$1,FALSE)</f>
        <v>0</v>
      </c>
      <c r="E124" s="29">
        <f>VLOOKUP($B124,'Probabilty Distribution'!$A:$CX,$K$2,FALSE)</f>
        <v>1</v>
      </c>
      <c r="F124" s="29">
        <f>VLOOKUP($B124,'Probabilty Distribution'!$A:$CX,$K$3,FALSE)</f>
        <v>1</v>
      </c>
      <c r="G124" s="29">
        <f ca="1">VLOOKUP($B124,'Probabilty Distribution'!$A:$CX,$K$4,FALSE)</f>
        <v>1</v>
      </c>
      <c r="H124" s="29">
        <f ca="1">VLOOKUP($B124,'Probabilty Distribution'!$A:$CX,$K$5,FALSE)</f>
        <v>0</v>
      </c>
    </row>
    <row r="125" spans="1:8" x14ac:dyDescent="0.2">
      <c r="A125" s="37" t="str">
        <f>'Risk Master'!B125&amp;"-"&amp;'Risk Master'!D125</f>
        <v>Hurricane-Typhoon -Calgary</v>
      </c>
      <c r="B125" s="37" t="str">
        <f>'Input Sheet year 2'!B126</f>
        <v>Hurricane-Typhoon -Calgary</v>
      </c>
      <c r="C125" s="29" t="str">
        <f>'Risk Master'!F125</f>
        <v>A68</v>
      </c>
      <c r="D125" s="29">
        <f>VLOOKUP($B125,'Probabilty Distribution'!$A:$CX,$K$1,FALSE)</f>
        <v>0</v>
      </c>
      <c r="E125" s="29">
        <f>VLOOKUP($B125,'Probabilty Distribution'!$A:$CX,$K$2,FALSE)</f>
        <v>0</v>
      </c>
      <c r="F125" s="29">
        <f>VLOOKUP($B125,'Probabilty Distribution'!$A:$CX,$K$3,FALSE)</f>
        <v>0</v>
      </c>
      <c r="G125" s="29">
        <f ca="1">VLOOKUP($B125,'Probabilty Distribution'!$A:$CX,$K$4,FALSE)</f>
        <v>0</v>
      </c>
      <c r="H125" s="29">
        <f ca="1">VLOOKUP($B125,'Probabilty Distribution'!$A:$CX,$K$5,FALSE)</f>
        <v>1</v>
      </c>
    </row>
    <row r="126" spans="1:8" x14ac:dyDescent="0.2">
      <c r="A126" s="37" t="str">
        <f>'Risk Master'!B126&amp;"-"&amp;'Risk Master'!D126</f>
        <v>Earthquake-Calgary</v>
      </c>
      <c r="B126" s="37" t="str">
        <f>'Input Sheet year 2'!B127</f>
        <v>Earthquake-Calgary</v>
      </c>
      <c r="C126" s="29" t="str">
        <f>'Risk Master'!F126</f>
        <v>A69</v>
      </c>
      <c r="D126" s="29">
        <f>VLOOKUP($B126,'Probabilty Distribution'!$A:$CX,$K$1,FALSE)</f>
        <v>0</v>
      </c>
      <c r="E126" s="29">
        <f>VLOOKUP($B126,'Probabilty Distribution'!$A:$CX,$K$2,FALSE)</f>
        <v>1</v>
      </c>
      <c r="F126" s="29">
        <f>VLOOKUP($B126,'Probabilty Distribution'!$A:$CX,$K$3,FALSE)</f>
        <v>0</v>
      </c>
      <c r="G126" s="29">
        <f ca="1">VLOOKUP($B126,'Probabilty Distribution'!$A:$CX,$K$4,FALSE)</f>
        <v>0</v>
      </c>
      <c r="H126" s="29">
        <f ca="1">VLOOKUP($B126,'Probabilty Distribution'!$A:$CX,$K$5,FALSE)</f>
        <v>0</v>
      </c>
    </row>
    <row r="127" spans="1:8" x14ac:dyDescent="0.2">
      <c r="A127" s="37" t="str">
        <f>'Risk Master'!B127&amp;"-"&amp;'Risk Master'!D127</f>
        <v>Thunderstorms, Tornados &amp; Hail-Calgary</v>
      </c>
      <c r="B127" s="37" t="str">
        <f>'Input Sheet year 2'!B128</f>
        <v>Thunderstorms, Tornados &amp; Hail-Calgary</v>
      </c>
      <c r="C127" s="29" t="str">
        <f>'Risk Master'!F127</f>
        <v>A71</v>
      </c>
      <c r="D127" s="29">
        <f>VLOOKUP($B127,'Probabilty Distribution'!$A:$CX,$K$1,FALSE)</f>
        <v>0</v>
      </c>
      <c r="E127" s="29">
        <f>VLOOKUP($B127,'Probabilty Distribution'!$A:$CX,$K$2,FALSE)</f>
        <v>1</v>
      </c>
      <c r="F127" s="29">
        <f>VLOOKUP($B127,'Probabilty Distribution'!$A:$CX,$K$3,FALSE)</f>
        <v>1</v>
      </c>
      <c r="G127" s="29">
        <f ca="1">VLOOKUP($B127,'Probabilty Distribution'!$A:$CX,$K$4,FALSE)</f>
        <v>1</v>
      </c>
      <c r="H127" s="29">
        <f ca="1">VLOOKUP($B127,'Probabilty Distribution'!$A:$CX,$K$5,FALSE)</f>
        <v>0</v>
      </c>
    </row>
    <row r="128" spans="1:8" x14ac:dyDescent="0.2">
      <c r="A128" s="37" t="str">
        <f>'Risk Master'!B128&amp;"-"&amp;'Risk Master'!D128</f>
        <v>Hurricane-Typhoon -Calgary</v>
      </c>
      <c r="B128" s="37" t="str">
        <f>'Input Sheet year 2'!B129</f>
        <v>Hurricane-Typhoon -Calgary</v>
      </c>
      <c r="C128" s="29" t="str">
        <f>'Risk Master'!F128</f>
        <v>A72</v>
      </c>
      <c r="D128" s="29">
        <f>VLOOKUP($B128,'Probabilty Distribution'!$A:$CX,$K$1,FALSE)</f>
        <v>0</v>
      </c>
      <c r="E128" s="29">
        <f>VLOOKUP($B128,'Probabilty Distribution'!$A:$CX,$K$2,FALSE)</f>
        <v>0</v>
      </c>
      <c r="F128" s="29">
        <f>VLOOKUP($B128,'Probabilty Distribution'!$A:$CX,$K$3,FALSE)</f>
        <v>0</v>
      </c>
      <c r="G128" s="29">
        <f ca="1">VLOOKUP($B128,'Probabilty Distribution'!$A:$CX,$K$4,FALSE)</f>
        <v>0</v>
      </c>
      <c r="H128" s="29">
        <f ca="1">VLOOKUP($B128,'Probabilty Distribution'!$A:$CX,$K$5,FALSE)</f>
        <v>1</v>
      </c>
    </row>
    <row r="129" spans="1:8" x14ac:dyDescent="0.2">
      <c r="A129" s="37" t="str">
        <f>'Risk Master'!B129&amp;"-"&amp;'Risk Master'!D129</f>
        <v>Earthquake-Calgary</v>
      </c>
      <c r="B129" s="37" t="str">
        <f>'Input Sheet year 2'!B130</f>
        <v>Earthquake-Calgary</v>
      </c>
      <c r="C129" s="29" t="str">
        <f>'Risk Master'!F129</f>
        <v>A73</v>
      </c>
      <c r="D129" s="29">
        <f>VLOOKUP($B129,'Probabilty Distribution'!$A:$CX,$K$1,FALSE)</f>
        <v>0</v>
      </c>
      <c r="E129" s="29">
        <f>VLOOKUP($B129,'Probabilty Distribution'!$A:$CX,$K$2,FALSE)</f>
        <v>1</v>
      </c>
      <c r="F129" s="29">
        <f>VLOOKUP($B129,'Probabilty Distribution'!$A:$CX,$K$3,FALSE)</f>
        <v>0</v>
      </c>
      <c r="G129" s="29">
        <f ca="1">VLOOKUP($B129,'Probabilty Distribution'!$A:$CX,$K$4,FALSE)</f>
        <v>0</v>
      </c>
      <c r="H129" s="29">
        <f ca="1">VLOOKUP($B129,'Probabilty Distribution'!$A:$CX,$K$5,FALSE)</f>
        <v>0</v>
      </c>
    </row>
    <row r="130" spans="1:8" x14ac:dyDescent="0.2">
      <c r="A130" s="37" t="str">
        <f>'Risk Master'!B130&amp;"-"&amp;'Risk Master'!D130</f>
        <v>Thunderstorms, Tornados &amp; Hail-Calgary</v>
      </c>
      <c r="B130" s="37" t="str">
        <f>'Input Sheet year 2'!B131</f>
        <v>Thunderstorms, Tornados &amp; Hail-Calgary</v>
      </c>
      <c r="C130" s="29" t="str">
        <f>'Risk Master'!F130</f>
        <v>A75</v>
      </c>
      <c r="D130" s="29">
        <f>VLOOKUP($B130,'Probabilty Distribution'!$A:$CX,$K$1,FALSE)</f>
        <v>0</v>
      </c>
      <c r="E130" s="29">
        <f>VLOOKUP($B130,'Probabilty Distribution'!$A:$CX,$K$2,FALSE)</f>
        <v>1</v>
      </c>
      <c r="F130" s="29">
        <f>VLOOKUP($B130,'Probabilty Distribution'!$A:$CX,$K$3,FALSE)</f>
        <v>1</v>
      </c>
      <c r="G130" s="29">
        <f ca="1">VLOOKUP($B130,'Probabilty Distribution'!$A:$CX,$K$4,FALSE)</f>
        <v>1</v>
      </c>
      <c r="H130" s="29">
        <f ca="1">VLOOKUP($B130,'Probabilty Distribution'!$A:$CX,$K$5,FALSE)</f>
        <v>0</v>
      </c>
    </row>
    <row r="131" spans="1:8" x14ac:dyDescent="0.2">
      <c r="A131" s="37" t="str">
        <f>'Risk Master'!B131&amp;"-"&amp;'Risk Master'!D131</f>
        <v>Hurricane-Typhoon -Calgary</v>
      </c>
      <c r="B131" s="37" t="str">
        <f>'Input Sheet year 2'!B132</f>
        <v>Hurricane-Typhoon -Calgary</v>
      </c>
      <c r="C131" s="29" t="str">
        <f>'Risk Master'!F131</f>
        <v>A67</v>
      </c>
      <c r="D131" s="29">
        <f>VLOOKUP($B131,'Probabilty Distribution'!$A:$CX,$K$1,FALSE)</f>
        <v>0</v>
      </c>
      <c r="E131" s="29">
        <f>VLOOKUP($B131,'Probabilty Distribution'!$A:$CX,$K$2,FALSE)</f>
        <v>0</v>
      </c>
      <c r="F131" s="29">
        <f>VLOOKUP($B131,'Probabilty Distribution'!$A:$CX,$K$3,FALSE)</f>
        <v>0</v>
      </c>
      <c r="G131" s="29">
        <f ca="1">VLOOKUP($B131,'Probabilty Distribution'!$A:$CX,$K$4,FALSE)</f>
        <v>0</v>
      </c>
      <c r="H131" s="29">
        <f ca="1">VLOOKUP($B131,'Probabilty Distribution'!$A:$CX,$K$5,FALSE)</f>
        <v>1</v>
      </c>
    </row>
    <row r="132" spans="1:8" x14ac:dyDescent="0.2">
      <c r="A132" s="37" t="str">
        <f>'Risk Master'!B132&amp;"-"&amp;'Risk Master'!D132</f>
        <v>Earthquake-Calgary</v>
      </c>
      <c r="B132" s="37" t="str">
        <f>'Input Sheet year 2'!B133</f>
        <v>Earthquake-Calgary</v>
      </c>
      <c r="C132" s="29" t="str">
        <f>'Risk Master'!F132</f>
        <v>A68</v>
      </c>
      <c r="D132" s="29">
        <f>VLOOKUP($B132,'Probabilty Distribution'!$A:$CX,$K$1,FALSE)</f>
        <v>0</v>
      </c>
      <c r="E132" s="29">
        <f>VLOOKUP($B132,'Probabilty Distribution'!$A:$CX,$K$2,FALSE)</f>
        <v>1</v>
      </c>
      <c r="F132" s="29">
        <f>VLOOKUP($B132,'Probabilty Distribution'!$A:$CX,$K$3,FALSE)</f>
        <v>0</v>
      </c>
      <c r="G132" s="29">
        <f ca="1">VLOOKUP($B132,'Probabilty Distribution'!$A:$CX,$K$4,FALSE)</f>
        <v>0</v>
      </c>
      <c r="H132" s="29">
        <f ca="1">VLOOKUP($B132,'Probabilty Distribution'!$A:$CX,$K$5,FALSE)</f>
        <v>0</v>
      </c>
    </row>
    <row r="133" spans="1:8" x14ac:dyDescent="0.2">
      <c r="A133" s="37" t="str">
        <f>'Risk Master'!B133&amp;"-"&amp;'Risk Master'!D133</f>
        <v>Hurricane-Typhoon -Calgary</v>
      </c>
      <c r="B133" s="37" t="str">
        <f>'Input Sheet year 2'!B134</f>
        <v>Hurricane-Typhoon -Calgary</v>
      </c>
      <c r="C133" s="29" t="str">
        <f>'Risk Master'!F133</f>
        <v>A73</v>
      </c>
      <c r="D133" s="29">
        <f>VLOOKUP($B133,'Probabilty Distribution'!$A:$CX,$K$1,FALSE)</f>
        <v>0</v>
      </c>
      <c r="E133" s="29">
        <f>VLOOKUP($B133,'Probabilty Distribution'!$A:$CX,$K$2,FALSE)</f>
        <v>0</v>
      </c>
      <c r="F133" s="29">
        <f>VLOOKUP($B133,'Probabilty Distribution'!$A:$CX,$K$3,FALSE)</f>
        <v>0</v>
      </c>
      <c r="G133" s="29">
        <f ca="1">VLOOKUP($B133,'Probabilty Distribution'!$A:$CX,$K$4,FALSE)</f>
        <v>0</v>
      </c>
      <c r="H133" s="29">
        <f ca="1">VLOOKUP($B133,'Probabilty Distribution'!$A:$CX,$K$5,FALSE)</f>
        <v>1</v>
      </c>
    </row>
    <row r="134" spans="1:8" ht="25.5" x14ac:dyDescent="0.2">
      <c r="A134" s="37" t="str">
        <f>'Risk Master'!B134&amp;"-"&amp;'Risk Master'!D134</f>
        <v>Tropical Storm Manuel-Gulf of Mexico</v>
      </c>
      <c r="B134" s="37" t="str">
        <f>'Input Sheet year 2'!B135</f>
        <v>Thunderstorms, Tornados &amp; Tropical storms-Gulf of Mexico</v>
      </c>
      <c r="C134" s="29" t="str">
        <f>'Risk Master'!F134</f>
        <v>A78</v>
      </c>
      <c r="D134" s="29">
        <f>VLOOKUP($B134,'Probabilty Distribution'!$A:$CX,$K$1,FALSE)</f>
        <v>0</v>
      </c>
      <c r="E134" s="29">
        <f>VLOOKUP($B134,'Probabilty Distribution'!$A:$CX,$K$2,FALSE)</f>
        <v>1</v>
      </c>
      <c r="F134" s="29">
        <f>VLOOKUP($B134,'Probabilty Distribution'!$A:$CX,$K$3,FALSE)</f>
        <v>0</v>
      </c>
      <c r="G134" s="29">
        <f ca="1">VLOOKUP($B134,'Probabilty Distribution'!$A:$CX,$K$4,FALSE)</f>
        <v>1</v>
      </c>
      <c r="H134" s="29">
        <f ca="1">VLOOKUP($B134,'Probabilty Distribution'!$A:$CX,$K$5,FALSE)</f>
        <v>0</v>
      </c>
    </row>
    <row r="135" spans="1:8" x14ac:dyDescent="0.2">
      <c r="A135" s="37" t="str">
        <f>'Risk Master'!B135&amp;"-"&amp;'Risk Master'!D135</f>
        <v>Hurricane Ingrid-Gulf of Mexico</v>
      </c>
      <c r="B135" s="37" t="str">
        <f>'Input Sheet year 2'!B136</f>
        <v>Hurricane-Typhoon -Gulf of Mexico</v>
      </c>
      <c r="C135" s="29" t="str">
        <f>'Risk Master'!F135</f>
        <v>A79</v>
      </c>
      <c r="D135" s="29">
        <f>VLOOKUP($B135,'Probabilty Distribution'!$A:$CX,$K$1,FALSE)</f>
        <v>0</v>
      </c>
      <c r="E135" s="29">
        <f>VLOOKUP($B135,'Probabilty Distribution'!$A:$CX,$K$2,FALSE)</f>
        <v>0</v>
      </c>
      <c r="F135" s="29">
        <f>VLOOKUP($B135,'Probabilty Distribution'!$A:$CX,$K$3,FALSE)</f>
        <v>1</v>
      </c>
      <c r="G135" s="29">
        <f ca="1">VLOOKUP($B135,'Probabilty Distribution'!$A:$CX,$K$4,FALSE)</f>
        <v>0</v>
      </c>
      <c r="H135" s="29">
        <f ca="1">VLOOKUP($B135,'Probabilty Distribution'!$A:$CX,$K$5,FALSE)</f>
        <v>1</v>
      </c>
    </row>
    <row r="136" spans="1:8" ht="25.5" x14ac:dyDescent="0.2">
      <c r="A136" s="37" t="str">
        <f>'Risk Master'!B136&amp;"-"&amp;'Risk Master'!D136</f>
        <v>Tropical Storm Lorena-Gulf of Mexico</v>
      </c>
      <c r="B136" s="37" t="str">
        <f>'Input Sheet year 2'!B137</f>
        <v>Thunderstorms, Tornados &amp; Tropical storms-Gulf of Mexico</v>
      </c>
      <c r="C136" s="29" t="str">
        <f>'Risk Master'!F136</f>
        <v>A81</v>
      </c>
      <c r="D136" s="29">
        <f>VLOOKUP($B136,'Probabilty Distribution'!$A:$CX,$K$1,FALSE)</f>
        <v>0</v>
      </c>
      <c r="E136" s="29">
        <f>VLOOKUP($B136,'Probabilty Distribution'!$A:$CX,$K$2,FALSE)</f>
        <v>1</v>
      </c>
      <c r="F136" s="29">
        <f>VLOOKUP($B136,'Probabilty Distribution'!$A:$CX,$K$3,FALSE)</f>
        <v>0</v>
      </c>
      <c r="G136" s="29">
        <f ca="1">VLOOKUP($B136,'Probabilty Distribution'!$A:$CX,$K$4,FALSE)</f>
        <v>1</v>
      </c>
      <c r="H136" s="29">
        <f ca="1">VLOOKUP($B136,'Probabilty Distribution'!$A:$CX,$K$5,FALSE)</f>
        <v>0</v>
      </c>
    </row>
    <row r="137" spans="1:8" ht="25.5" x14ac:dyDescent="0.2">
      <c r="A137" s="37" t="str">
        <f>'Risk Master'!B137&amp;"-"&amp;'Risk Master'!D137</f>
        <v>Tropical Storm Kong-Rey-Gulf of Mexico</v>
      </c>
      <c r="B137" s="37" t="str">
        <f>'Input Sheet year 2'!B138</f>
        <v>Thunderstorms, Tornados &amp; Tropical storms-Gulf of Mexico</v>
      </c>
      <c r="C137" s="29" t="str">
        <f>'Risk Master'!F137</f>
        <v>A83</v>
      </c>
      <c r="D137" s="29">
        <f>VLOOKUP($B137,'Probabilty Distribution'!$A:$CX,$K$1,FALSE)</f>
        <v>0</v>
      </c>
      <c r="E137" s="29">
        <f>VLOOKUP($B137,'Probabilty Distribution'!$A:$CX,$K$2,FALSE)</f>
        <v>1</v>
      </c>
      <c r="F137" s="29">
        <f>VLOOKUP($B137,'Probabilty Distribution'!$A:$CX,$K$3,FALSE)</f>
        <v>0</v>
      </c>
      <c r="G137" s="29">
        <f ca="1">VLOOKUP($B137,'Probabilty Distribution'!$A:$CX,$K$4,FALSE)</f>
        <v>1</v>
      </c>
      <c r="H137" s="29">
        <f ca="1">VLOOKUP($B137,'Probabilty Distribution'!$A:$CX,$K$5,FALSE)</f>
        <v>0</v>
      </c>
    </row>
    <row r="138" spans="1:8" ht="25.5" x14ac:dyDescent="0.2">
      <c r="A138" s="37" t="str">
        <f>'Risk Master'!B138&amp;"-"&amp;'Risk Master'!D138</f>
        <v>Tropical Storm Fernand-Gulf of Mexico</v>
      </c>
      <c r="B138" s="37" t="str">
        <f>'Input Sheet year 2'!B139</f>
        <v>Thunderstorms, Tornados &amp; Tropical storms-Gulf of Mexico</v>
      </c>
      <c r="C138" s="29" t="str">
        <f>'Risk Master'!F138</f>
        <v>A88</v>
      </c>
      <c r="D138" s="29">
        <f>VLOOKUP($B138,'Probabilty Distribution'!$A:$CX,$K$1,FALSE)</f>
        <v>0</v>
      </c>
      <c r="E138" s="29">
        <f>VLOOKUP($B138,'Probabilty Distribution'!$A:$CX,$K$2,FALSE)</f>
        <v>1</v>
      </c>
      <c r="F138" s="29">
        <f>VLOOKUP($B138,'Probabilty Distribution'!$A:$CX,$K$3,FALSE)</f>
        <v>0</v>
      </c>
      <c r="G138" s="29">
        <f ca="1">VLOOKUP($B138,'Probabilty Distribution'!$A:$CX,$K$4,FALSE)</f>
        <v>1</v>
      </c>
      <c r="H138" s="29">
        <f ca="1">VLOOKUP($B138,'Probabilty Distribution'!$A:$CX,$K$5,FALSE)</f>
        <v>0</v>
      </c>
    </row>
    <row r="139" spans="1:8" x14ac:dyDescent="0.2">
      <c r="A139" s="37" t="str">
        <f>'Risk Master'!B139&amp;"-"&amp;'Risk Master'!D139</f>
        <v>Earthquake-Gulf of Mexico</v>
      </c>
      <c r="B139" s="37" t="str">
        <f>'Input Sheet year 2'!B140</f>
        <v>Earthquake-Gulf of Mexico</v>
      </c>
      <c r="C139" s="29" t="str">
        <f>'Risk Master'!F139</f>
        <v>A90</v>
      </c>
      <c r="D139" s="29">
        <f>VLOOKUP($B139,'Probabilty Distribution'!$A:$CX,$K$1,FALSE)</f>
        <v>1</v>
      </c>
      <c r="E139" s="29">
        <f>VLOOKUP($B139,'Probabilty Distribution'!$A:$CX,$K$2,FALSE)</f>
        <v>0</v>
      </c>
      <c r="F139" s="29">
        <f>VLOOKUP($B139,'Probabilty Distribution'!$A:$CX,$K$3,FALSE)</f>
        <v>0</v>
      </c>
      <c r="G139" s="29">
        <f ca="1">VLOOKUP($B139,'Probabilty Distribution'!$A:$CX,$K$4,FALSE)</f>
        <v>0</v>
      </c>
      <c r="H139" s="29">
        <f ca="1">VLOOKUP($B139,'Probabilty Distribution'!$A:$CX,$K$5,FALSE)</f>
        <v>0</v>
      </c>
    </row>
    <row r="140" spans="1:8" x14ac:dyDescent="0.2">
      <c r="A140" s="37" t="str">
        <f>'Risk Master'!B140&amp;"-"&amp;'Risk Master'!D140</f>
        <v>Thunderstorms, Tornados &amp; Hail-Tokyo</v>
      </c>
      <c r="B140" s="37" t="str">
        <f>'Input Sheet year 2'!B141</f>
        <v>Thunderstorms, Tornados &amp; Hail-Tokyo</v>
      </c>
      <c r="C140" s="29" t="str">
        <f>'Risk Master'!F140</f>
        <v>A93</v>
      </c>
      <c r="D140" s="29">
        <f>VLOOKUP($B140,'Probabilty Distribution'!$A:$CX,$K$1,FALSE)</f>
        <v>0</v>
      </c>
      <c r="E140" s="29">
        <f>VLOOKUP($B140,'Probabilty Distribution'!$A:$CX,$K$2,FALSE)</f>
        <v>0</v>
      </c>
      <c r="F140" s="29">
        <f>VLOOKUP($B140,'Probabilty Distribution'!$A:$CX,$K$3,FALSE)</f>
        <v>0</v>
      </c>
      <c r="G140" s="29">
        <f ca="1">VLOOKUP($B140,'Probabilty Distribution'!$A:$CX,$K$4,FALSE)</f>
        <v>0</v>
      </c>
      <c r="H140" s="29">
        <f ca="1">VLOOKUP($B140,'Probabilty Distribution'!$A:$CX,$K$5,FALSE)</f>
        <v>1</v>
      </c>
    </row>
    <row r="141" spans="1:8" x14ac:dyDescent="0.2">
      <c r="A141" s="37" t="str">
        <f>'Risk Master'!B141&amp;"-"&amp;'Risk Master'!D141</f>
        <v>Hurricane-Typhoon -Tokyo</v>
      </c>
      <c r="B141" s="37" t="str">
        <f>'Input Sheet year 2'!B142</f>
        <v>Hurricane-Typhoon -Tokyo</v>
      </c>
      <c r="C141" s="29" t="str">
        <f>'Risk Master'!F141</f>
        <v>A93</v>
      </c>
      <c r="D141" s="29">
        <f>VLOOKUP($B141,'Probabilty Distribution'!$A:$CX,$K$1,FALSE)</f>
        <v>0</v>
      </c>
      <c r="E141" s="29">
        <f>VLOOKUP($B141,'Probabilty Distribution'!$A:$CX,$K$2,FALSE)</f>
        <v>1</v>
      </c>
      <c r="F141" s="29">
        <f>VLOOKUP($B141,'Probabilty Distribution'!$A:$CX,$K$3,FALSE)</f>
        <v>0</v>
      </c>
      <c r="G141" s="29">
        <f ca="1">VLOOKUP($B141,'Probabilty Distribution'!$A:$CX,$K$4,FALSE)</f>
        <v>0</v>
      </c>
      <c r="H141" s="29">
        <f ca="1">VLOOKUP($B141,'Probabilty Distribution'!$A:$CX,$K$5,FALSE)</f>
        <v>0</v>
      </c>
    </row>
    <row r="142" spans="1:8" x14ac:dyDescent="0.2">
      <c r="A142" s="37" t="str">
        <f>'Risk Master'!B142&amp;"-"&amp;'Risk Master'!D142</f>
        <v>Earthquake-Tokyo</v>
      </c>
      <c r="B142" s="37" t="str">
        <f>'Input Sheet year 2'!B143</f>
        <v>Earthquake-Tokyo</v>
      </c>
      <c r="C142" s="29" t="str">
        <f>'Risk Master'!F142</f>
        <v>A93</v>
      </c>
      <c r="D142" s="29">
        <f>VLOOKUP($B142,'Probabilty Distribution'!$A:$CX,$K$1,FALSE)</f>
        <v>0</v>
      </c>
      <c r="E142" s="29">
        <f>VLOOKUP($B142,'Probabilty Distribution'!$A:$CX,$K$2,FALSE)</f>
        <v>0</v>
      </c>
      <c r="F142" s="29">
        <f>VLOOKUP($B142,'Probabilty Distribution'!$A:$CX,$K$3,FALSE)</f>
        <v>1</v>
      </c>
      <c r="G142" s="29">
        <f ca="1">VLOOKUP($B142,'Probabilty Distribution'!$A:$CX,$K$4,FALSE)</f>
        <v>1</v>
      </c>
      <c r="H142" s="29">
        <f ca="1">VLOOKUP($B142,'Probabilty Distribution'!$A:$CX,$K$5,FALSE)</f>
        <v>1</v>
      </c>
    </row>
    <row r="143" spans="1:8" x14ac:dyDescent="0.2">
      <c r="A143" s="37" t="str">
        <f>'Risk Master'!B143&amp;"-"&amp;'Risk Master'!D143</f>
        <v>Thunderstorms, Tornados &amp; Hail-Tokyo</v>
      </c>
      <c r="B143" s="37" t="str">
        <f>'Input Sheet year 2'!B144</f>
        <v>Thunderstorms, Tornados &amp; Hail-Tokyo</v>
      </c>
      <c r="C143" s="29" t="str">
        <f>'Risk Master'!F143</f>
        <v>A94</v>
      </c>
      <c r="D143" s="29">
        <f>VLOOKUP($B143,'Probabilty Distribution'!$A:$CX,$K$1,FALSE)</f>
        <v>0</v>
      </c>
      <c r="E143" s="29">
        <f>VLOOKUP($B143,'Probabilty Distribution'!$A:$CX,$K$2,FALSE)</f>
        <v>0</v>
      </c>
      <c r="F143" s="29">
        <f>VLOOKUP($B143,'Probabilty Distribution'!$A:$CX,$K$3,FALSE)</f>
        <v>0</v>
      </c>
      <c r="G143" s="29">
        <f ca="1">VLOOKUP($B143,'Probabilty Distribution'!$A:$CX,$K$4,FALSE)</f>
        <v>0</v>
      </c>
      <c r="H143" s="29">
        <f ca="1">VLOOKUP($B143,'Probabilty Distribution'!$A:$CX,$K$5,FALSE)</f>
        <v>1</v>
      </c>
    </row>
    <row r="144" spans="1:8" x14ac:dyDescent="0.2">
      <c r="A144" s="37" t="str">
        <f>'Risk Master'!B144&amp;"-"&amp;'Risk Master'!D144</f>
        <v>Hurricane-Typhoon -Tokyo</v>
      </c>
      <c r="B144" s="37" t="str">
        <f>'Input Sheet year 2'!B145</f>
        <v>Hurricane-Typhoon -Tokyo</v>
      </c>
      <c r="C144" s="29" t="str">
        <f>'Risk Master'!F144</f>
        <v>A94</v>
      </c>
      <c r="D144" s="29">
        <f>VLOOKUP($B144,'Probabilty Distribution'!$A:$CX,$K$1,FALSE)</f>
        <v>0</v>
      </c>
      <c r="E144" s="29">
        <f>VLOOKUP($B144,'Probabilty Distribution'!$A:$CX,$K$2,FALSE)</f>
        <v>1</v>
      </c>
      <c r="F144" s="29">
        <f>VLOOKUP($B144,'Probabilty Distribution'!$A:$CX,$K$3,FALSE)</f>
        <v>0</v>
      </c>
      <c r="G144" s="29">
        <f ca="1">VLOOKUP($B144,'Probabilty Distribution'!$A:$CX,$K$4,FALSE)</f>
        <v>0</v>
      </c>
      <c r="H144" s="29">
        <f ca="1">VLOOKUP($B144,'Probabilty Distribution'!$A:$CX,$K$5,FALSE)</f>
        <v>0</v>
      </c>
    </row>
    <row r="145" spans="1:8" x14ac:dyDescent="0.2">
      <c r="A145" s="37" t="str">
        <f>'Risk Master'!B145&amp;"-"&amp;'Risk Master'!D145</f>
        <v>Earthquake-Tokyo</v>
      </c>
      <c r="B145" s="37" t="str">
        <f>'Input Sheet year 2'!B146</f>
        <v>Earthquake-Tokyo</v>
      </c>
      <c r="C145" s="29" t="str">
        <f>'Risk Master'!F145</f>
        <v>A98</v>
      </c>
      <c r="D145" s="29">
        <f>VLOOKUP($B145,'Probabilty Distribution'!$A:$CX,$K$1,FALSE)</f>
        <v>0</v>
      </c>
      <c r="E145" s="29">
        <f>VLOOKUP($B145,'Probabilty Distribution'!$A:$CX,$K$2,FALSE)</f>
        <v>0</v>
      </c>
      <c r="F145" s="29">
        <f>VLOOKUP($B145,'Probabilty Distribution'!$A:$CX,$K$3,FALSE)</f>
        <v>1</v>
      </c>
      <c r="G145" s="29">
        <f ca="1">VLOOKUP($B145,'Probabilty Distribution'!$A:$CX,$K$4,FALSE)</f>
        <v>1</v>
      </c>
      <c r="H145" s="29">
        <f ca="1">VLOOKUP($B145,'Probabilty Distribution'!$A:$CX,$K$5,FALSE)</f>
        <v>1</v>
      </c>
    </row>
    <row r="146" spans="1:8" x14ac:dyDescent="0.2">
      <c r="A146" s="37" t="str">
        <f>'Risk Master'!B146&amp;"-"&amp;'Risk Master'!D146</f>
        <v>Thunderstorms, Tornados &amp; Hail-Tokyo</v>
      </c>
      <c r="B146" s="37" t="str">
        <f>'Input Sheet year 2'!B147</f>
        <v>Thunderstorms, Tornados &amp; Hail-Tokyo</v>
      </c>
      <c r="C146" s="29" t="str">
        <f>'Risk Master'!F146</f>
        <v>A99</v>
      </c>
      <c r="D146" s="29">
        <f>VLOOKUP($B146,'Probabilty Distribution'!$A:$CX,$K$1,FALSE)</f>
        <v>0</v>
      </c>
      <c r="E146" s="29">
        <f>VLOOKUP($B146,'Probabilty Distribution'!$A:$CX,$K$2,FALSE)</f>
        <v>0</v>
      </c>
      <c r="F146" s="29">
        <f>VLOOKUP($B146,'Probabilty Distribution'!$A:$CX,$K$3,FALSE)</f>
        <v>0</v>
      </c>
      <c r="G146" s="29">
        <f ca="1">VLOOKUP($B146,'Probabilty Distribution'!$A:$CX,$K$4,FALSE)</f>
        <v>0</v>
      </c>
      <c r="H146" s="29">
        <f ca="1">VLOOKUP($B146,'Probabilty Distribution'!$A:$CX,$K$5,FALSE)</f>
        <v>1</v>
      </c>
    </row>
    <row r="147" spans="1:8" x14ac:dyDescent="0.2">
      <c r="A147" s="37" t="str">
        <f>'Risk Master'!B147&amp;"-"&amp;'Risk Master'!D147</f>
        <v>Fire-Tokyo</v>
      </c>
      <c r="B147" s="37" t="str">
        <f>'Input Sheet year 2'!B148</f>
        <v>Fire-Tokyo</v>
      </c>
      <c r="C147" s="29" t="str">
        <f>'Risk Master'!F147</f>
        <v>A103</v>
      </c>
      <c r="D147" s="29">
        <f>VLOOKUP($B147,'Probabilty Distribution'!$A:$CX,$K$1,FALSE)</f>
        <v>0</v>
      </c>
      <c r="E147" s="29">
        <f>VLOOKUP($B147,'Probabilty Distribution'!$A:$CX,$K$2,FALSE)</f>
        <v>0</v>
      </c>
      <c r="F147" s="29">
        <f>VLOOKUP($B147,'Probabilty Distribution'!$A:$CX,$K$3,FALSE)</f>
        <v>1</v>
      </c>
      <c r="G147" s="29">
        <f ca="1">VLOOKUP($B147,'Probabilty Distribution'!$A:$CX,$K$4,FALSE)</f>
        <v>0</v>
      </c>
      <c r="H147" s="29">
        <f ca="1">VLOOKUP($B147,'Probabilty Distribution'!$A:$CX,$K$5,FALSE)</f>
        <v>0</v>
      </c>
    </row>
    <row r="148" spans="1:8" x14ac:dyDescent="0.2">
      <c r="A148" s="37" t="str">
        <f>'Risk Master'!B148&amp;"-"&amp;'Risk Master'!D148</f>
        <v>Earthquake-Tokyo</v>
      </c>
      <c r="B148" s="37" t="str">
        <f>'Input Sheet year 2'!B149</f>
        <v>Earthquake-Tokyo</v>
      </c>
      <c r="C148" s="29" t="str">
        <f>'Risk Master'!F148</f>
        <v>A103</v>
      </c>
      <c r="D148" s="29">
        <f>VLOOKUP($B148,'Probabilty Distribution'!$A:$CX,$K$1,FALSE)</f>
        <v>0</v>
      </c>
      <c r="E148" s="29">
        <f>VLOOKUP($B148,'Probabilty Distribution'!$A:$CX,$K$2,FALSE)</f>
        <v>0</v>
      </c>
      <c r="F148" s="29">
        <f>VLOOKUP($B148,'Probabilty Distribution'!$A:$CX,$K$3,FALSE)</f>
        <v>1</v>
      </c>
      <c r="G148" s="29">
        <f ca="1">VLOOKUP($B148,'Probabilty Distribution'!$A:$CX,$K$4,FALSE)</f>
        <v>1</v>
      </c>
      <c r="H148" s="29">
        <f ca="1">VLOOKUP($B148,'Probabilty Distribution'!$A:$CX,$K$5,FALSE)</f>
        <v>1</v>
      </c>
    </row>
    <row r="149" spans="1:8" x14ac:dyDescent="0.2">
      <c r="A149" s="37" t="str">
        <f>'Risk Master'!B149&amp;"-"&amp;'Risk Master'!D149</f>
        <v>Thunderstorms, Tornados &amp; Hail-Tokyo</v>
      </c>
      <c r="B149" s="37" t="str">
        <f>'Input Sheet year 2'!B150</f>
        <v>Thunderstorms, Tornados &amp; Hail-Tokyo</v>
      </c>
      <c r="C149" s="29" t="str">
        <f>'Risk Master'!F149</f>
        <v>A105</v>
      </c>
      <c r="D149" s="29">
        <f>VLOOKUP($B149,'Probabilty Distribution'!$A:$CX,$K$1,FALSE)</f>
        <v>0</v>
      </c>
      <c r="E149" s="29">
        <f>VLOOKUP($B149,'Probabilty Distribution'!$A:$CX,$K$2,FALSE)</f>
        <v>0</v>
      </c>
      <c r="F149" s="29">
        <f>VLOOKUP($B149,'Probabilty Distribution'!$A:$CX,$K$3,FALSE)</f>
        <v>0</v>
      </c>
      <c r="G149" s="29">
        <f ca="1">VLOOKUP($B149,'Probabilty Distribution'!$A:$CX,$K$4,FALSE)</f>
        <v>0</v>
      </c>
      <c r="H149" s="29">
        <f ca="1">VLOOKUP($B149,'Probabilty Distribution'!$A:$CX,$K$5,FALSE)</f>
        <v>1</v>
      </c>
    </row>
    <row r="150" spans="1:8" x14ac:dyDescent="0.2">
      <c r="A150" s="37" t="str">
        <f>'Risk Master'!B150&amp;"-"&amp;'Risk Master'!D150</f>
        <v>Hurricane-Typhoon -Tokyo</v>
      </c>
      <c r="B150" s="37" t="str">
        <f>'Input Sheet year 2'!B151</f>
        <v>Hurricane-Typhoon -Tokyo</v>
      </c>
      <c r="C150" s="29" t="str">
        <f>'Risk Master'!F150</f>
        <v>A105</v>
      </c>
      <c r="D150" s="29">
        <f>VLOOKUP($B150,'Probabilty Distribution'!$A:$CX,$K$1,FALSE)</f>
        <v>0</v>
      </c>
      <c r="E150" s="29">
        <f>VLOOKUP($B150,'Probabilty Distribution'!$A:$CX,$K$2,FALSE)</f>
        <v>1</v>
      </c>
      <c r="F150" s="29">
        <f>VLOOKUP($B150,'Probabilty Distribution'!$A:$CX,$K$3,FALSE)</f>
        <v>0</v>
      </c>
      <c r="G150" s="29">
        <f ca="1">VLOOKUP($B150,'Probabilty Distribution'!$A:$CX,$K$4,FALSE)</f>
        <v>0</v>
      </c>
      <c r="H150" s="29">
        <f ca="1">VLOOKUP($B150,'Probabilty Distribution'!$A:$CX,$K$5,FALSE)</f>
        <v>0</v>
      </c>
    </row>
    <row r="151" spans="1:8" x14ac:dyDescent="0.2">
      <c r="A151" s="37" t="str">
        <f>'Risk Master'!B151&amp;"-"&amp;'Risk Master'!D151</f>
        <v>Earthquake-Tokyo</v>
      </c>
      <c r="B151" s="37" t="str">
        <f>'Input Sheet year 2'!B152</f>
        <v>Earthquake-Tokyo</v>
      </c>
      <c r="C151" s="29" t="str">
        <f>'Risk Master'!F151</f>
        <v>A105</v>
      </c>
      <c r="D151" s="29">
        <f>VLOOKUP($B151,'Probabilty Distribution'!$A:$CX,$K$1,FALSE)</f>
        <v>0</v>
      </c>
      <c r="E151" s="29">
        <f>VLOOKUP($B151,'Probabilty Distribution'!$A:$CX,$K$2,FALSE)</f>
        <v>0</v>
      </c>
      <c r="F151" s="29">
        <f>VLOOKUP($B151,'Probabilty Distribution'!$A:$CX,$K$3,FALSE)</f>
        <v>1</v>
      </c>
      <c r="G151" s="29">
        <f ca="1">VLOOKUP($B151,'Probabilty Distribution'!$A:$CX,$K$4,FALSE)</f>
        <v>1</v>
      </c>
      <c r="H151" s="29">
        <f ca="1">VLOOKUP($B151,'Probabilty Distribution'!$A:$CX,$K$5,FALSE)</f>
        <v>1</v>
      </c>
    </row>
    <row r="152" spans="1:8" x14ac:dyDescent="0.2">
      <c r="A152" s="37" t="str">
        <f>'Risk Master'!B152&amp;"-"&amp;'Risk Master'!D152</f>
        <v>Fire-Tokyo</v>
      </c>
      <c r="B152" s="37" t="str">
        <f>'Input Sheet year 2'!B153</f>
        <v>Fire-Tokyo</v>
      </c>
      <c r="C152" s="29" t="str">
        <f>'Risk Master'!F152</f>
        <v>A94</v>
      </c>
      <c r="D152" s="29">
        <f>VLOOKUP($B152,'Probabilty Distribution'!$A:$CX,$K$1,FALSE)</f>
        <v>0</v>
      </c>
      <c r="E152" s="29">
        <f>VLOOKUP($B152,'Probabilty Distribution'!$A:$CX,$K$2,FALSE)</f>
        <v>0</v>
      </c>
      <c r="F152" s="29">
        <f>VLOOKUP($B152,'Probabilty Distribution'!$A:$CX,$K$3,FALSE)</f>
        <v>1</v>
      </c>
      <c r="G152" s="29">
        <f ca="1">VLOOKUP($B152,'Probabilty Distribution'!$A:$CX,$K$4,FALSE)</f>
        <v>0</v>
      </c>
      <c r="H152" s="29">
        <f ca="1">VLOOKUP($B152,'Probabilty Distribution'!$A:$CX,$K$5,FALSE)</f>
        <v>0</v>
      </c>
    </row>
    <row r="153" spans="1:8" x14ac:dyDescent="0.2">
      <c r="A153" s="37" t="str">
        <f>'Risk Master'!B153&amp;"-"&amp;'Risk Master'!D153</f>
        <v>Thunderstorms, Tornados &amp; Hail-Tokyo</v>
      </c>
      <c r="B153" s="37" t="str">
        <f>'Input Sheet year 2'!B154</f>
        <v>Thunderstorms, Tornados &amp; Hail-Tokyo</v>
      </c>
      <c r="C153" s="29" t="str">
        <f>'Risk Master'!F153</f>
        <v>A98</v>
      </c>
      <c r="D153" s="29">
        <f>VLOOKUP($B153,'Probabilty Distribution'!$A:$CX,$K$1,FALSE)</f>
        <v>0</v>
      </c>
      <c r="E153" s="29">
        <f>VLOOKUP($B153,'Probabilty Distribution'!$A:$CX,$K$2,FALSE)</f>
        <v>0</v>
      </c>
      <c r="F153" s="29">
        <f>VLOOKUP($B153,'Probabilty Distribution'!$A:$CX,$K$3,FALSE)</f>
        <v>0</v>
      </c>
      <c r="G153" s="29">
        <f ca="1">VLOOKUP($B153,'Probabilty Distribution'!$A:$CX,$K$4,FALSE)</f>
        <v>0</v>
      </c>
      <c r="H153" s="29">
        <f ca="1">VLOOKUP($B153,'Probabilty Distribution'!$A:$CX,$K$5,FALSE)</f>
        <v>1</v>
      </c>
    </row>
    <row r="154" spans="1:8" x14ac:dyDescent="0.2">
      <c r="A154" s="37" t="str">
        <f>'Risk Master'!B154&amp;"-"&amp;'Risk Master'!D154</f>
        <v>Tropical Storm Danas-Tokyo</v>
      </c>
      <c r="B154" s="37" t="str">
        <f>'Input Sheet year 2'!B155</f>
        <v>Tropical Storm-Tokyo</v>
      </c>
      <c r="C154" s="29" t="str">
        <f>'Risk Master'!F154</f>
        <v>A99</v>
      </c>
      <c r="D154" s="29">
        <f>VLOOKUP($B154,'Probabilty Distribution'!$A:$CX,$K$1,FALSE)</f>
        <v>0</v>
      </c>
      <c r="E154" s="29">
        <f>VLOOKUP($B154,'Probabilty Distribution'!$A:$CX,$K$2,FALSE)</f>
        <v>0</v>
      </c>
      <c r="F154" s="29">
        <f>VLOOKUP($B154,'Probabilty Distribution'!$A:$CX,$K$3,FALSE)</f>
        <v>0</v>
      </c>
      <c r="G154" s="29">
        <f ca="1">VLOOKUP($B154,'Probabilty Distribution'!$A:$CX,$K$4,FALSE)</f>
        <v>0</v>
      </c>
      <c r="H154" s="29">
        <f ca="1">VLOOKUP($B154,'Probabilty Distribution'!$A:$CX,$K$5,FALSE)</f>
        <v>0</v>
      </c>
    </row>
    <row r="155" spans="1:8" x14ac:dyDescent="0.2">
      <c r="A155" s="37" t="str">
        <f>'Risk Master'!B155&amp;"-"&amp;'Risk Master'!D155</f>
        <v>Earthquake-Tokyo</v>
      </c>
      <c r="B155" s="37" t="str">
        <f>'Input Sheet year 2'!B156</f>
        <v>Earthquake-Tokyo</v>
      </c>
      <c r="C155" s="29" t="str">
        <f>'Risk Master'!F155</f>
        <v>A98</v>
      </c>
      <c r="D155" s="29">
        <f>VLOOKUP($B155,'Probabilty Distribution'!$A:$CX,$K$1,FALSE)</f>
        <v>0</v>
      </c>
      <c r="E155" s="29">
        <f>VLOOKUP($B155,'Probabilty Distribution'!$A:$CX,$K$2,FALSE)</f>
        <v>0</v>
      </c>
      <c r="F155" s="29">
        <f>VLOOKUP($B155,'Probabilty Distribution'!$A:$CX,$K$3,FALSE)</f>
        <v>1</v>
      </c>
      <c r="G155" s="29">
        <f ca="1">VLOOKUP($B155,'Probabilty Distribution'!$A:$CX,$K$4,FALSE)</f>
        <v>1</v>
      </c>
      <c r="H155" s="29">
        <f ca="1">VLOOKUP($B155,'Probabilty Distribution'!$A:$CX,$K$5,FALSE)</f>
        <v>1</v>
      </c>
    </row>
    <row r="156" spans="1:8" x14ac:dyDescent="0.2">
      <c r="A156" s="37" t="str">
        <f>'Risk Master'!B156&amp;"-"&amp;'Risk Master'!D156</f>
        <v>Fire-Tokyo</v>
      </c>
      <c r="B156" s="37" t="str">
        <f>'Input Sheet year 2'!B157</f>
        <v>Fire-Tokyo</v>
      </c>
      <c r="C156" s="29" t="str">
        <f>'Risk Master'!F156</f>
        <v>A99</v>
      </c>
      <c r="D156" s="29">
        <f>VLOOKUP($B156,'Probabilty Distribution'!$A:$CX,$K$1,FALSE)</f>
        <v>0</v>
      </c>
      <c r="E156" s="29">
        <f>VLOOKUP($B156,'Probabilty Distribution'!$A:$CX,$K$2,FALSE)</f>
        <v>0</v>
      </c>
      <c r="F156" s="29">
        <f>VLOOKUP($B156,'Probabilty Distribution'!$A:$CX,$K$3,FALSE)</f>
        <v>1</v>
      </c>
      <c r="G156" s="29">
        <f ca="1">VLOOKUP($B156,'Probabilty Distribution'!$A:$CX,$K$4,FALSE)</f>
        <v>0</v>
      </c>
      <c r="H156" s="29">
        <f ca="1">VLOOKUP($B156,'Probabilty Distribution'!$A:$CX,$K$5,FALSE)</f>
        <v>0</v>
      </c>
    </row>
    <row r="157" spans="1:8" x14ac:dyDescent="0.2">
      <c r="A157" s="37" t="str">
        <f>'Risk Master'!B157&amp;"-"&amp;'Risk Master'!D157</f>
        <v>Fire-Tokyo</v>
      </c>
      <c r="B157" s="37" t="str">
        <f>'Input Sheet year 2'!B158</f>
        <v>Fire-Tokyo</v>
      </c>
      <c r="C157" s="29" t="str">
        <f>'Risk Master'!F157</f>
        <v>A98</v>
      </c>
      <c r="D157" s="29">
        <f>VLOOKUP($B157,'Probabilty Distribution'!$A:$CX,$K$1,FALSE)</f>
        <v>0</v>
      </c>
      <c r="E157" s="29">
        <f>VLOOKUP($B157,'Probabilty Distribution'!$A:$CX,$K$2,FALSE)</f>
        <v>0</v>
      </c>
      <c r="F157" s="29">
        <f>VLOOKUP($B157,'Probabilty Distribution'!$A:$CX,$K$3,FALSE)</f>
        <v>1</v>
      </c>
      <c r="G157" s="29">
        <f ca="1">VLOOKUP($B157,'Probabilty Distribution'!$A:$CX,$K$4,FALSE)</f>
        <v>0</v>
      </c>
      <c r="H157" s="29">
        <f ca="1">VLOOKUP($B157,'Probabilty Distribution'!$A:$CX,$K$5,FALSE)</f>
        <v>0</v>
      </c>
    </row>
    <row r="158" spans="1:8" ht="25.5" x14ac:dyDescent="0.2">
      <c r="A158" s="37" t="str">
        <f>'Risk Master'!B158&amp;"-"&amp;'Risk Master'!D158</f>
        <v>Tropical Storm Chantal-Caribbean Islands</v>
      </c>
      <c r="B158" s="37" t="str">
        <f>'Input Sheet year 2'!B159</f>
        <v>Thunderstorms, Tornados &amp; Tropical storms-Caribbean Islands</v>
      </c>
      <c r="C158" s="29" t="str">
        <f>'Risk Master'!F158</f>
        <v>A109</v>
      </c>
      <c r="D158" s="29">
        <f>VLOOKUP($B158,'Probabilty Distribution'!$A:$CX,$K$1,FALSE)</f>
        <v>1</v>
      </c>
      <c r="E158" s="29">
        <f>VLOOKUP($B158,'Probabilty Distribution'!$A:$CX,$K$2,FALSE)</f>
        <v>0</v>
      </c>
      <c r="F158" s="29">
        <f>VLOOKUP($B158,'Probabilty Distribution'!$A:$CX,$K$3,FALSE)</f>
        <v>1</v>
      </c>
      <c r="G158" s="29">
        <f ca="1">VLOOKUP($B158,'Probabilty Distribution'!$A:$CX,$K$4,FALSE)</f>
        <v>0</v>
      </c>
      <c r="H158" s="29">
        <f ca="1">VLOOKUP($B158,'Probabilty Distribution'!$A:$CX,$K$5,FALSE)</f>
        <v>0</v>
      </c>
    </row>
    <row r="159" spans="1:8" ht="25.5" x14ac:dyDescent="0.2">
      <c r="A159" s="37" t="str">
        <f>'Risk Master'!B159&amp;"-"&amp;'Risk Master'!D159</f>
        <v>Tropical Storm Gabrielle-Caribbean Islands</v>
      </c>
      <c r="B159" s="37" t="str">
        <f>'Input Sheet year 2'!B160</f>
        <v>Thunderstorms, Tornados &amp; Tropical storms-Caribbean Islands</v>
      </c>
      <c r="C159" s="29" t="str">
        <f>'Risk Master'!F159</f>
        <v>A109</v>
      </c>
      <c r="D159" s="29">
        <f>VLOOKUP($B159,'Probabilty Distribution'!$A:$CX,$K$1,FALSE)</f>
        <v>1</v>
      </c>
      <c r="E159" s="29">
        <f>VLOOKUP($B159,'Probabilty Distribution'!$A:$CX,$K$2,FALSE)</f>
        <v>0</v>
      </c>
      <c r="F159" s="29">
        <f>VLOOKUP($B159,'Probabilty Distribution'!$A:$CX,$K$3,FALSE)</f>
        <v>1</v>
      </c>
      <c r="G159" s="29">
        <f ca="1">VLOOKUP($B159,'Probabilty Distribution'!$A:$CX,$K$4,FALSE)</f>
        <v>0</v>
      </c>
      <c r="H159" s="29">
        <f ca="1">VLOOKUP($B159,'Probabilty Distribution'!$A:$CX,$K$5,FALSE)</f>
        <v>0</v>
      </c>
    </row>
    <row r="160" spans="1:8" ht="25.5" x14ac:dyDescent="0.2">
      <c r="A160" s="37" t="str">
        <f>'Risk Master'!B160&amp;"-"&amp;'Risk Master'!D160</f>
        <v>Typhoon Wutip (Paolo)-Caribbean Islands</v>
      </c>
      <c r="B160" s="37" t="str">
        <f>'Input Sheet year 2'!B161</f>
        <v>Thunderstorms, Tornados &amp; Tropical storms-Caribbean Islands</v>
      </c>
      <c r="C160" s="29" t="str">
        <f>'Risk Master'!F160</f>
        <v>A113</v>
      </c>
      <c r="D160" s="29">
        <f>VLOOKUP($B160,'Probabilty Distribution'!$A:$CX,$K$1,FALSE)</f>
        <v>1</v>
      </c>
      <c r="E160" s="29">
        <f>VLOOKUP($B160,'Probabilty Distribution'!$A:$CX,$K$2,FALSE)</f>
        <v>0</v>
      </c>
      <c r="F160" s="29">
        <f>VLOOKUP($B160,'Probabilty Distribution'!$A:$CX,$K$3,FALSE)</f>
        <v>1</v>
      </c>
      <c r="G160" s="29">
        <f ca="1">VLOOKUP($B160,'Probabilty Distribution'!$A:$CX,$K$4,FALSE)</f>
        <v>0</v>
      </c>
      <c r="H160" s="29">
        <f ca="1">VLOOKUP($B160,'Probabilty Distribution'!$A:$CX,$K$5,FALSE)</f>
        <v>0</v>
      </c>
    </row>
    <row r="161" spans="1:8" x14ac:dyDescent="0.2">
      <c r="A161" s="37" t="str">
        <f>'Risk Master'!B161&amp;"-"&amp;'Risk Master'!D161</f>
        <v>Earthquake-Caribbean Islands</v>
      </c>
      <c r="B161" s="37" t="str">
        <f>'Input Sheet year 2'!B162</f>
        <v>Earthquake-Caribbean Islands</v>
      </c>
      <c r="C161" s="29" t="str">
        <f>'Risk Master'!F161</f>
        <v>A113</v>
      </c>
      <c r="D161" s="29">
        <f>VLOOKUP($B161,'Probabilty Distribution'!$A:$CX,$K$1,FALSE)</f>
        <v>0</v>
      </c>
      <c r="E161" s="29">
        <f>VLOOKUP($B161,'Probabilty Distribution'!$A:$CX,$K$2,FALSE)</f>
        <v>0</v>
      </c>
      <c r="F161" s="29">
        <f>VLOOKUP($B161,'Probabilty Distribution'!$A:$CX,$K$3,FALSE)</f>
        <v>1</v>
      </c>
      <c r="G161" s="29">
        <f ca="1">VLOOKUP($B161,'Probabilty Distribution'!$A:$CX,$K$4,FALSE)</f>
        <v>0</v>
      </c>
      <c r="H161" s="29">
        <f ca="1">VLOOKUP($B161,'Probabilty Distribution'!$A:$CX,$K$5,FALSE)</f>
        <v>0</v>
      </c>
    </row>
    <row r="162" spans="1:8" x14ac:dyDescent="0.2">
      <c r="A162" s="37" t="str">
        <f>'Risk Master'!B162&amp;"-"&amp;'Risk Master'!D162</f>
        <v>Thunderstorms, Tornados &amp; Hail-Caribbean Islands</v>
      </c>
      <c r="B162" s="37" t="str">
        <f>'Input Sheet year 2'!B163</f>
        <v>Thunderstorms, Tornados &amp; Hail-Caribbean Islands</v>
      </c>
      <c r="C162" s="29" t="str">
        <f>'Risk Master'!F162</f>
        <v>A113</v>
      </c>
      <c r="D162" s="29">
        <f>VLOOKUP($B162,'Probabilty Distribution'!$A:$CX,$K$1,FALSE)</f>
        <v>0</v>
      </c>
      <c r="E162" s="29">
        <f>VLOOKUP($B162,'Probabilty Distribution'!$A:$CX,$K$2,FALSE)</f>
        <v>0</v>
      </c>
      <c r="F162" s="29">
        <f>VLOOKUP($B162,'Probabilty Distribution'!$A:$CX,$K$3,FALSE)</f>
        <v>1</v>
      </c>
      <c r="G162" s="29">
        <f ca="1">VLOOKUP($B162,'Probabilty Distribution'!$A:$CX,$K$4,FALSE)</f>
        <v>1</v>
      </c>
      <c r="H162" s="29">
        <f ca="1">VLOOKUP($B162,'Probabilty Distribution'!$A:$CX,$K$5,FALSE)</f>
        <v>1</v>
      </c>
    </row>
    <row r="163" spans="1:8" ht="25.5" x14ac:dyDescent="0.2">
      <c r="A163" s="37" t="str">
        <f>'Risk Master'!B163&amp;"-"&amp;'Risk Master'!D163</f>
        <v>Tropical Storm Humberto-Caribbean Islands</v>
      </c>
      <c r="B163" s="37" t="str">
        <f>'Input Sheet year 2'!B164</f>
        <v>Thunderstorms, Tornados &amp; Tropical storms-Caribbean Islands</v>
      </c>
      <c r="C163" s="29" t="str">
        <f>'Risk Master'!F163</f>
        <v>A109</v>
      </c>
      <c r="D163" s="29">
        <f>VLOOKUP($B163,'Probabilty Distribution'!$A:$CX,$K$1,FALSE)</f>
        <v>1</v>
      </c>
      <c r="E163" s="29">
        <f>VLOOKUP($B163,'Probabilty Distribution'!$A:$CX,$K$2,FALSE)</f>
        <v>0</v>
      </c>
      <c r="F163" s="29">
        <f>VLOOKUP($B163,'Probabilty Distribution'!$A:$CX,$K$3,FALSE)</f>
        <v>1</v>
      </c>
      <c r="G163" s="29">
        <f ca="1">VLOOKUP($B163,'Probabilty Distribution'!$A:$CX,$K$4,FALSE)</f>
        <v>0</v>
      </c>
      <c r="H163" s="29">
        <f ca="1">VLOOKUP($B163,'Probabilty Distribution'!$A:$CX,$K$5,FALSE)</f>
        <v>0</v>
      </c>
    </row>
    <row r="164" spans="1:8" x14ac:dyDescent="0.2">
      <c r="A164" s="37" t="str">
        <f>'Risk Master'!B164&amp;"-"&amp;'Risk Master'!D164</f>
        <v>Earthquake-Caribbean Islands</v>
      </c>
      <c r="B164" s="37" t="str">
        <f>'Input Sheet year 2'!B165</f>
        <v>Earthquake-Caribbean Islands</v>
      </c>
      <c r="C164" s="29" t="str">
        <f>'Risk Master'!F164</f>
        <v>A118</v>
      </c>
      <c r="D164" s="29">
        <f>VLOOKUP($B164,'Probabilty Distribution'!$A:$CX,$K$1,FALSE)</f>
        <v>0</v>
      </c>
      <c r="E164" s="29">
        <f>VLOOKUP($B164,'Probabilty Distribution'!$A:$CX,$K$2,FALSE)</f>
        <v>0</v>
      </c>
      <c r="F164" s="29">
        <f>VLOOKUP($B164,'Probabilty Distribution'!$A:$CX,$K$3,FALSE)</f>
        <v>1</v>
      </c>
      <c r="G164" s="29">
        <f ca="1">VLOOKUP($B164,'Probabilty Distribution'!$A:$CX,$K$4,FALSE)</f>
        <v>0</v>
      </c>
      <c r="H164" s="29">
        <f ca="1">VLOOKUP($B164,'Probabilty Distribution'!$A:$CX,$K$5,FALSE)</f>
        <v>0</v>
      </c>
    </row>
    <row r="165" spans="1:8" x14ac:dyDescent="0.2">
      <c r="A165" s="37" t="str">
        <f>'Risk Master'!B165&amp;"-"&amp;'Risk Master'!D165</f>
        <v>Hurricane-Typhoon -Caribbean Islands</v>
      </c>
      <c r="B165" s="37" t="str">
        <f>'Input Sheet year 2'!B166</f>
        <v>Hurricane-Typhoon -Caribbean Islands</v>
      </c>
      <c r="C165" s="29" t="str">
        <f>'Risk Master'!F165</f>
        <v>A118</v>
      </c>
      <c r="D165" s="29">
        <f>VLOOKUP($B165,'Probabilty Distribution'!$A:$CX,$K$1,FALSE)</f>
        <v>1</v>
      </c>
      <c r="E165" s="29">
        <f>VLOOKUP($B165,'Probabilty Distribution'!$A:$CX,$K$2,FALSE)</f>
        <v>1</v>
      </c>
      <c r="F165" s="29">
        <f>VLOOKUP($B165,'Probabilty Distribution'!$A:$CX,$K$3,FALSE)</f>
        <v>0</v>
      </c>
      <c r="G165" s="29">
        <f ca="1">VLOOKUP($B165,'Probabilty Distribution'!$A:$CX,$K$4,FALSE)</f>
        <v>0</v>
      </c>
      <c r="H165" s="29">
        <f ca="1">VLOOKUP($B165,'Probabilty Distribution'!$A:$CX,$K$5,FALSE)</f>
        <v>0</v>
      </c>
    </row>
    <row r="166" spans="1:8" x14ac:dyDescent="0.2">
      <c r="A166" s="37" t="str">
        <f>'Risk Master'!B166&amp;"-"&amp;'Risk Master'!D166</f>
        <v>Thunderstorms, Tornados &amp; Hail-Caribbean Islands</v>
      </c>
      <c r="B166" s="37" t="str">
        <f>'Input Sheet year 2'!B167</f>
        <v>Thunderstorms, Tornados &amp; Hail-Caribbean Islands</v>
      </c>
      <c r="C166" s="29" t="str">
        <f>'Risk Master'!F166</f>
        <v>A118</v>
      </c>
      <c r="D166" s="29">
        <f>VLOOKUP($B166,'Probabilty Distribution'!$A:$CX,$K$1,FALSE)</f>
        <v>0</v>
      </c>
      <c r="E166" s="29">
        <f>VLOOKUP($B166,'Probabilty Distribution'!$A:$CX,$K$2,FALSE)</f>
        <v>0</v>
      </c>
      <c r="F166" s="29">
        <f>VLOOKUP($B166,'Probabilty Distribution'!$A:$CX,$K$3,FALSE)</f>
        <v>1</v>
      </c>
      <c r="G166" s="29">
        <f ca="1">VLOOKUP($B166,'Probabilty Distribution'!$A:$CX,$K$4,FALSE)</f>
        <v>1</v>
      </c>
      <c r="H166" s="29">
        <f ca="1">VLOOKUP($B166,'Probabilty Distribution'!$A:$CX,$K$5,FALSE)</f>
        <v>1</v>
      </c>
    </row>
    <row r="167" spans="1:8" x14ac:dyDescent="0.2">
      <c r="A167" s="37" t="str">
        <f>'Risk Master'!B167&amp;"-"&amp;'Risk Master'!D167</f>
        <v>Hurricane-Typhoon -Caribbean Islands</v>
      </c>
      <c r="B167" s="37" t="str">
        <f>'Input Sheet year 2'!B168</f>
        <v>Hurricane-Typhoon -Caribbean Islands</v>
      </c>
      <c r="C167" s="29" t="str">
        <f>'Risk Master'!F167</f>
        <v>A120</v>
      </c>
      <c r="D167" s="29">
        <f>VLOOKUP($B167,'Probabilty Distribution'!$A:$CX,$K$1,FALSE)</f>
        <v>1</v>
      </c>
      <c r="E167" s="29">
        <f>VLOOKUP($B167,'Probabilty Distribution'!$A:$CX,$K$2,FALSE)</f>
        <v>1</v>
      </c>
      <c r="F167" s="29">
        <f>VLOOKUP($B167,'Probabilty Distribution'!$A:$CX,$K$3,FALSE)</f>
        <v>0</v>
      </c>
      <c r="G167" s="29">
        <f ca="1">VLOOKUP($B167,'Probabilty Distribution'!$A:$CX,$K$4,FALSE)</f>
        <v>0</v>
      </c>
      <c r="H167" s="29">
        <f ca="1">VLOOKUP($B167,'Probabilty Distribution'!$A:$CX,$K$5,FALSE)</f>
        <v>0</v>
      </c>
    </row>
    <row r="168" spans="1:8" x14ac:dyDescent="0.2">
      <c r="A168" s="37" t="str">
        <f>'Risk Master'!B168&amp;"-"&amp;'Risk Master'!D168</f>
        <v>Earthquake-Caribbean Islands</v>
      </c>
      <c r="B168" s="37" t="str">
        <f>'Input Sheet year 2'!B169</f>
        <v>Earthquake-Caribbean Islands</v>
      </c>
      <c r="C168" s="29" t="str">
        <f>'Risk Master'!F168</f>
        <v>A120</v>
      </c>
      <c r="D168" s="29">
        <f>VLOOKUP($B168,'Probabilty Distribution'!$A:$CX,$K$1,FALSE)</f>
        <v>0</v>
      </c>
      <c r="E168" s="29">
        <f>VLOOKUP($B168,'Probabilty Distribution'!$A:$CX,$K$2,FALSE)</f>
        <v>0</v>
      </c>
      <c r="F168" s="29">
        <f>VLOOKUP($B168,'Probabilty Distribution'!$A:$CX,$K$3,FALSE)</f>
        <v>1</v>
      </c>
      <c r="G168" s="29">
        <f ca="1">VLOOKUP($B168,'Probabilty Distribution'!$A:$CX,$K$4,FALSE)</f>
        <v>0</v>
      </c>
      <c r="H168" s="29">
        <f ca="1">VLOOKUP($B168,'Probabilty Distribution'!$A:$CX,$K$5,FALSE)</f>
        <v>0</v>
      </c>
    </row>
    <row r="169" spans="1:8" x14ac:dyDescent="0.2">
      <c r="A169" s="37" t="str">
        <f>'Risk Master'!B169&amp;"-"&amp;'Risk Master'!D169</f>
        <v>Fire-Caribbean Islands</v>
      </c>
      <c r="B169" s="37" t="str">
        <f>'Input Sheet year 2'!B170</f>
        <v>Fire-Caribbean Islands</v>
      </c>
      <c r="C169" s="29" t="str">
        <f>'Risk Master'!F169</f>
        <v>A120</v>
      </c>
      <c r="D169" s="29">
        <f>VLOOKUP($B169,'Probabilty Distribution'!$A:$CX,$K$1,FALSE)</f>
        <v>1</v>
      </c>
      <c r="E169" s="29">
        <f>VLOOKUP($B169,'Probabilty Distribution'!$A:$CX,$K$2,FALSE)</f>
        <v>0</v>
      </c>
      <c r="F169" s="29">
        <f>VLOOKUP($B169,'Probabilty Distribution'!$A:$CX,$K$3,FALSE)</f>
        <v>0</v>
      </c>
      <c r="G169" s="29">
        <f ca="1">VLOOKUP($B169,'Probabilty Distribution'!$A:$CX,$K$4,FALSE)</f>
        <v>0</v>
      </c>
      <c r="H169" s="29">
        <f ca="1">VLOOKUP($B169,'Probabilty Distribution'!$A:$CX,$K$5,FALSE)</f>
        <v>0</v>
      </c>
    </row>
    <row r="170" spans="1:8" x14ac:dyDescent="0.2">
      <c r="A170" s="37" t="str">
        <f>'Risk Master'!B170&amp;"-"&amp;'Risk Master'!D170</f>
        <v>Tropical Storm Chantal-Caribbean Islands</v>
      </c>
      <c r="B170" s="37" t="str">
        <f>'Input Sheet year 2'!B171</f>
        <v>Tropical Storm-Caribbean Islands</v>
      </c>
      <c r="C170" s="29" t="str">
        <f>'Risk Master'!F170</f>
        <v>A120</v>
      </c>
      <c r="D170" s="29">
        <f>VLOOKUP($B170,'Probabilty Distribution'!$A:$CX,$K$1,FALSE)</f>
        <v>0</v>
      </c>
      <c r="E170" s="29">
        <f>VLOOKUP($B170,'Probabilty Distribution'!$A:$CX,$K$2,FALSE)</f>
        <v>0</v>
      </c>
      <c r="F170" s="29">
        <f>VLOOKUP($B170,'Probabilty Distribution'!$A:$CX,$K$3,FALSE)</f>
        <v>0</v>
      </c>
      <c r="G170" s="29">
        <f ca="1">VLOOKUP($B170,'Probabilty Distribution'!$A:$CX,$K$4,FALSE)</f>
        <v>0</v>
      </c>
      <c r="H170" s="29">
        <f ca="1">VLOOKUP($B170,'Probabilty Distribution'!$A:$CX,$K$5,FALSE)</f>
        <v>0</v>
      </c>
    </row>
    <row r="171" spans="1:8" x14ac:dyDescent="0.2">
      <c r="A171" s="37" t="str">
        <f>'Risk Master'!B171&amp;"-"&amp;'Risk Master'!D171</f>
        <v>Earthquake-Texas</v>
      </c>
      <c r="B171" s="37" t="str">
        <f>'Input Sheet year 2'!B172</f>
        <v>Earthquake-Texas</v>
      </c>
      <c r="C171" s="29" t="str">
        <f>'Risk Master'!F171</f>
        <v>A124</v>
      </c>
      <c r="D171" s="29">
        <f>VLOOKUP($B171,'Probabilty Distribution'!$A:$CX,$K$1,FALSE)</f>
        <v>0</v>
      </c>
      <c r="E171" s="29">
        <f>VLOOKUP($B171,'Probabilty Distribution'!$A:$CX,$K$2,FALSE)</f>
        <v>0</v>
      </c>
      <c r="F171" s="29">
        <f>VLOOKUP($B171,'Probabilty Distribution'!$A:$CX,$K$3,FALSE)</f>
        <v>0</v>
      </c>
      <c r="G171" s="29">
        <f ca="1">VLOOKUP($B171,'Probabilty Distribution'!$A:$CX,$K$4,FALSE)</f>
        <v>0</v>
      </c>
      <c r="H171" s="29">
        <f ca="1">VLOOKUP($B171,'Probabilty Distribution'!$A:$CX,$K$5,FALSE)</f>
        <v>0</v>
      </c>
    </row>
    <row r="172" spans="1:8" x14ac:dyDescent="0.2">
      <c r="A172" s="37" t="str">
        <f>'Risk Master'!B172&amp;"-"&amp;'Risk Master'!D172</f>
        <v>Thunderstorms, Tornados &amp; Hail-Texas</v>
      </c>
      <c r="B172" s="37" t="str">
        <f>'Input Sheet year 2'!B173</f>
        <v>Thunderstorms, Tornados &amp; Hail-Texas</v>
      </c>
      <c r="C172" s="29" t="str">
        <f>'Risk Master'!F172</f>
        <v>A124</v>
      </c>
      <c r="D172" s="29">
        <f>VLOOKUP($B172,'Probabilty Distribution'!$A:$CX,$K$1,FALSE)</f>
        <v>0</v>
      </c>
      <c r="E172" s="29">
        <f>VLOOKUP($B172,'Probabilty Distribution'!$A:$CX,$K$2,FALSE)</f>
        <v>0</v>
      </c>
      <c r="F172" s="29">
        <f>VLOOKUP($B172,'Probabilty Distribution'!$A:$CX,$K$3,FALSE)</f>
        <v>0</v>
      </c>
      <c r="G172" s="29">
        <f ca="1">VLOOKUP($B172,'Probabilty Distribution'!$A:$CX,$K$4,FALSE)</f>
        <v>0</v>
      </c>
      <c r="H172" s="29">
        <f ca="1">VLOOKUP($B172,'Probabilty Distribution'!$A:$CX,$K$5,FALSE)</f>
        <v>0</v>
      </c>
    </row>
    <row r="173" spans="1:8" x14ac:dyDescent="0.2">
      <c r="A173" s="37" t="str">
        <f>'Risk Master'!B173&amp;"-"&amp;'Risk Master'!D173</f>
        <v>Hurricane-Typhoon -Texas</v>
      </c>
      <c r="B173" s="37" t="str">
        <f>'Input Sheet year 2'!B174</f>
        <v>Hurricane-Typhoon -Texas</v>
      </c>
      <c r="C173" s="29" t="str">
        <f>'Risk Master'!F173</f>
        <v>A124</v>
      </c>
      <c r="D173" s="29">
        <f>VLOOKUP($B173,'Probabilty Distribution'!$A:$CX,$K$1,FALSE)</f>
        <v>0</v>
      </c>
      <c r="E173" s="29">
        <f>VLOOKUP($B173,'Probabilty Distribution'!$A:$CX,$K$2,FALSE)</f>
        <v>0</v>
      </c>
      <c r="F173" s="29">
        <f>VLOOKUP($B173,'Probabilty Distribution'!$A:$CX,$K$3,FALSE)</f>
        <v>1</v>
      </c>
      <c r="G173" s="29">
        <f ca="1">VLOOKUP($B173,'Probabilty Distribution'!$A:$CX,$K$4,FALSE)</f>
        <v>0</v>
      </c>
      <c r="H173" s="29">
        <f ca="1">VLOOKUP($B173,'Probabilty Distribution'!$A:$CX,$K$5,FALSE)</f>
        <v>0</v>
      </c>
    </row>
    <row r="174" spans="1:8" x14ac:dyDescent="0.2">
      <c r="A174" s="37" t="str">
        <f>'Risk Master'!B174&amp;"-"&amp;'Risk Master'!D174</f>
        <v>Earthquake-Texas</v>
      </c>
      <c r="B174" s="37" t="str">
        <f>'Input Sheet year 2'!B175</f>
        <v>Earthquake-Texas</v>
      </c>
      <c r="C174" s="29" t="str">
        <f>'Risk Master'!F174</f>
        <v>A127</v>
      </c>
      <c r="D174" s="29">
        <f>VLOOKUP($B174,'Probabilty Distribution'!$A:$CX,$K$1,FALSE)</f>
        <v>0</v>
      </c>
      <c r="E174" s="29">
        <f>VLOOKUP($B174,'Probabilty Distribution'!$A:$CX,$K$2,FALSE)</f>
        <v>0</v>
      </c>
      <c r="F174" s="29">
        <f>VLOOKUP($B174,'Probabilty Distribution'!$A:$CX,$K$3,FALSE)</f>
        <v>0</v>
      </c>
      <c r="G174" s="29">
        <f ca="1">VLOOKUP($B174,'Probabilty Distribution'!$A:$CX,$K$4,FALSE)</f>
        <v>0</v>
      </c>
      <c r="H174" s="29">
        <f ca="1">VLOOKUP($B174,'Probabilty Distribution'!$A:$CX,$K$5,FALSE)</f>
        <v>0</v>
      </c>
    </row>
    <row r="175" spans="1:8" x14ac:dyDescent="0.2">
      <c r="A175" s="37" t="str">
        <f>'Risk Master'!B175&amp;"-"&amp;'Risk Master'!D175</f>
        <v>Hurricane-Typhoon -Texas</v>
      </c>
      <c r="B175" s="37" t="str">
        <f>'Input Sheet year 2'!B176</f>
        <v>Hurricane-Typhoon -Texas</v>
      </c>
      <c r="C175" s="29" t="str">
        <f>'Risk Master'!F175</f>
        <v>A128</v>
      </c>
      <c r="D175" s="29">
        <f>VLOOKUP($B175,'Probabilty Distribution'!$A:$CX,$K$1,FALSE)</f>
        <v>0</v>
      </c>
      <c r="E175" s="29">
        <f>VLOOKUP($B175,'Probabilty Distribution'!$A:$CX,$K$2,FALSE)</f>
        <v>0</v>
      </c>
      <c r="F175" s="29">
        <f>VLOOKUP($B175,'Probabilty Distribution'!$A:$CX,$K$3,FALSE)</f>
        <v>1</v>
      </c>
      <c r="G175" s="29">
        <f ca="1">VLOOKUP($B175,'Probabilty Distribution'!$A:$CX,$K$4,FALSE)</f>
        <v>0</v>
      </c>
      <c r="H175" s="29">
        <f ca="1">VLOOKUP($B175,'Probabilty Distribution'!$A:$CX,$K$5,FALSE)</f>
        <v>0</v>
      </c>
    </row>
    <row r="176" spans="1:8" x14ac:dyDescent="0.2">
      <c r="A176" s="37" t="str">
        <f>'Risk Master'!B176&amp;"-"&amp;'Risk Master'!D176</f>
        <v>Thunderstorms, Tornados &amp; Hail-Texas</v>
      </c>
      <c r="B176" s="37" t="str">
        <f>'Input Sheet year 2'!B177</f>
        <v>Thunderstorms, Tornados &amp; Hail-Texas</v>
      </c>
      <c r="C176" s="29" t="str">
        <f>'Risk Master'!F176</f>
        <v>A131</v>
      </c>
      <c r="D176" s="29">
        <f>VLOOKUP($B176,'Probabilty Distribution'!$A:$CX,$K$1,FALSE)</f>
        <v>0</v>
      </c>
      <c r="E176" s="29">
        <f>VLOOKUP($B176,'Probabilty Distribution'!$A:$CX,$K$2,FALSE)</f>
        <v>0</v>
      </c>
      <c r="F176" s="29">
        <f>VLOOKUP($B176,'Probabilty Distribution'!$A:$CX,$K$3,FALSE)</f>
        <v>0</v>
      </c>
      <c r="G176" s="29">
        <f ca="1">VLOOKUP($B176,'Probabilty Distribution'!$A:$CX,$K$4,FALSE)</f>
        <v>0</v>
      </c>
      <c r="H176" s="29">
        <f ca="1">VLOOKUP($B176,'Probabilty Distribution'!$A:$CX,$K$5,FALSE)</f>
        <v>0</v>
      </c>
    </row>
    <row r="177" spans="1:8" x14ac:dyDescent="0.2">
      <c r="A177" s="37" t="str">
        <f>'Risk Master'!B177&amp;"-"&amp;'Risk Master'!D177</f>
        <v>Hurricane-Typhoon -Texas</v>
      </c>
      <c r="B177" s="37" t="str">
        <f>'Input Sheet year 2'!B178</f>
        <v>Hurricane-Typhoon -Texas</v>
      </c>
      <c r="C177" s="29" t="str">
        <f>'Risk Master'!F177</f>
        <v>A131</v>
      </c>
      <c r="D177" s="29">
        <f>VLOOKUP($B177,'Probabilty Distribution'!$A:$CX,$K$1,FALSE)</f>
        <v>0</v>
      </c>
      <c r="E177" s="29">
        <f>VLOOKUP($B177,'Probabilty Distribution'!$A:$CX,$K$2,FALSE)</f>
        <v>0</v>
      </c>
      <c r="F177" s="29">
        <f>VLOOKUP($B177,'Probabilty Distribution'!$A:$CX,$K$3,FALSE)</f>
        <v>1</v>
      </c>
      <c r="G177" s="29">
        <f ca="1">VLOOKUP($B177,'Probabilty Distribution'!$A:$CX,$K$4,FALSE)</f>
        <v>0</v>
      </c>
      <c r="H177" s="29">
        <f ca="1">VLOOKUP($B177,'Probabilty Distribution'!$A:$CX,$K$5,FALSE)</f>
        <v>0</v>
      </c>
    </row>
    <row r="178" spans="1:8" x14ac:dyDescent="0.2">
      <c r="A178" s="37" t="str">
        <f>'Risk Master'!B178&amp;"-"&amp;'Risk Master'!D178</f>
        <v>Earthquake-Texas</v>
      </c>
      <c r="B178" s="37" t="str">
        <f>'Input Sheet year 2'!B179</f>
        <v>Earthquake-Texas</v>
      </c>
      <c r="C178" s="29" t="str">
        <f>'Risk Master'!F178</f>
        <v>A131</v>
      </c>
      <c r="D178" s="29">
        <f>VLOOKUP($B178,'Probabilty Distribution'!$A:$CX,$K$1,FALSE)</f>
        <v>0</v>
      </c>
      <c r="E178" s="29">
        <f>VLOOKUP($B178,'Probabilty Distribution'!$A:$CX,$K$2,FALSE)</f>
        <v>0</v>
      </c>
      <c r="F178" s="29">
        <f>VLOOKUP($B178,'Probabilty Distribution'!$A:$CX,$K$3,FALSE)</f>
        <v>0</v>
      </c>
      <c r="G178" s="29">
        <f ca="1">VLOOKUP($B178,'Probabilty Distribution'!$A:$CX,$K$4,FALSE)</f>
        <v>0</v>
      </c>
      <c r="H178" s="29">
        <f ca="1">VLOOKUP($B178,'Probabilty Distribution'!$A:$CX,$K$5,FALSE)</f>
        <v>0</v>
      </c>
    </row>
    <row r="179" spans="1:8" x14ac:dyDescent="0.2">
      <c r="A179" s="37" t="str">
        <f>'Risk Master'!B179&amp;"-"&amp;'Risk Master'!D179</f>
        <v>Hurricane-Typhoon -Texas</v>
      </c>
      <c r="B179" s="37" t="str">
        <f>'Input Sheet year 2'!B180</f>
        <v>Hurricane-Typhoon -Texas</v>
      </c>
      <c r="C179" s="29" t="str">
        <f>'Risk Master'!F179</f>
        <v>A132</v>
      </c>
      <c r="D179" s="29">
        <f>VLOOKUP($B179,'Probabilty Distribution'!$A:$CX,$K$1,FALSE)</f>
        <v>0</v>
      </c>
      <c r="E179" s="29">
        <f>VLOOKUP($B179,'Probabilty Distribution'!$A:$CX,$K$2,FALSE)</f>
        <v>0</v>
      </c>
      <c r="F179" s="29">
        <f>VLOOKUP($B179,'Probabilty Distribution'!$A:$CX,$K$3,FALSE)</f>
        <v>1</v>
      </c>
      <c r="G179" s="29">
        <f ca="1">VLOOKUP($B179,'Probabilty Distribution'!$A:$CX,$K$4,FALSE)</f>
        <v>0</v>
      </c>
      <c r="H179" s="29">
        <f ca="1">VLOOKUP($B179,'Probabilty Distribution'!$A:$CX,$K$5,FALSE)</f>
        <v>0</v>
      </c>
    </row>
    <row r="180" spans="1:8" x14ac:dyDescent="0.2">
      <c r="A180" s="37" t="str">
        <f>'Risk Master'!B180&amp;"-"&amp;'Risk Master'!D180</f>
        <v>Thunderstorms, Tornados &amp; Hail-Texas</v>
      </c>
      <c r="B180" s="37" t="str">
        <f>'Input Sheet year 2'!B181</f>
        <v>Thunderstorms, Tornados &amp; Hail-Texas</v>
      </c>
      <c r="C180" s="29" t="str">
        <f>'Risk Master'!F180</f>
        <v>A132</v>
      </c>
      <c r="D180" s="29">
        <f>VLOOKUP($B180,'Probabilty Distribution'!$A:$CX,$K$1,FALSE)</f>
        <v>0</v>
      </c>
      <c r="E180" s="29">
        <f>VLOOKUP($B180,'Probabilty Distribution'!$A:$CX,$K$2,FALSE)</f>
        <v>0</v>
      </c>
      <c r="F180" s="29">
        <f>VLOOKUP($B180,'Probabilty Distribution'!$A:$CX,$K$3,FALSE)</f>
        <v>0</v>
      </c>
      <c r="G180" s="29">
        <f ca="1">VLOOKUP($B180,'Probabilty Distribution'!$A:$CX,$K$4,FALSE)</f>
        <v>0</v>
      </c>
      <c r="H180" s="29">
        <f ca="1">VLOOKUP($B180,'Probabilty Distribution'!$A:$CX,$K$5,FALSE)</f>
        <v>0</v>
      </c>
    </row>
    <row r="181" spans="1:8" x14ac:dyDescent="0.2">
      <c r="A181" s="37" t="str">
        <f>'Risk Master'!B181&amp;"-"&amp;'Risk Master'!D181</f>
        <v>Hurricane-Typhoon -Texas</v>
      </c>
      <c r="B181" s="37" t="str">
        <f>'Input Sheet year 2'!B182</f>
        <v>Hurricane-Typhoon -Texas</v>
      </c>
      <c r="C181" s="29" t="str">
        <f>'Risk Master'!F181</f>
        <v>A133</v>
      </c>
      <c r="D181" s="29">
        <f>VLOOKUP($B181,'Probabilty Distribution'!$A:$CX,$K$1,FALSE)</f>
        <v>0</v>
      </c>
      <c r="E181" s="29">
        <f>VLOOKUP($B181,'Probabilty Distribution'!$A:$CX,$K$2,FALSE)</f>
        <v>0</v>
      </c>
      <c r="F181" s="29">
        <f>VLOOKUP($B181,'Probabilty Distribution'!$A:$CX,$K$3,FALSE)</f>
        <v>1</v>
      </c>
      <c r="G181" s="29">
        <f ca="1">VLOOKUP($B181,'Probabilty Distribution'!$A:$CX,$K$4,FALSE)</f>
        <v>0</v>
      </c>
      <c r="H181" s="29">
        <f ca="1">VLOOKUP($B181,'Probabilty Distribution'!$A:$CX,$K$5,FALSE)</f>
        <v>0</v>
      </c>
    </row>
    <row r="182" spans="1:8" x14ac:dyDescent="0.2">
      <c r="A182" s="37" t="str">
        <f>'Risk Master'!B182&amp;"-"&amp;'Risk Master'!D182</f>
        <v>Earthquake-Texas</v>
      </c>
      <c r="B182" s="37" t="str">
        <f>'Input Sheet year 2'!B183</f>
        <v>Earthquake-Texas</v>
      </c>
      <c r="C182" s="29" t="str">
        <f>'Risk Master'!F182</f>
        <v>A135</v>
      </c>
      <c r="D182" s="29">
        <f>VLOOKUP($B182,'Probabilty Distribution'!$A:$CX,$K$1,FALSE)</f>
        <v>0</v>
      </c>
      <c r="E182" s="29">
        <f>VLOOKUP($B182,'Probabilty Distribution'!$A:$CX,$K$2,FALSE)</f>
        <v>0</v>
      </c>
      <c r="F182" s="29">
        <f>VLOOKUP($B182,'Probabilty Distribution'!$A:$CX,$K$3,FALSE)</f>
        <v>0</v>
      </c>
      <c r="G182" s="29">
        <f ca="1">VLOOKUP($B182,'Probabilty Distribution'!$A:$CX,$K$4,FALSE)</f>
        <v>0</v>
      </c>
      <c r="H182" s="29">
        <f ca="1">VLOOKUP($B182,'Probabilty Distribution'!$A:$CX,$K$5,FALSE)</f>
        <v>0</v>
      </c>
    </row>
    <row r="183" spans="1:8" x14ac:dyDescent="0.2">
      <c r="A183" s="37" t="str">
        <f>'Risk Master'!B183&amp;"-"&amp;'Risk Master'!D183</f>
        <v>Hurricane-Typhoon -Texas</v>
      </c>
      <c r="B183" s="37" t="str">
        <f>'Input Sheet year 2'!B184</f>
        <v>Hurricane-Typhoon -Texas</v>
      </c>
      <c r="C183" s="29" t="str">
        <f>'Risk Master'!F183</f>
        <v>A135</v>
      </c>
      <c r="D183" s="29">
        <f>VLOOKUP($B183,'Probabilty Distribution'!$A:$CX,$K$1,FALSE)</f>
        <v>0</v>
      </c>
      <c r="E183" s="29">
        <f>VLOOKUP($B183,'Probabilty Distribution'!$A:$CX,$K$2,FALSE)</f>
        <v>0</v>
      </c>
      <c r="F183" s="29">
        <f>VLOOKUP($B183,'Probabilty Distribution'!$A:$CX,$K$3,FALSE)</f>
        <v>1</v>
      </c>
      <c r="G183" s="29">
        <f ca="1">VLOOKUP($B183,'Probabilty Distribution'!$A:$CX,$K$4,FALSE)</f>
        <v>0</v>
      </c>
      <c r="H183" s="29">
        <f ca="1">VLOOKUP($B183,'Probabilty Distribution'!$A:$CX,$K$5,FALSE)</f>
        <v>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L137"/>
  <sheetViews>
    <sheetView workbookViewId="0">
      <selection activeCell="F3" sqref="F3"/>
    </sheetView>
  </sheetViews>
  <sheetFormatPr defaultRowHeight="12.75" x14ac:dyDescent="0.2"/>
  <cols>
    <col min="1" max="1" width="10.85546875" style="27" bestFit="1" customWidth="1"/>
    <col min="2" max="2" width="41.140625" style="32" bestFit="1" customWidth="1"/>
    <col min="3" max="3" width="41.140625" style="32" customWidth="1"/>
    <col min="4" max="4" width="15.5703125" style="27" bestFit="1" customWidth="1"/>
    <col min="5" max="5" width="42" style="27" hidden="1" customWidth="1"/>
    <col min="6" max="6" width="11.85546875" style="33" bestFit="1" customWidth="1"/>
    <col min="7" max="10" width="14.42578125" style="33" bestFit="1" customWidth="1"/>
    <col min="11" max="11" width="2.7109375" style="27" customWidth="1"/>
    <col min="12" max="12" width="9" style="27" bestFit="1" customWidth="1"/>
    <col min="13" max="16384" width="9.140625" style="28"/>
  </cols>
  <sheetData>
    <row r="1" spans="1:12" ht="25.5" x14ac:dyDescent="0.2">
      <c r="A1" s="24" t="s">
        <v>82</v>
      </c>
      <c r="B1" s="25" t="s">
        <v>83</v>
      </c>
      <c r="C1" s="25"/>
      <c r="D1" s="24" t="s">
        <v>118</v>
      </c>
      <c r="E1" s="24"/>
      <c r="F1" s="26" t="s">
        <v>84</v>
      </c>
      <c r="G1" s="26" t="s">
        <v>85</v>
      </c>
      <c r="H1" s="26" t="s">
        <v>86</v>
      </c>
      <c r="I1" s="26" t="s">
        <v>87</v>
      </c>
      <c r="J1" s="26" t="s">
        <v>88</v>
      </c>
      <c r="K1" s="29"/>
      <c r="L1" s="26" t="s">
        <v>477</v>
      </c>
    </row>
    <row r="2" spans="1:12" x14ac:dyDescent="0.2">
      <c r="A2" s="29" t="s">
        <v>26</v>
      </c>
      <c r="B2" s="30" t="str">
        <f>'Asset Allocation'!A2&amp;"-"&amp;'Asset Allocation'!$B$1</f>
        <v>Heavy Machinery-Mumbai</v>
      </c>
      <c r="C2" s="30" t="s">
        <v>479</v>
      </c>
      <c r="D2" s="29" t="s">
        <v>1</v>
      </c>
      <c r="E2" s="29"/>
      <c r="F2" s="31">
        <f>'Asset Allocation'!B2</f>
        <v>200000</v>
      </c>
      <c r="G2" s="31">
        <f>IF($F2&lt;0.0001,0,F2-$F2/$L2)</f>
        <v>180000</v>
      </c>
      <c r="H2" s="31">
        <f t="shared" ref="H2:J2" si="0">IF($F2&lt;0.0001,0,G2-$F2/$L2)</f>
        <v>160000</v>
      </c>
      <c r="I2" s="31">
        <f t="shared" si="0"/>
        <v>140000</v>
      </c>
      <c r="J2" s="31">
        <f t="shared" si="0"/>
        <v>120000</v>
      </c>
      <c r="L2" s="27">
        <f>VLOOKUP(C2,'Asset Allocation'!A:K,11,FALSE)</f>
        <v>10</v>
      </c>
    </row>
    <row r="3" spans="1:12" x14ac:dyDescent="0.2">
      <c r="A3" s="29" t="s">
        <v>27</v>
      </c>
      <c r="B3" s="30" t="str">
        <f>'Asset Allocation'!A3&amp;"-"&amp;'Asset Allocation'!$B$1</f>
        <v>Heat Exchanger-Mumbai</v>
      </c>
      <c r="C3" s="30" t="s">
        <v>2</v>
      </c>
      <c r="D3" s="29" t="s">
        <v>1</v>
      </c>
      <c r="E3" s="29"/>
      <c r="F3" s="31">
        <f>'Asset Allocation'!B3</f>
        <v>200000</v>
      </c>
      <c r="G3" s="31">
        <f t="shared" ref="G3:J3" si="1">IF($F3&lt;0.0001,0,F3-$F3/$L3)</f>
        <v>160000</v>
      </c>
      <c r="H3" s="31">
        <f t="shared" si="1"/>
        <v>120000</v>
      </c>
      <c r="I3" s="31">
        <f t="shared" si="1"/>
        <v>80000</v>
      </c>
      <c r="J3" s="31">
        <f t="shared" si="1"/>
        <v>40000</v>
      </c>
      <c r="L3" s="27">
        <f>VLOOKUP(C3,'Asset Allocation'!A:K,11,FALSE)</f>
        <v>5</v>
      </c>
    </row>
    <row r="4" spans="1:12" x14ac:dyDescent="0.2">
      <c r="A4" s="29" t="s">
        <v>28</v>
      </c>
      <c r="B4" s="30" t="str">
        <f>'Asset Allocation'!A4&amp;"-"&amp;'Asset Allocation'!$B$1</f>
        <v>Pipelines-Mumbai</v>
      </c>
      <c r="C4" s="30" t="s">
        <v>950</v>
      </c>
      <c r="D4" s="29" t="s">
        <v>1</v>
      </c>
      <c r="E4" s="29"/>
      <c r="F4" s="31">
        <f>'Asset Allocation'!B4</f>
        <v>0</v>
      </c>
      <c r="G4" s="31">
        <f t="shared" ref="G4:J4" si="2">IF($F4&lt;0.0001,0,F4-$F4/$L4)</f>
        <v>0</v>
      </c>
      <c r="H4" s="31">
        <f t="shared" si="2"/>
        <v>0</v>
      </c>
      <c r="I4" s="31">
        <f t="shared" si="2"/>
        <v>0</v>
      </c>
      <c r="J4" s="31">
        <f t="shared" si="2"/>
        <v>0</v>
      </c>
      <c r="L4" s="27">
        <f>VLOOKUP(C4,'Asset Allocation'!A:K,11,FALSE)</f>
        <v>10</v>
      </c>
    </row>
    <row r="5" spans="1:12" x14ac:dyDescent="0.2">
      <c r="A5" s="29" t="s">
        <v>29</v>
      </c>
      <c r="B5" s="30" t="str">
        <f>'Asset Allocation'!A5&amp;"-"&amp;'Asset Allocation'!$B$1</f>
        <v>Property (Office Locations)-Mumbai</v>
      </c>
      <c r="C5" s="30" t="s">
        <v>3</v>
      </c>
      <c r="D5" s="29" t="s">
        <v>1</v>
      </c>
      <c r="E5" s="29"/>
      <c r="F5" s="31">
        <f>'Asset Allocation'!B5</f>
        <v>700000</v>
      </c>
      <c r="G5" s="31">
        <f t="shared" ref="G5:J5" si="3">IF($F5&lt;0.0001,0,F5-$F5/$L5)</f>
        <v>630000</v>
      </c>
      <c r="H5" s="31">
        <f t="shared" si="3"/>
        <v>560000</v>
      </c>
      <c r="I5" s="31">
        <f t="shared" si="3"/>
        <v>490000</v>
      </c>
      <c r="J5" s="31">
        <f t="shared" si="3"/>
        <v>420000</v>
      </c>
      <c r="L5" s="27">
        <f>VLOOKUP(C5,'Asset Allocation'!A:K,11,FALSE)</f>
        <v>10</v>
      </c>
    </row>
    <row r="6" spans="1:12" x14ac:dyDescent="0.2">
      <c r="A6" s="29" t="s">
        <v>30</v>
      </c>
      <c r="B6" s="30" t="str">
        <f>'Asset Allocation'!A6&amp;"-"&amp;'Asset Allocation'!$B$1</f>
        <v>Manufacturing Plants-Mumbai</v>
      </c>
      <c r="C6" s="30" t="s">
        <v>4</v>
      </c>
      <c r="D6" s="29" t="s">
        <v>1</v>
      </c>
      <c r="E6" s="29"/>
      <c r="F6" s="31">
        <f>'Asset Allocation'!B6</f>
        <v>0</v>
      </c>
      <c r="G6" s="31">
        <f t="shared" ref="G6:J6" si="4">IF($F6&lt;0.0001,0,F6-$F6/$L6)</f>
        <v>0</v>
      </c>
      <c r="H6" s="31">
        <f t="shared" si="4"/>
        <v>0</v>
      </c>
      <c r="I6" s="31">
        <f t="shared" si="4"/>
        <v>0</v>
      </c>
      <c r="J6" s="31">
        <f t="shared" si="4"/>
        <v>0</v>
      </c>
      <c r="L6" s="27">
        <f>VLOOKUP(C6,'Asset Allocation'!A:K,11,FALSE)</f>
        <v>10</v>
      </c>
    </row>
    <row r="7" spans="1:12" x14ac:dyDescent="0.2">
      <c r="A7" s="29" t="s">
        <v>31</v>
      </c>
      <c r="B7" s="30" t="str">
        <f>'Asset Allocation'!A7&amp;"-"&amp;'Asset Allocation'!$B$1</f>
        <v>Warehouse &amp; Cold Storage-Mumbai</v>
      </c>
      <c r="C7" s="30" t="s">
        <v>485</v>
      </c>
      <c r="D7" s="29" t="s">
        <v>1</v>
      </c>
      <c r="E7" s="29"/>
      <c r="F7" s="31">
        <f>'Asset Allocation'!B7</f>
        <v>400000</v>
      </c>
      <c r="G7" s="31">
        <f t="shared" ref="G7:J7" si="5">IF($F7&lt;0.0001,0,F7-$F7/$L7)</f>
        <v>320000</v>
      </c>
      <c r="H7" s="31">
        <f t="shared" si="5"/>
        <v>240000</v>
      </c>
      <c r="I7" s="31">
        <f t="shared" si="5"/>
        <v>160000</v>
      </c>
      <c r="J7" s="31">
        <f t="shared" si="5"/>
        <v>80000</v>
      </c>
      <c r="L7" s="27">
        <f>VLOOKUP(C7,'Asset Allocation'!A:K,11,FALSE)</f>
        <v>5</v>
      </c>
    </row>
    <row r="8" spans="1:12" x14ac:dyDescent="0.2">
      <c r="A8" s="29" t="s">
        <v>32</v>
      </c>
      <c r="B8" s="30" t="str">
        <f>'Asset Allocation'!A8&amp;"-"&amp;'Asset Allocation'!$B$1</f>
        <v>Hotels &amp; Resorts-Mumbai</v>
      </c>
      <c r="C8" s="30" t="s">
        <v>5</v>
      </c>
      <c r="D8" s="29" t="s">
        <v>1</v>
      </c>
      <c r="E8" s="29"/>
      <c r="F8" s="31">
        <f>'Asset Allocation'!B8</f>
        <v>800000</v>
      </c>
      <c r="G8" s="31">
        <f t="shared" ref="G8:J8" si="6">IF($F8&lt;0.0001,0,F8-$F8/$L8)</f>
        <v>720000</v>
      </c>
      <c r="H8" s="31">
        <f t="shared" si="6"/>
        <v>640000</v>
      </c>
      <c r="I8" s="31">
        <f t="shared" si="6"/>
        <v>560000</v>
      </c>
      <c r="J8" s="31">
        <f t="shared" si="6"/>
        <v>480000</v>
      </c>
      <c r="L8" s="27">
        <f>VLOOKUP(C8,'Asset Allocation'!A:K,11,FALSE)</f>
        <v>10</v>
      </c>
    </row>
    <row r="9" spans="1:12" x14ac:dyDescent="0.2">
      <c r="A9" s="29" t="s">
        <v>33</v>
      </c>
      <c r="B9" s="30" t="str">
        <f>'Asset Allocation'!A9&amp;"-"&amp;'Asset Allocation'!$B$1</f>
        <v>Supermarkets &amp; Malls-Mumbai</v>
      </c>
      <c r="C9" s="30" t="s">
        <v>6</v>
      </c>
      <c r="D9" s="29" t="s">
        <v>1</v>
      </c>
      <c r="E9" s="29"/>
      <c r="F9" s="31">
        <f>'Asset Allocation'!B9</f>
        <v>300000</v>
      </c>
      <c r="G9" s="31">
        <f t="shared" ref="G9:J9" si="7">IF($F9&lt;0.0001,0,F9-$F9/$L9)</f>
        <v>240000</v>
      </c>
      <c r="H9" s="31">
        <f t="shared" si="7"/>
        <v>180000</v>
      </c>
      <c r="I9" s="31">
        <f t="shared" si="7"/>
        <v>120000</v>
      </c>
      <c r="J9" s="31">
        <f t="shared" si="7"/>
        <v>60000</v>
      </c>
      <c r="L9" s="27">
        <f>VLOOKUP(C9,'Asset Allocation'!A:K,11,FALSE)</f>
        <v>5</v>
      </c>
    </row>
    <row r="10" spans="1:12" x14ac:dyDescent="0.2">
      <c r="A10" s="29" t="s">
        <v>34</v>
      </c>
      <c r="B10" s="30" t="str">
        <f>'Asset Allocation'!A10&amp;"-"&amp;'Asset Allocation'!$B$1</f>
        <v>Mines-Mumbai</v>
      </c>
      <c r="C10" s="30" t="s">
        <v>7</v>
      </c>
      <c r="D10" s="29" t="s">
        <v>1</v>
      </c>
      <c r="E10" s="29"/>
      <c r="F10" s="31">
        <f>'Asset Allocation'!B10</f>
        <v>300000</v>
      </c>
      <c r="G10" s="31">
        <f t="shared" ref="G10:J10" si="8">IF($F10&lt;0.0001,0,F10-$F10/$L10)</f>
        <v>270000</v>
      </c>
      <c r="H10" s="31">
        <f t="shared" si="8"/>
        <v>240000</v>
      </c>
      <c r="I10" s="31">
        <f t="shared" si="8"/>
        <v>210000</v>
      </c>
      <c r="J10" s="31">
        <f t="shared" si="8"/>
        <v>180000</v>
      </c>
      <c r="L10" s="27">
        <f>VLOOKUP(C10,'Asset Allocation'!A:K,11,FALSE)</f>
        <v>10</v>
      </c>
    </row>
    <row r="11" spans="1:12" x14ac:dyDescent="0.2">
      <c r="A11" s="29" t="s">
        <v>35</v>
      </c>
      <c r="B11" s="30" t="str">
        <f>'Asset Allocation'!A11&amp;"-"&amp;'Asset Allocation'!$B$1</f>
        <v>Power Plants-Mumbai</v>
      </c>
      <c r="C11" s="30" t="s">
        <v>8</v>
      </c>
      <c r="D11" s="29" t="s">
        <v>1</v>
      </c>
      <c r="E11" s="29"/>
      <c r="F11" s="31">
        <f>'Asset Allocation'!B11</f>
        <v>400000</v>
      </c>
      <c r="G11" s="31">
        <f t="shared" ref="G11:J11" si="9">IF($F11&lt;0.0001,0,F11-$F11/$L11)</f>
        <v>320000</v>
      </c>
      <c r="H11" s="31">
        <f t="shared" si="9"/>
        <v>240000</v>
      </c>
      <c r="I11" s="31">
        <f t="shared" si="9"/>
        <v>160000</v>
      </c>
      <c r="J11" s="31">
        <f t="shared" si="9"/>
        <v>80000</v>
      </c>
      <c r="L11" s="27">
        <f>VLOOKUP(C11,'Asset Allocation'!A:K,11,FALSE)</f>
        <v>5</v>
      </c>
    </row>
    <row r="12" spans="1:12" x14ac:dyDescent="0.2">
      <c r="A12" s="29" t="s">
        <v>36</v>
      </c>
      <c r="B12" s="30" t="str">
        <f>'Asset Allocation'!A12&amp;"-"&amp;'Asset Allocation'!$B$1</f>
        <v>Oil Refineries-Mumbai</v>
      </c>
      <c r="C12" s="30" t="s">
        <v>9</v>
      </c>
      <c r="D12" s="29" t="s">
        <v>1</v>
      </c>
      <c r="E12" s="29"/>
      <c r="F12" s="31">
        <f>'Asset Allocation'!B12</f>
        <v>1000000</v>
      </c>
      <c r="G12" s="31">
        <f t="shared" ref="G12:J12" si="10">IF($F12&lt;0.0001,0,F12-$F12/$L12)</f>
        <v>900000</v>
      </c>
      <c r="H12" s="31">
        <f t="shared" si="10"/>
        <v>800000</v>
      </c>
      <c r="I12" s="31">
        <f t="shared" si="10"/>
        <v>700000</v>
      </c>
      <c r="J12" s="31">
        <f t="shared" si="10"/>
        <v>600000</v>
      </c>
      <c r="L12" s="27">
        <f>VLOOKUP(C12,'Asset Allocation'!A:K,11,FALSE)</f>
        <v>10</v>
      </c>
    </row>
    <row r="13" spans="1:12" x14ac:dyDescent="0.2">
      <c r="A13" s="29" t="s">
        <v>37</v>
      </c>
      <c r="B13" s="30" t="str">
        <f>'Asset Allocation'!A13&amp;"-"&amp;'Asset Allocation'!$B$1</f>
        <v>Telecom Towers-Mumbai</v>
      </c>
      <c r="C13" s="30" t="s">
        <v>10</v>
      </c>
      <c r="D13" s="29" t="s">
        <v>1</v>
      </c>
      <c r="E13" s="29"/>
      <c r="F13" s="31">
        <f>'Asset Allocation'!B13</f>
        <v>500000</v>
      </c>
      <c r="G13" s="31">
        <f t="shared" ref="G13:J13" si="11">IF($F13&lt;0.0001,0,F13-$F13/$L13)</f>
        <v>375000</v>
      </c>
      <c r="H13" s="31">
        <f t="shared" si="11"/>
        <v>250000</v>
      </c>
      <c r="I13" s="31">
        <f t="shared" si="11"/>
        <v>125000</v>
      </c>
      <c r="J13" s="31">
        <f t="shared" si="11"/>
        <v>0</v>
      </c>
      <c r="L13" s="27">
        <f>VLOOKUP(C13,'Asset Allocation'!A:K,11,FALSE)</f>
        <v>4</v>
      </c>
    </row>
    <row r="14" spans="1:12" x14ac:dyDescent="0.2">
      <c r="A14" s="29" t="s">
        <v>38</v>
      </c>
      <c r="B14" s="30" t="str">
        <f>'Asset Allocation'!A14&amp;"-"&amp;'Asset Allocation'!$B$1</f>
        <v>Aircrafts-Mumbai</v>
      </c>
      <c r="C14" s="30" t="s">
        <v>11</v>
      </c>
      <c r="D14" s="29" t="s">
        <v>1</v>
      </c>
      <c r="E14" s="29"/>
      <c r="F14" s="31">
        <f>'Asset Allocation'!B14</f>
        <v>200000</v>
      </c>
      <c r="G14" s="31">
        <f t="shared" ref="G14:J14" si="12">IF($F14&lt;0.0001,0,F14-$F14/$L14)</f>
        <v>160000</v>
      </c>
      <c r="H14" s="31">
        <f t="shared" si="12"/>
        <v>120000</v>
      </c>
      <c r="I14" s="31">
        <f t="shared" si="12"/>
        <v>80000</v>
      </c>
      <c r="J14" s="31">
        <f t="shared" si="12"/>
        <v>40000</v>
      </c>
      <c r="L14" s="27">
        <f>VLOOKUP(C14,'Asset Allocation'!A:K,11,FALSE)</f>
        <v>5</v>
      </c>
    </row>
    <row r="15" spans="1:12" x14ac:dyDescent="0.2">
      <c r="A15" s="29" t="s">
        <v>39</v>
      </c>
      <c r="B15" s="30" t="str">
        <f>'Asset Allocation'!A15&amp;"-"&amp;'Asset Allocation'!$B$1</f>
        <v>Ships &amp; Cargo-Mumbai</v>
      </c>
      <c r="C15" s="30" t="s">
        <v>951</v>
      </c>
      <c r="D15" s="29" t="s">
        <v>1</v>
      </c>
      <c r="E15" s="29"/>
      <c r="F15" s="31">
        <f>'Asset Allocation'!B15</f>
        <v>300000</v>
      </c>
      <c r="G15" s="31">
        <f t="shared" ref="G15:J15" si="13">IF($F15&lt;0.0001,0,F15-$F15/$L15)</f>
        <v>240000</v>
      </c>
      <c r="H15" s="31">
        <f t="shared" si="13"/>
        <v>180000</v>
      </c>
      <c r="I15" s="31">
        <f t="shared" si="13"/>
        <v>120000</v>
      </c>
      <c r="J15" s="31">
        <f t="shared" si="13"/>
        <v>60000</v>
      </c>
      <c r="L15" s="27">
        <f>VLOOKUP(C15,'Asset Allocation'!A:K,11,FALSE)</f>
        <v>5</v>
      </c>
    </row>
    <row r="16" spans="1:12" x14ac:dyDescent="0.2">
      <c r="A16" s="29" t="s">
        <v>40</v>
      </c>
      <c r="B16" s="30" t="str">
        <f>'Asset Allocation'!A16&amp;"-"&amp;'Asset Allocation'!$B$1</f>
        <v>Fleets &amp; Cars-Mumbai</v>
      </c>
      <c r="C16" s="30" t="s">
        <v>949</v>
      </c>
      <c r="D16" s="29" t="s">
        <v>1</v>
      </c>
      <c r="E16" s="29"/>
      <c r="F16" s="31">
        <f>'Asset Allocation'!B16</f>
        <v>200000</v>
      </c>
      <c r="G16" s="31">
        <f t="shared" ref="G16:J16" si="14">IF($F16&lt;0.0001,0,F16-$F16/$L16)</f>
        <v>150000</v>
      </c>
      <c r="H16" s="31">
        <f t="shared" si="14"/>
        <v>100000</v>
      </c>
      <c r="I16" s="31">
        <f t="shared" si="14"/>
        <v>50000</v>
      </c>
      <c r="J16" s="31">
        <f t="shared" si="14"/>
        <v>0</v>
      </c>
      <c r="L16" s="27">
        <f>VLOOKUP(C16,'Asset Allocation'!A:K,11,FALSE)</f>
        <v>4</v>
      </c>
    </row>
    <row r="17" spans="1:12" x14ac:dyDescent="0.2">
      <c r="A17" s="29" t="s">
        <v>89</v>
      </c>
      <c r="B17" s="30" t="str">
        <f>'Asset Allocation'!A2&amp;"-"&amp;'Asset Allocation'!$C$1</f>
        <v>Heavy Machinery-Germany</v>
      </c>
      <c r="C17" s="30" t="s">
        <v>479</v>
      </c>
      <c r="D17" s="29" t="s">
        <v>114</v>
      </c>
      <c r="E17" s="29"/>
      <c r="F17" s="31">
        <f>'Asset Allocation'!C2</f>
        <v>300000</v>
      </c>
      <c r="G17" s="31">
        <f t="shared" ref="G17:J17" si="15">IF($F17&lt;0.0001,0,F17-$F17/$L17)</f>
        <v>270000</v>
      </c>
      <c r="H17" s="31">
        <f t="shared" si="15"/>
        <v>240000</v>
      </c>
      <c r="I17" s="31">
        <f t="shared" si="15"/>
        <v>210000</v>
      </c>
      <c r="J17" s="31">
        <f t="shared" si="15"/>
        <v>180000</v>
      </c>
      <c r="L17" s="27">
        <f>VLOOKUP(C17,'Asset Allocation'!A:K,11,FALSE)</f>
        <v>10</v>
      </c>
    </row>
    <row r="18" spans="1:12" x14ac:dyDescent="0.2">
      <c r="A18" s="29" t="s">
        <v>90</v>
      </c>
      <c r="B18" s="30" t="str">
        <f>'Asset Allocation'!A3&amp;"-"&amp;'Asset Allocation'!$C$1</f>
        <v>Heat Exchanger-Germany</v>
      </c>
      <c r="C18" s="30" t="s">
        <v>2</v>
      </c>
      <c r="D18" s="29" t="s">
        <v>114</v>
      </c>
      <c r="E18" s="29"/>
      <c r="F18" s="31">
        <f>'Asset Allocation'!C3</f>
        <v>0</v>
      </c>
      <c r="G18" s="31">
        <f t="shared" ref="G18:J18" si="16">IF($F18&lt;0.0001,0,F18-$F18/$L18)</f>
        <v>0</v>
      </c>
      <c r="H18" s="31">
        <f t="shared" si="16"/>
        <v>0</v>
      </c>
      <c r="I18" s="31">
        <f t="shared" si="16"/>
        <v>0</v>
      </c>
      <c r="J18" s="31">
        <f t="shared" si="16"/>
        <v>0</v>
      </c>
      <c r="L18" s="27">
        <f>VLOOKUP(C18,'Asset Allocation'!A:K,11,FALSE)</f>
        <v>5</v>
      </c>
    </row>
    <row r="19" spans="1:12" x14ac:dyDescent="0.2">
      <c r="A19" s="29" t="s">
        <v>91</v>
      </c>
      <c r="B19" s="30" t="str">
        <f>'Asset Allocation'!A4&amp;"-"&amp;'Asset Allocation'!$C$1</f>
        <v>Pipelines-Germany</v>
      </c>
      <c r="C19" s="30" t="s">
        <v>950</v>
      </c>
      <c r="D19" s="29" t="s">
        <v>114</v>
      </c>
      <c r="E19" s="29"/>
      <c r="F19" s="31">
        <f>'Asset Allocation'!C4</f>
        <v>0</v>
      </c>
      <c r="G19" s="31">
        <f t="shared" ref="G19:J19" si="17">IF($F19&lt;0.0001,0,F19-$F19/$L19)</f>
        <v>0</v>
      </c>
      <c r="H19" s="31">
        <f t="shared" si="17"/>
        <v>0</v>
      </c>
      <c r="I19" s="31">
        <f t="shared" si="17"/>
        <v>0</v>
      </c>
      <c r="J19" s="31">
        <f t="shared" si="17"/>
        <v>0</v>
      </c>
      <c r="L19" s="27">
        <f>VLOOKUP(C19,'Asset Allocation'!A:K,11,FALSE)</f>
        <v>10</v>
      </c>
    </row>
    <row r="20" spans="1:12" x14ac:dyDescent="0.2">
      <c r="A20" s="29" t="s">
        <v>92</v>
      </c>
      <c r="B20" s="30" t="str">
        <f>'Asset Allocation'!A5&amp;"-"&amp;'Asset Allocation'!$C$1</f>
        <v>Property (Office Locations)-Germany</v>
      </c>
      <c r="C20" s="30" t="s">
        <v>3</v>
      </c>
      <c r="D20" s="29" t="s">
        <v>114</v>
      </c>
      <c r="E20" s="29"/>
      <c r="F20" s="31">
        <f>'Asset Allocation'!C5</f>
        <v>500000</v>
      </c>
      <c r="G20" s="31">
        <f t="shared" ref="G20:J20" si="18">IF($F20&lt;0.0001,0,F20-$F20/$L20)</f>
        <v>450000</v>
      </c>
      <c r="H20" s="31">
        <f t="shared" si="18"/>
        <v>400000</v>
      </c>
      <c r="I20" s="31">
        <f t="shared" si="18"/>
        <v>350000</v>
      </c>
      <c r="J20" s="31">
        <f t="shared" si="18"/>
        <v>300000</v>
      </c>
      <c r="L20" s="27">
        <f>VLOOKUP(C20,'Asset Allocation'!A:K,11,FALSE)</f>
        <v>10</v>
      </c>
    </row>
    <row r="21" spans="1:12" x14ac:dyDescent="0.2">
      <c r="A21" s="29" t="s">
        <v>93</v>
      </c>
      <c r="B21" s="30" t="str">
        <f>'Asset Allocation'!A6&amp;"-"&amp;'Asset Allocation'!$C$1</f>
        <v>Manufacturing Plants-Germany</v>
      </c>
      <c r="C21" s="30" t="s">
        <v>4</v>
      </c>
      <c r="D21" s="29" t="s">
        <v>114</v>
      </c>
      <c r="E21" s="29"/>
      <c r="F21" s="31">
        <f>'Asset Allocation'!C6</f>
        <v>500000</v>
      </c>
      <c r="G21" s="31">
        <f t="shared" ref="G21:J21" si="19">IF($F21&lt;0.0001,0,F21-$F21/$L21)</f>
        <v>450000</v>
      </c>
      <c r="H21" s="31">
        <f t="shared" si="19"/>
        <v>400000</v>
      </c>
      <c r="I21" s="31">
        <f t="shared" si="19"/>
        <v>350000</v>
      </c>
      <c r="J21" s="31">
        <f t="shared" si="19"/>
        <v>300000</v>
      </c>
      <c r="L21" s="27">
        <f>VLOOKUP(C21,'Asset Allocation'!A:K,11,FALSE)</f>
        <v>10</v>
      </c>
    </row>
    <row r="22" spans="1:12" x14ac:dyDescent="0.2">
      <c r="A22" s="29" t="s">
        <v>94</v>
      </c>
      <c r="B22" s="30" t="str">
        <f>'Asset Allocation'!A7&amp;"-"&amp;'Asset Allocation'!$C$1</f>
        <v>Warehouse &amp; Cold Storage-Germany</v>
      </c>
      <c r="C22" s="30" t="s">
        <v>485</v>
      </c>
      <c r="D22" s="29" t="s">
        <v>114</v>
      </c>
      <c r="E22" s="29"/>
      <c r="F22" s="31">
        <f>'Asset Allocation'!C7</f>
        <v>0</v>
      </c>
      <c r="G22" s="31">
        <f t="shared" ref="G22:J22" si="20">IF($F22&lt;0.0001,0,F22-$F22/$L22)</f>
        <v>0</v>
      </c>
      <c r="H22" s="31">
        <f t="shared" si="20"/>
        <v>0</v>
      </c>
      <c r="I22" s="31">
        <f t="shared" si="20"/>
        <v>0</v>
      </c>
      <c r="J22" s="31">
        <f t="shared" si="20"/>
        <v>0</v>
      </c>
      <c r="L22" s="27">
        <f>VLOOKUP(C22,'Asset Allocation'!A:K,11,FALSE)</f>
        <v>5</v>
      </c>
    </row>
    <row r="23" spans="1:12" x14ac:dyDescent="0.2">
      <c r="A23" s="29" t="s">
        <v>95</v>
      </c>
      <c r="B23" s="30" t="str">
        <f>'Asset Allocation'!A8&amp;"-"&amp;'Asset Allocation'!$C$1</f>
        <v>Hotels &amp; Resorts-Germany</v>
      </c>
      <c r="C23" s="30" t="s">
        <v>5</v>
      </c>
      <c r="D23" s="29" t="s">
        <v>114</v>
      </c>
      <c r="E23" s="29"/>
      <c r="F23" s="31">
        <f>'Asset Allocation'!C8</f>
        <v>1000000</v>
      </c>
      <c r="G23" s="31">
        <f t="shared" ref="G23:J23" si="21">IF($F23&lt;0.0001,0,F23-$F23/$L23)</f>
        <v>900000</v>
      </c>
      <c r="H23" s="31">
        <f t="shared" si="21"/>
        <v>800000</v>
      </c>
      <c r="I23" s="31">
        <f t="shared" si="21"/>
        <v>700000</v>
      </c>
      <c r="J23" s="31">
        <f t="shared" si="21"/>
        <v>600000</v>
      </c>
      <c r="L23" s="27">
        <f>VLOOKUP(C23,'Asset Allocation'!A:K,11,FALSE)</f>
        <v>10</v>
      </c>
    </row>
    <row r="24" spans="1:12" x14ac:dyDescent="0.2">
      <c r="A24" s="29" t="s">
        <v>96</v>
      </c>
      <c r="B24" s="30" t="str">
        <f>'Asset Allocation'!A9&amp;"-"&amp;'Asset Allocation'!$C$1</f>
        <v>Supermarkets &amp; Malls-Germany</v>
      </c>
      <c r="C24" s="30" t="s">
        <v>6</v>
      </c>
      <c r="D24" s="29" t="s">
        <v>114</v>
      </c>
      <c r="E24" s="29"/>
      <c r="F24" s="31">
        <f>'Asset Allocation'!C9</f>
        <v>300000</v>
      </c>
      <c r="G24" s="31">
        <f t="shared" ref="G24:J24" si="22">IF($F24&lt;0.0001,0,F24-$F24/$L24)</f>
        <v>240000</v>
      </c>
      <c r="H24" s="31">
        <f t="shared" si="22"/>
        <v>180000</v>
      </c>
      <c r="I24" s="31">
        <f t="shared" si="22"/>
        <v>120000</v>
      </c>
      <c r="J24" s="31">
        <f t="shared" si="22"/>
        <v>60000</v>
      </c>
      <c r="L24" s="27">
        <f>VLOOKUP(C24,'Asset Allocation'!A:K,11,FALSE)</f>
        <v>5</v>
      </c>
    </row>
    <row r="25" spans="1:12" x14ac:dyDescent="0.2">
      <c r="A25" s="29" t="s">
        <v>97</v>
      </c>
      <c r="B25" s="30" t="str">
        <f>'Asset Allocation'!A10&amp;"-"&amp;'Asset Allocation'!$C$1</f>
        <v>Mines-Germany</v>
      </c>
      <c r="C25" s="30" t="s">
        <v>7</v>
      </c>
      <c r="D25" s="29" t="s">
        <v>114</v>
      </c>
      <c r="E25" s="29"/>
      <c r="F25" s="31">
        <f>'Asset Allocation'!C10</f>
        <v>0</v>
      </c>
      <c r="G25" s="31">
        <f t="shared" ref="G25:J25" si="23">IF($F25&lt;0.0001,0,F25-$F25/$L25)</f>
        <v>0</v>
      </c>
      <c r="H25" s="31">
        <f t="shared" si="23"/>
        <v>0</v>
      </c>
      <c r="I25" s="31">
        <f t="shared" si="23"/>
        <v>0</v>
      </c>
      <c r="J25" s="31">
        <f t="shared" si="23"/>
        <v>0</v>
      </c>
      <c r="L25" s="27">
        <f>VLOOKUP(C25,'Asset Allocation'!A:K,11,FALSE)</f>
        <v>10</v>
      </c>
    </row>
    <row r="26" spans="1:12" x14ac:dyDescent="0.2">
      <c r="A26" s="29" t="s">
        <v>98</v>
      </c>
      <c r="B26" s="30" t="str">
        <f>'Asset Allocation'!A11&amp;"-"&amp;'Asset Allocation'!$C$1</f>
        <v>Power Plants-Germany</v>
      </c>
      <c r="C26" s="30" t="s">
        <v>8</v>
      </c>
      <c r="D26" s="29" t="s">
        <v>114</v>
      </c>
      <c r="E26" s="29"/>
      <c r="F26" s="31">
        <f>'Asset Allocation'!C11</f>
        <v>300000</v>
      </c>
      <c r="G26" s="31">
        <f t="shared" ref="G26:J26" si="24">IF($F26&lt;0.0001,0,F26-$F26/$L26)</f>
        <v>240000</v>
      </c>
      <c r="H26" s="31">
        <f t="shared" si="24"/>
        <v>180000</v>
      </c>
      <c r="I26" s="31">
        <f t="shared" si="24"/>
        <v>120000</v>
      </c>
      <c r="J26" s="31">
        <f t="shared" si="24"/>
        <v>60000</v>
      </c>
      <c r="L26" s="27">
        <f>VLOOKUP(C26,'Asset Allocation'!A:K,11,FALSE)</f>
        <v>5</v>
      </c>
    </row>
    <row r="27" spans="1:12" x14ac:dyDescent="0.2">
      <c r="A27" s="29" t="s">
        <v>99</v>
      </c>
      <c r="B27" s="30" t="str">
        <f>'Asset Allocation'!A12&amp;"-"&amp;'Asset Allocation'!$C$1</f>
        <v>Oil Refineries-Germany</v>
      </c>
      <c r="C27" s="30" t="s">
        <v>9</v>
      </c>
      <c r="D27" s="29" t="s">
        <v>114</v>
      </c>
      <c r="E27" s="29"/>
      <c r="F27" s="31">
        <f>'Asset Allocation'!C12</f>
        <v>0</v>
      </c>
      <c r="G27" s="31">
        <f t="shared" ref="G27:J27" si="25">IF($F27&lt;0.0001,0,F27-$F27/$L27)</f>
        <v>0</v>
      </c>
      <c r="H27" s="31">
        <f t="shared" si="25"/>
        <v>0</v>
      </c>
      <c r="I27" s="31">
        <f t="shared" si="25"/>
        <v>0</v>
      </c>
      <c r="J27" s="31">
        <f t="shared" si="25"/>
        <v>0</v>
      </c>
      <c r="L27" s="27">
        <f>VLOOKUP(C27,'Asset Allocation'!A:K,11,FALSE)</f>
        <v>10</v>
      </c>
    </row>
    <row r="28" spans="1:12" x14ac:dyDescent="0.2">
      <c r="A28" s="29" t="s">
        <v>100</v>
      </c>
      <c r="B28" s="30" t="str">
        <f>'Asset Allocation'!A13&amp;"-"&amp;'Asset Allocation'!$C$1</f>
        <v>Telecom Towers-Germany</v>
      </c>
      <c r="C28" s="30" t="s">
        <v>10</v>
      </c>
      <c r="D28" s="29" t="s">
        <v>114</v>
      </c>
      <c r="E28" s="29"/>
      <c r="F28" s="31">
        <f>'Asset Allocation'!C13</f>
        <v>0</v>
      </c>
      <c r="G28" s="31">
        <f t="shared" ref="G28:J28" si="26">IF($F28&lt;0.0001,0,F28-$F28/$L28)</f>
        <v>0</v>
      </c>
      <c r="H28" s="31">
        <f t="shared" si="26"/>
        <v>0</v>
      </c>
      <c r="I28" s="31">
        <f t="shared" si="26"/>
        <v>0</v>
      </c>
      <c r="J28" s="31">
        <f t="shared" si="26"/>
        <v>0</v>
      </c>
      <c r="L28" s="27">
        <f>VLOOKUP(C28,'Asset Allocation'!A:K,11,FALSE)</f>
        <v>4</v>
      </c>
    </row>
    <row r="29" spans="1:12" x14ac:dyDescent="0.2">
      <c r="A29" s="29" t="s">
        <v>101</v>
      </c>
      <c r="B29" s="30" t="str">
        <f>'Asset Allocation'!A14&amp;"-"&amp;'Asset Allocation'!$C$1</f>
        <v>Aircrafts-Germany</v>
      </c>
      <c r="C29" s="30" t="s">
        <v>11</v>
      </c>
      <c r="D29" s="29" t="s">
        <v>114</v>
      </c>
      <c r="E29" s="29"/>
      <c r="F29" s="31">
        <f>'Asset Allocation'!C14</f>
        <v>400000</v>
      </c>
      <c r="G29" s="31">
        <f t="shared" ref="G29:J29" si="27">IF($F29&lt;0.0001,0,F29-$F29/$L29)</f>
        <v>320000</v>
      </c>
      <c r="H29" s="31">
        <f t="shared" si="27"/>
        <v>240000</v>
      </c>
      <c r="I29" s="31">
        <f t="shared" si="27"/>
        <v>160000</v>
      </c>
      <c r="J29" s="31">
        <f t="shared" si="27"/>
        <v>80000</v>
      </c>
      <c r="L29" s="27">
        <f>VLOOKUP(C29,'Asset Allocation'!A:K,11,FALSE)</f>
        <v>5</v>
      </c>
    </row>
    <row r="30" spans="1:12" x14ac:dyDescent="0.2">
      <c r="A30" s="29" t="s">
        <v>102</v>
      </c>
      <c r="B30" s="30" t="str">
        <f>'Asset Allocation'!A15&amp;"-"&amp;'Asset Allocation'!$C$1</f>
        <v>Ships &amp; Cargo-Germany</v>
      </c>
      <c r="C30" s="30" t="s">
        <v>951</v>
      </c>
      <c r="D30" s="29" t="s">
        <v>114</v>
      </c>
      <c r="E30" s="29"/>
      <c r="F30" s="31">
        <f>'Asset Allocation'!C15</f>
        <v>0</v>
      </c>
      <c r="G30" s="31">
        <f t="shared" ref="G30:J30" si="28">IF($F30&lt;0.0001,0,F30-$F30/$L30)</f>
        <v>0</v>
      </c>
      <c r="H30" s="31">
        <f t="shared" si="28"/>
        <v>0</v>
      </c>
      <c r="I30" s="31">
        <f t="shared" si="28"/>
        <v>0</v>
      </c>
      <c r="J30" s="31">
        <f t="shared" si="28"/>
        <v>0</v>
      </c>
      <c r="L30" s="27">
        <f>VLOOKUP(C30,'Asset Allocation'!A:K,11,FALSE)</f>
        <v>5</v>
      </c>
    </row>
    <row r="31" spans="1:12" x14ac:dyDescent="0.2">
      <c r="A31" s="29" t="s">
        <v>103</v>
      </c>
      <c r="B31" s="30" t="str">
        <f>'Asset Allocation'!A16&amp;"-"&amp;'Asset Allocation'!$C$1</f>
        <v>Fleets &amp; Cars-Germany</v>
      </c>
      <c r="C31" s="30" t="s">
        <v>949</v>
      </c>
      <c r="D31" s="29" t="s">
        <v>114</v>
      </c>
      <c r="E31" s="29"/>
      <c r="F31" s="31">
        <f>'Asset Allocation'!C16</f>
        <v>200000</v>
      </c>
      <c r="G31" s="31">
        <f t="shared" ref="G31:J31" si="29">IF($F31&lt;0.0001,0,F31-$F31/$L31)</f>
        <v>150000</v>
      </c>
      <c r="H31" s="31">
        <f t="shared" si="29"/>
        <v>100000</v>
      </c>
      <c r="I31" s="31">
        <f t="shared" si="29"/>
        <v>50000</v>
      </c>
      <c r="J31" s="31">
        <f t="shared" si="29"/>
        <v>0</v>
      </c>
      <c r="L31" s="27">
        <f>VLOOKUP(C31,'Asset Allocation'!A:K,11,FALSE)</f>
        <v>4</v>
      </c>
    </row>
    <row r="32" spans="1:12" x14ac:dyDescent="0.2">
      <c r="A32" s="29" t="s">
        <v>104</v>
      </c>
      <c r="B32" s="30" t="str">
        <f>'Asset Allocation'!A2&amp;"-"&amp;'Asset Allocation'!$D$1</f>
        <v>Heavy Machinery-Manila</v>
      </c>
      <c r="C32" s="30" t="s">
        <v>479</v>
      </c>
      <c r="D32" s="29" t="s">
        <v>115</v>
      </c>
      <c r="E32" s="29"/>
      <c r="F32" s="31">
        <f>'Asset Allocation'!D2</f>
        <v>0</v>
      </c>
      <c r="G32" s="31">
        <f t="shared" ref="G32:J32" si="30">IF($F32&lt;0.0001,0,F32-$F32/$L32)</f>
        <v>0</v>
      </c>
      <c r="H32" s="31">
        <f t="shared" si="30"/>
        <v>0</v>
      </c>
      <c r="I32" s="31">
        <f t="shared" si="30"/>
        <v>0</v>
      </c>
      <c r="J32" s="31">
        <f t="shared" si="30"/>
        <v>0</v>
      </c>
      <c r="L32" s="27">
        <f>VLOOKUP(C32,'Asset Allocation'!A:K,11,FALSE)</f>
        <v>10</v>
      </c>
    </row>
    <row r="33" spans="1:12" x14ac:dyDescent="0.2">
      <c r="A33" s="29" t="s">
        <v>105</v>
      </c>
      <c r="B33" s="30" t="str">
        <f>'Asset Allocation'!A3&amp;"-"&amp;'Asset Allocation'!$D$1</f>
        <v>Heat Exchanger-Manila</v>
      </c>
      <c r="C33" s="30" t="s">
        <v>2</v>
      </c>
      <c r="D33" s="29" t="s">
        <v>115</v>
      </c>
      <c r="E33" s="29"/>
      <c r="F33" s="31">
        <f>'Asset Allocation'!D3</f>
        <v>0</v>
      </c>
      <c r="G33" s="31">
        <f t="shared" ref="G33:J33" si="31">IF($F33&lt;0.0001,0,F33-$F33/$L33)</f>
        <v>0</v>
      </c>
      <c r="H33" s="31">
        <f t="shared" si="31"/>
        <v>0</v>
      </c>
      <c r="I33" s="31">
        <f t="shared" si="31"/>
        <v>0</v>
      </c>
      <c r="J33" s="31">
        <f t="shared" si="31"/>
        <v>0</v>
      </c>
      <c r="L33" s="27">
        <f>VLOOKUP(C33,'Asset Allocation'!A:K,11,FALSE)</f>
        <v>5</v>
      </c>
    </row>
    <row r="34" spans="1:12" x14ac:dyDescent="0.2">
      <c r="A34" s="29" t="s">
        <v>106</v>
      </c>
      <c r="B34" s="30" t="str">
        <f>'Asset Allocation'!A4&amp;"-"&amp;'Asset Allocation'!$D$1</f>
        <v>Pipelines-Manila</v>
      </c>
      <c r="C34" s="30" t="s">
        <v>950</v>
      </c>
      <c r="D34" s="29" t="s">
        <v>115</v>
      </c>
      <c r="E34" s="29"/>
      <c r="F34" s="31">
        <f>'Asset Allocation'!D4</f>
        <v>400000</v>
      </c>
      <c r="G34" s="31">
        <f t="shared" ref="G34:J34" si="32">IF($F34&lt;0.0001,0,F34-$F34/$L34)</f>
        <v>360000</v>
      </c>
      <c r="H34" s="31">
        <f t="shared" si="32"/>
        <v>320000</v>
      </c>
      <c r="I34" s="31">
        <f t="shared" si="32"/>
        <v>280000</v>
      </c>
      <c r="J34" s="31">
        <f t="shared" si="32"/>
        <v>240000</v>
      </c>
      <c r="L34" s="27">
        <f>VLOOKUP(C34,'Asset Allocation'!A:K,11,FALSE)</f>
        <v>10</v>
      </c>
    </row>
    <row r="35" spans="1:12" x14ac:dyDescent="0.2">
      <c r="A35" s="29" t="s">
        <v>107</v>
      </c>
      <c r="B35" s="30" t="str">
        <f>'Asset Allocation'!A5&amp;"-"&amp;'Asset Allocation'!$D$1</f>
        <v>Property (Office Locations)-Manila</v>
      </c>
      <c r="C35" s="30" t="s">
        <v>3</v>
      </c>
      <c r="D35" s="29" t="s">
        <v>115</v>
      </c>
      <c r="E35" s="29"/>
      <c r="F35" s="31">
        <f>'Asset Allocation'!D5</f>
        <v>400000</v>
      </c>
      <c r="G35" s="31">
        <f t="shared" ref="G35:J35" si="33">IF($F35&lt;0.0001,0,F35-$F35/$L35)</f>
        <v>360000</v>
      </c>
      <c r="H35" s="31">
        <f t="shared" si="33"/>
        <v>320000</v>
      </c>
      <c r="I35" s="31">
        <f t="shared" si="33"/>
        <v>280000</v>
      </c>
      <c r="J35" s="31">
        <f t="shared" si="33"/>
        <v>240000</v>
      </c>
      <c r="L35" s="27">
        <f>VLOOKUP(C35,'Asset Allocation'!A:K,11,FALSE)</f>
        <v>10</v>
      </c>
    </row>
    <row r="36" spans="1:12" x14ac:dyDescent="0.2">
      <c r="A36" s="29" t="s">
        <v>108</v>
      </c>
      <c r="B36" s="30" t="str">
        <f>'Asset Allocation'!A6&amp;"-"&amp;'Asset Allocation'!$D$1</f>
        <v>Manufacturing Plants-Manila</v>
      </c>
      <c r="C36" s="30" t="s">
        <v>4</v>
      </c>
      <c r="D36" s="29" t="s">
        <v>115</v>
      </c>
      <c r="E36" s="29"/>
      <c r="F36" s="31">
        <f>'Asset Allocation'!D6</f>
        <v>0</v>
      </c>
      <c r="G36" s="31">
        <f t="shared" ref="G36:J36" si="34">IF($F36&lt;0.0001,0,F36-$F36/$L36)</f>
        <v>0</v>
      </c>
      <c r="H36" s="31">
        <f t="shared" si="34"/>
        <v>0</v>
      </c>
      <c r="I36" s="31">
        <f t="shared" si="34"/>
        <v>0</v>
      </c>
      <c r="J36" s="31">
        <f t="shared" si="34"/>
        <v>0</v>
      </c>
      <c r="L36" s="27">
        <f>VLOOKUP(C36,'Asset Allocation'!A:K,11,FALSE)</f>
        <v>10</v>
      </c>
    </row>
    <row r="37" spans="1:12" x14ac:dyDescent="0.2">
      <c r="A37" s="29" t="s">
        <v>109</v>
      </c>
      <c r="B37" s="30" t="str">
        <f>'Asset Allocation'!A7&amp;"-"&amp;'Asset Allocation'!$D$1</f>
        <v>Warehouse &amp; Cold Storage-Manila</v>
      </c>
      <c r="C37" s="30" t="s">
        <v>485</v>
      </c>
      <c r="D37" s="29" t="s">
        <v>115</v>
      </c>
      <c r="E37" s="29"/>
      <c r="F37" s="31">
        <f>'Asset Allocation'!D7</f>
        <v>300000</v>
      </c>
      <c r="G37" s="31">
        <f t="shared" ref="G37:J37" si="35">IF($F37&lt;0.0001,0,F37-$F37/$L37)</f>
        <v>240000</v>
      </c>
      <c r="H37" s="31">
        <f t="shared" si="35"/>
        <v>180000</v>
      </c>
      <c r="I37" s="31">
        <f t="shared" si="35"/>
        <v>120000</v>
      </c>
      <c r="J37" s="31">
        <f t="shared" si="35"/>
        <v>60000</v>
      </c>
      <c r="L37" s="27">
        <f>VLOOKUP(C37,'Asset Allocation'!A:K,11,FALSE)</f>
        <v>5</v>
      </c>
    </row>
    <row r="38" spans="1:12" x14ac:dyDescent="0.2">
      <c r="A38" s="29" t="s">
        <v>110</v>
      </c>
      <c r="B38" s="30" t="str">
        <f>'Asset Allocation'!A8&amp;"-"&amp;'Asset Allocation'!$D$1</f>
        <v>Hotels &amp; Resorts-Manila</v>
      </c>
      <c r="C38" s="30" t="s">
        <v>5</v>
      </c>
      <c r="D38" s="29" t="s">
        <v>115</v>
      </c>
      <c r="E38" s="29"/>
      <c r="F38" s="31">
        <f>'Asset Allocation'!D8</f>
        <v>0</v>
      </c>
      <c r="G38" s="31">
        <f t="shared" ref="G38:J38" si="36">IF($F38&lt;0.0001,0,F38-$F38/$L38)</f>
        <v>0</v>
      </c>
      <c r="H38" s="31">
        <f t="shared" si="36"/>
        <v>0</v>
      </c>
      <c r="I38" s="31">
        <f t="shared" si="36"/>
        <v>0</v>
      </c>
      <c r="J38" s="31">
        <f t="shared" si="36"/>
        <v>0</v>
      </c>
      <c r="L38" s="27">
        <f>VLOOKUP(C38,'Asset Allocation'!A:K,11,FALSE)</f>
        <v>10</v>
      </c>
    </row>
    <row r="39" spans="1:12" x14ac:dyDescent="0.2">
      <c r="A39" s="29" t="s">
        <v>111</v>
      </c>
      <c r="B39" s="30" t="str">
        <f>'Asset Allocation'!A9&amp;"-"&amp;'Asset Allocation'!$D$1</f>
        <v>Supermarkets &amp; Malls-Manila</v>
      </c>
      <c r="C39" s="30" t="s">
        <v>6</v>
      </c>
      <c r="D39" s="29" t="s">
        <v>115</v>
      </c>
      <c r="E39" s="29"/>
      <c r="F39" s="31">
        <f>'Asset Allocation'!D9</f>
        <v>500000</v>
      </c>
      <c r="G39" s="31">
        <f t="shared" ref="G39:J39" si="37">IF($F39&lt;0.0001,0,F39-$F39/$L39)</f>
        <v>400000</v>
      </c>
      <c r="H39" s="31">
        <f t="shared" si="37"/>
        <v>300000</v>
      </c>
      <c r="I39" s="31">
        <f t="shared" si="37"/>
        <v>200000</v>
      </c>
      <c r="J39" s="31">
        <f t="shared" si="37"/>
        <v>100000</v>
      </c>
      <c r="L39" s="27">
        <f>VLOOKUP(C39,'Asset Allocation'!A:K,11,FALSE)</f>
        <v>5</v>
      </c>
    </row>
    <row r="40" spans="1:12" x14ac:dyDescent="0.2">
      <c r="A40" s="29" t="s">
        <v>112</v>
      </c>
      <c r="B40" s="30" t="str">
        <f>'Asset Allocation'!A10&amp;"-"&amp;'Asset Allocation'!$D$1</f>
        <v>Mines-Manila</v>
      </c>
      <c r="C40" s="30" t="s">
        <v>7</v>
      </c>
      <c r="D40" s="29" t="s">
        <v>115</v>
      </c>
      <c r="E40" s="29"/>
      <c r="F40" s="31">
        <f>'Asset Allocation'!D10</f>
        <v>0</v>
      </c>
      <c r="G40" s="31">
        <f t="shared" ref="G40:J40" si="38">IF($F40&lt;0.0001,0,F40-$F40/$L40)</f>
        <v>0</v>
      </c>
      <c r="H40" s="31">
        <f t="shared" si="38"/>
        <v>0</v>
      </c>
      <c r="I40" s="31">
        <f t="shared" si="38"/>
        <v>0</v>
      </c>
      <c r="J40" s="31">
        <f t="shared" si="38"/>
        <v>0</v>
      </c>
      <c r="L40" s="27">
        <f>VLOOKUP(C40,'Asset Allocation'!A:K,11,FALSE)</f>
        <v>10</v>
      </c>
    </row>
    <row r="41" spans="1:12" x14ac:dyDescent="0.2">
      <c r="A41" s="29" t="s">
        <v>113</v>
      </c>
      <c r="B41" s="30" t="str">
        <f>'Asset Allocation'!A11&amp;"-"&amp;'Asset Allocation'!$D$1</f>
        <v>Power Plants-Manila</v>
      </c>
      <c r="C41" s="30" t="s">
        <v>8</v>
      </c>
      <c r="D41" s="29" t="s">
        <v>115</v>
      </c>
      <c r="E41" s="29"/>
      <c r="F41" s="31">
        <f>'Asset Allocation'!D11</f>
        <v>300000</v>
      </c>
      <c r="G41" s="31">
        <f t="shared" ref="G41:J41" si="39">IF($F41&lt;0.0001,0,F41-$F41/$L41)</f>
        <v>240000</v>
      </c>
      <c r="H41" s="31">
        <f t="shared" si="39"/>
        <v>180000</v>
      </c>
      <c r="I41" s="31">
        <f t="shared" si="39"/>
        <v>120000</v>
      </c>
      <c r="J41" s="31">
        <f t="shared" si="39"/>
        <v>60000</v>
      </c>
      <c r="L41" s="27">
        <f>VLOOKUP(C41,'Asset Allocation'!A:K,11,FALSE)</f>
        <v>5</v>
      </c>
    </row>
    <row r="42" spans="1:12" x14ac:dyDescent="0.2">
      <c r="A42" s="29" t="s">
        <v>205</v>
      </c>
      <c r="B42" s="30" t="str">
        <f>'Asset Allocation'!A12&amp;"-"&amp;'Asset Allocation'!$D$1</f>
        <v>Oil Refineries-Manila</v>
      </c>
      <c r="C42" s="30" t="s">
        <v>9</v>
      </c>
      <c r="D42" s="29" t="s">
        <v>115</v>
      </c>
      <c r="E42" s="29"/>
      <c r="F42" s="31">
        <f>'Asset Allocation'!D12</f>
        <v>0</v>
      </c>
      <c r="G42" s="31">
        <f t="shared" ref="G42:J42" si="40">IF($F42&lt;0.0001,0,F42-$F42/$L42)</f>
        <v>0</v>
      </c>
      <c r="H42" s="31">
        <f t="shared" si="40"/>
        <v>0</v>
      </c>
      <c r="I42" s="31">
        <f t="shared" si="40"/>
        <v>0</v>
      </c>
      <c r="J42" s="31">
        <f t="shared" si="40"/>
        <v>0</v>
      </c>
      <c r="L42" s="27">
        <f>VLOOKUP(C42,'Asset Allocation'!A:K,11,FALSE)</f>
        <v>10</v>
      </c>
    </row>
    <row r="43" spans="1:12" x14ac:dyDescent="0.2">
      <c r="A43" s="29" t="s">
        <v>206</v>
      </c>
      <c r="B43" s="30" t="str">
        <f>'Asset Allocation'!A13&amp;"-"&amp;'Asset Allocation'!$D$1</f>
        <v>Telecom Towers-Manila</v>
      </c>
      <c r="C43" s="30" t="s">
        <v>10</v>
      </c>
      <c r="D43" s="29" t="s">
        <v>115</v>
      </c>
      <c r="E43" s="29"/>
      <c r="F43" s="31">
        <f>'Asset Allocation'!D13</f>
        <v>0</v>
      </c>
      <c r="G43" s="31">
        <f t="shared" ref="G43:J43" si="41">IF($F43&lt;0.0001,0,F43-$F43/$L43)</f>
        <v>0</v>
      </c>
      <c r="H43" s="31">
        <f t="shared" si="41"/>
        <v>0</v>
      </c>
      <c r="I43" s="31">
        <f t="shared" si="41"/>
        <v>0</v>
      </c>
      <c r="J43" s="31">
        <f t="shared" si="41"/>
        <v>0</v>
      </c>
      <c r="L43" s="27">
        <f>VLOOKUP(C43,'Asset Allocation'!A:K,11,FALSE)</f>
        <v>4</v>
      </c>
    </row>
    <row r="44" spans="1:12" x14ac:dyDescent="0.2">
      <c r="A44" s="29" t="s">
        <v>207</v>
      </c>
      <c r="B44" s="30" t="str">
        <f>'Asset Allocation'!A14&amp;"-"&amp;'Asset Allocation'!$D$1</f>
        <v>Aircrafts-Manila</v>
      </c>
      <c r="C44" s="30" t="s">
        <v>11</v>
      </c>
      <c r="D44" s="29" t="s">
        <v>115</v>
      </c>
      <c r="E44" s="29"/>
      <c r="F44" s="31">
        <f>'Asset Allocation'!D14</f>
        <v>500000</v>
      </c>
      <c r="G44" s="31">
        <f t="shared" ref="G44:J44" si="42">IF($F44&lt;0.0001,0,F44-$F44/$L44)</f>
        <v>400000</v>
      </c>
      <c r="H44" s="31">
        <f t="shared" si="42"/>
        <v>300000</v>
      </c>
      <c r="I44" s="31">
        <f t="shared" si="42"/>
        <v>200000</v>
      </c>
      <c r="J44" s="31">
        <f t="shared" si="42"/>
        <v>100000</v>
      </c>
      <c r="L44" s="27">
        <f>VLOOKUP(C44,'Asset Allocation'!A:K,11,FALSE)</f>
        <v>5</v>
      </c>
    </row>
    <row r="45" spans="1:12" x14ac:dyDescent="0.2">
      <c r="A45" s="29" t="s">
        <v>208</v>
      </c>
      <c r="B45" s="30" t="str">
        <f>'Asset Allocation'!A15&amp;"-"&amp;'Asset Allocation'!$D$1</f>
        <v>Ships &amp; Cargo-Manila</v>
      </c>
      <c r="C45" s="30" t="s">
        <v>951</v>
      </c>
      <c r="D45" s="29" t="s">
        <v>115</v>
      </c>
      <c r="E45" s="29"/>
      <c r="F45" s="31">
        <f>'Asset Allocation'!D15</f>
        <v>0</v>
      </c>
      <c r="G45" s="31">
        <f t="shared" ref="G45:J45" si="43">IF($F45&lt;0.0001,0,F45-$F45/$L45)</f>
        <v>0</v>
      </c>
      <c r="H45" s="31">
        <f t="shared" si="43"/>
        <v>0</v>
      </c>
      <c r="I45" s="31">
        <f t="shared" si="43"/>
        <v>0</v>
      </c>
      <c r="J45" s="31">
        <f t="shared" si="43"/>
        <v>0</v>
      </c>
      <c r="L45" s="27">
        <f>VLOOKUP(C45,'Asset Allocation'!A:K,11,FALSE)</f>
        <v>5</v>
      </c>
    </row>
    <row r="46" spans="1:12" x14ac:dyDescent="0.2">
      <c r="A46" s="29" t="s">
        <v>209</v>
      </c>
      <c r="B46" s="30" t="str">
        <f>'Asset Allocation'!A16&amp;"-"&amp;'Asset Allocation'!$D$1</f>
        <v>Fleets &amp; Cars-Manila</v>
      </c>
      <c r="C46" s="30" t="s">
        <v>949</v>
      </c>
      <c r="D46" s="29" t="s">
        <v>115</v>
      </c>
      <c r="E46" s="29"/>
      <c r="F46" s="31">
        <f>'Asset Allocation'!D16</f>
        <v>300000</v>
      </c>
      <c r="G46" s="31">
        <f t="shared" ref="G46:J46" si="44">IF($F46&lt;0.0001,0,F46-$F46/$L46)</f>
        <v>225000</v>
      </c>
      <c r="H46" s="31">
        <f t="shared" si="44"/>
        <v>150000</v>
      </c>
      <c r="I46" s="31">
        <f t="shared" si="44"/>
        <v>75000</v>
      </c>
      <c r="J46" s="31">
        <f t="shared" si="44"/>
        <v>0</v>
      </c>
      <c r="L46" s="27">
        <f>VLOOKUP(C46,'Asset Allocation'!A:K,11,FALSE)</f>
        <v>4</v>
      </c>
    </row>
    <row r="47" spans="1:12" x14ac:dyDescent="0.2">
      <c r="A47" s="29" t="s">
        <v>210</v>
      </c>
      <c r="B47" s="30" t="str">
        <f>'Asset Allocation'!A2&amp;"-"&amp;'Asset Allocation'!$E$1</f>
        <v>Heavy Machinery-San Francisco</v>
      </c>
      <c r="C47" s="30" t="s">
        <v>479</v>
      </c>
      <c r="D47" s="29" t="s">
        <v>480</v>
      </c>
      <c r="E47" s="29"/>
      <c r="F47" s="31">
        <f>'Asset Allocation'!E2</f>
        <v>0</v>
      </c>
      <c r="G47" s="31">
        <f t="shared" ref="G47:J47" si="45">IF($F47&lt;0.0001,0,F47-$F47/$L47)</f>
        <v>0</v>
      </c>
      <c r="H47" s="31">
        <f t="shared" si="45"/>
        <v>0</v>
      </c>
      <c r="I47" s="31">
        <f t="shared" si="45"/>
        <v>0</v>
      </c>
      <c r="J47" s="31">
        <f t="shared" si="45"/>
        <v>0</v>
      </c>
      <c r="L47" s="27">
        <f>VLOOKUP(C47,'Asset Allocation'!A:K,11,FALSE)</f>
        <v>10</v>
      </c>
    </row>
    <row r="48" spans="1:12" x14ac:dyDescent="0.2">
      <c r="A48" s="29" t="s">
        <v>211</v>
      </c>
      <c r="B48" s="30" t="str">
        <f>'Asset Allocation'!A3&amp;"-"&amp;'Asset Allocation'!$E$1</f>
        <v>Heat Exchanger-San Francisco</v>
      </c>
      <c r="C48" s="30" t="s">
        <v>2</v>
      </c>
      <c r="D48" s="29" t="s">
        <v>480</v>
      </c>
      <c r="E48" s="29"/>
      <c r="F48" s="31">
        <f>'Asset Allocation'!E3</f>
        <v>600000</v>
      </c>
      <c r="G48" s="31">
        <f t="shared" ref="G48:J48" si="46">IF($F48&lt;0.0001,0,F48-$F48/$L48)</f>
        <v>480000</v>
      </c>
      <c r="H48" s="31">
        <f t="shared" si="46"/>
        <v>360000</v>
      </c>
      <c r="I48" s="31">
        <f t="shared" si="46"/>
        <v>240000</v>
      </c>
      <c r="J48" s="31">
        <f t="shared" si="46"/>
        <v>120000</v>
      </c>
      <c r="L48" s="27">
        <f>VLOOKUP(C48,'Asset Allocation'!A:K,11,FALSE)</f>
        <v>5</v>
      </c>
    </row>
    <row r="49" spans="1:12" x14ac:dyDescent="0.2">
      <c r="A49" s="29" t="s">
        <v>212</v>
      </c>
      <c r="B49" s="30" t="str">
        <f>'Asset Allocation'!A4&amp;"-"&amp;'Asset Allocation'!$E$1</f>
        <v>Pipelines-San Francisco</v>
      </c>
      <c r="C49" s="30" t="s">
        <v>950</v>
      </c>
      <c r="D49" s="29" t="s">
        <v>480</v>
      </c>
      <c r="E49" s="29"/>
      <c r="F49" s="31">
        <f>'Asset Allocation'!E4</f>
        <v>0</v>
      </c>
      <c r="G49" s="31">
        <f t="shared" ref="G49:J49" si="47">IF($F49&lt;0.0001,0,F49-$F49/$L49)</f>
        <v>0</v>
      </c>
      <c r="H49" s="31">
        <f t="shared" si="47"/>
        <v>0</v>
      </c>
      <c r="I49" s="31">
        <f t="shared" si="47"/>
        <v>0</v>
      </c>
      <c r="J49" s="31">
        <f t="shared" si="47"/>
        <v>0</v>
      </c>
      <c r="L49" s="27">
        <f>VLOOKUP(C49,'Asset Allocation'!A:K,11,FALSE)</f>
        <v>10</v>
      </c>
    </row>
    <row r="50" spans="1:12" x14ac:dyDescent="0.2">
      <c r="A50" s="29" t="s">
        <v>213</v>
      </c>
      <c r="B50" s="30" t="str">
        <f>'Asset Allocation'!A5&amp;"-"&amp;'Asset Allocation'!$E$1</f>
        <v>Property (Office Locations)-San Francisco</v>
      </c>
      <c r="C50" s="30" t="s">
        <v>3</v>
      </c>
      <c r="D50" s="29" t="s">
        <v>480</v>
      </c>
      <c r="E50" s="29"/>
      <c r="F50" s="31">
        <f>'Asset Allocation'!E5</f>
        <v>800000</v>
      </c>
      <c r="G50" s="31">
        <f t="shared" ref="G50:J50" si="48">IF($F50&lt;0.0001,0,F50-$F50/$L50)</f>
        <v>720000</v>
      </c>
      <c r="H50" s="31">
        <f t="shared" si="48"/>
        <v>640000</v>
      </c>
      <c r="I50" s="31">
        <f t="shared" si="48"/>
        <v>560000</v>
      </c>
      <c r="J50" s="31">
        <f t="shared" si="48"/>
        <v>480000</v>
      </c>
      <c r="L50" s="27">
        <f>VLOOKUP(C50,'Asset Allocation'!A:K,11,FALSE)</f>
        <v>10</v>
      </c>
    </row>
    <row r="51" spans="1:12" x14ac:dyDescent="0.2">
      <c r="A51" s="29" t="s">
        <v>214</v>
      </c>
      <c r="B51" s="30" t="str">
        <f>'Asset Allocation'!A6&amp;"-"&amp;'Asset Allocation'!$E$1</f>
        <v>Manufacturing Plants-San Francisco</v>
      </c>
      <c r="C51" s="30" t="s">
        <v>4</v>
      </c>
      <c r="D51" s="29" t="s">
        <v>480</v>
      </c>
      <c r="E51" s="29"/>
      <c r="F51" s="31">
        <f>'Asset Allocation'!E6</f>
        <v>0</v>
      </c>
      <c r="G51" s="31">
        <f t="shared" ref="G51:J51" si="49">IF($F51&lt;0.0001,0,F51-$F51/$L51)</f>
        <v>0</v>
      </c>
      <c r="H51" s="31">
        <f t="shared" si="49"/>
        <v>0</v>
      </c>
      <c r="I51" s="31">
        <f t="shared" si="49"/>
        <v>0</v>
      </c>
      <c r="J51" s="31">
        <f t="shared" si="49"/>
        <v>0</v>
      </c>
      <c r="L51" s="27">
        <f>VLOOKUP(C51,'Asset Allocation'!A:K,11,FALSE)</f>
        <v>10</v>
      </c>
    </row>
    <row r="52" spans="1:12" x14ac:dyDescent="0.2">
      <c r="A52" s="29" t="s">
        <v>215</v>
      </c>
      <c r="B52" s="30" t="str">
        <f>'Asset Allocation'!A7&amp;"-"&amp;'Asset Allocation'!$E$1</f>
        <v>Warehouse &amp; Cold Storage-San Francisco</v>
      </c>
      <c r="C52" s="30" t="s">
        <v>485</v>
      </c>
      <c r="D52" s="29" t="s">
        <v>480</v>
      </c>
      <c r="E52" s="29"/>
      <c r="F52" s="31">
        <f>'Asset Allocation'!E7</f>
        <v>0</v>
      </c>
      <c r="G52" s="31">
        <f t="shared" ref="G52:J52" si="50">IF($F52&lt;0.0001,0,F52-$F52/$L52)</f>
        <v>0</v>
      </c>
      <c r="H52" s="31">
        <f t="shared" si="50"/>
        <v>0</v>
      </c>
      <c r="I52" s="31">
        <f t="shared" si="50"/>
        <v>0</v>
      </c>
      <c r="J52" s="31">
        <f t="shared" si="50"/>
        <v>0</v>
      </c>
      <c r="L52" s="27">
        <f>VLOOKUP(C52,'Asset Allocation'!A:K,11,FALSE)</f>
        <v>5</v>
      </c>
    </row>
    <row r="53" spans="1:12" x14ac:dyDescent="0.2">
      <c r="A53" s="29" t="s">
        <v>216</v>
      </c>
      <c r="B53" s="30" t="str">
        <f>'Asset Allocation'!A8&amp;"-"&amp;'Asset Allocation'!$E$1</f>
        <v>Hotels &amp; Resorts-San Francisco</v>
      </c>
      <c r="C53" s="30" t="s">
        <v>5</v>
      </c>
      <c r="D53" s="29" t="s">
        <v>480</v>
      </c>
      <c r="E53" s="29"/>
      <c r="F53" s="31">
        <f>'Asset Allocation'!E8</f>
        <v>0</v>
      </c>
      <c r="G53" s="31">
        <f t="shared" ref="G53:J53" si="51">IF($F53&lt;0.0001,0,F53-$F53/$L53)</f>
        <v>0</v>
      </c>
      <c r="H53" s="31">
        <f t="shared" si="51"/>
        <v>0</v>
      </c>
      <c r="I53" s="31">
        <f t="shared" si="51"/>
        <v>0</v>
      </c>
      <c r="J53" s="31">
        <f t="shared" si="51"/>
        <v>0</v>
      </c>
      <c r="L53" s="27">
        <f>VLOOKUP(C53,'Asset Allocation'!A:K,11,FALSE)</f>
        <v>10</v>
      </c>
    </row>
    <row r="54" spans="1:12" x14ac:dyDescent="0.2">
      <c r="A54" s="29" t="s">
        <v>217</v>
      </c>
      <c r="B54" s="30" t="str">
        <f>'Asset Allocation'!A9&amp;"-"&amp;'Asset Allocation'!$E$1</f>
        <v>Supermarkets &amp; Malls-San Francisco</v>
      </c>
      <c r="C54" s="30" t="s">
        <v>6</v>
      </c>
      <c r="D54" s="29" t="s">
        <v>480</v>
      </c>
      <c r="E54" s="29"/>
      <c r="F54" s="31">
        <f>'Asset Allocation'!E9</f>
        <v>500000</v>
      </c>
      <c r="G54" s="31">
        <f t="shared" ref="G54:J54" si="52">IF($F54&lt;0.0001,0,F54-$F54/$L54)</f>
        <v>400000</v>
      </c>
      <c r="H54" s="31">
        <f t="shared" si="52"/>
        <v>300000</v>
      </c>
      <c r="I54" s="31">
        <f t="shared" si="52"/>
        <v>200000</v>
      </c>
      <c r="J54" s="31">
        <f t="shared" si="52"/>
        <v>100000</v>
      </c>
      <c r="L54" s="27">
        <f>VLOOKUP(C54,'Asset Allocation'!A:K,11,FALSE)</f>
        <v>5</v>
      </c>
    </row>
    <row r="55" spans="1:12" x14ac:dyDescent="0.2">
      <c r="A55" s="29" t="s">
        <v>218</v>
      </c>
      <c r="B55" s="30" t="str">
        <f>'Asset Allocation'!A10&amp;"-"&amp;'Asset Allocation'!$E$1</f>
        <v>Mines-San Francisco</v>
      </c>
      <c r="C55" s="30" t="s">
        <v>7</v>
      </c>
      <c r="D55" s="29" t="s">
        <v>480</v>
      </c>
      <c r="E55" s="29"/>
      <c r="F55" s="31">
        <f>'Asset Allocation'!E10</f>
        <v>300000</v>
      </c>
      <c r="G55" s="31">
        <f t="shared" ref="G55:J55" si="53">IF($F55&lt;0.0001,0,F55-$F55/$L55)</f>
        <v>270000</v>
      </c>
      <c r="H55" s="31">
        <f t="shared" si="53"/>
        <v>240000</v>
      </c>
      <c r="I55" s="31">
        <f t="shared" si="53"/>
        <v>210000</v>
      </c>
      <c r="J55" s="31">
        <f t="shared" si="53"/>
        <v>180000</v>
      </c>
      <c r="L55" s="27">
        <f>VLOOKUP(C55,'Asset Allocation'!A:K,11,FALSE)</f>
        <v>10</v>
      </c>
    </row>
    <row r="56" spans="1:12" x14ac:dyDescent="0.2">
      <c r="A56" s="29" t="s">
        <v>219</v>
      </c>
      <c r="B56" s="30" t="str">
        <f>'Asset Allocation'!A11&amp;"-"&amp;'Asset Allocation'!$E$1</f>
        <v>Power Plants-San Francisco</v>
      </c>
      <c r="C56" s="30" t="s">
        <v>8</v>
      </c>
      <c r="D56" s="29" t="s">
        <v>480</v>
      </c>
      <c r="E56" s="29"/>
      <c r="F56" s="31">
        <f>'Asset Allocation'!E11</f>
        <v>500000</v>
      </c>
      <c r="G56" s="31">
        <f t="shared" ref="G56:J56" si="54">IF($F56&lt;0.0001,0,F56-$F56/$L56)</f>
        <v>400000</v>
      </c>
      <c r="H56" s="31">
        <f t="shared" si="54"/>
        <v>300000</v>
      </c>
      <c r="I56" s="31">
        <f t="shared" si="54"/>
        <v>200000</v>
      </c>
      <c r="J56" s="31">
        <f t="shared" si="54"/>
        <v>100000</v>
      </c>
      <c r="L56" s="27">
        <f>VLOOKUP(C56,'Asset Allocation'!A:K,11,FALSE)</f>
        <v>5</v>
      </c>
    </row>
    <row r="57" spans="1:12" x14ac:dyDescent="0.2">
      <c r="A57" s="29" t="s">
        <v>220</v>
      </c>
      <c r="B57" s="30" t="str">
        <f>'Asset Allocation'!A12&amp;"-"&amp;'Asset Allocation'!$E$1</f>
        <v>Oil Refineries-San Francisco</v>
      </c>
      <c r="C57" s="30" t="s">
        <v>9</v>
      </c>
      <c r="D57" s="29" t="s">
        <v>480</v>
      </c>
      <c r="E57" s="29"/>
      <c r="F57" s="31">
        <f>'Asset Allocation'!E12</f>
        <v>0</v>
      </c>
      <c r="G57" s="31">
        <f t="shared" ref="G57:J57" si="55">IF($F57&lt;0.0001,0,F57-$F57/$L57)</f>
        <v>0</v>
      </c>
      <c r="H57" s="31">
        <f t="shared" si="55"/>
        <v>0</v>
      </c>
      <c r="I57" s="31">
        <f t="shared" si="55"/>
        <v>0</v>
      </c>
      <c r="J57" s="31">
        <f t="shared" si="55"/>
        <v>0</v>
      </c>
      <c r="L57" s="27">
        <f>VLOOKUP(C57,'Asset Allocation'!A:K,11,FALSE)</f>
        <v>10</v>
      </c>
    </row>
    <row r="58" spans="1:12" x14ac:dyDescent="0.2">
      <c r="A58" s="29" t="s">
        <v>221</v>
      </c>
      <c r="B58" s="30" t="str">
        <f>'Asset Allocation'!A13&amp;"-"&amp;'Asset Allocation'!$E$1</f>
        <v>Telecom Towers-San Francisco</v>
      </c>
      <c r="C58" s="30" t="s">
        <v>10</v>
      </c>
      <c r="D58" s="29" t="s">
        <v>480</v>
      </c>
      <c r="E58" s="29"/>
      <c r="F58" s="31">
        <f>'Asset Allocation'!E13</f>
        <v>0</v>
      </c>
      <c r="G58" s="31">
        <f t="shared" ref="G58:J58" si="56">IF($F58&lt;0.0001,0,F58-$F58/$L58)</f>
        <v>0</v>
      </c>
      <c r="H58" s="31">
        <f t="shared" si="56"/>
        <v>0</v>
      </c>
      <c r="I58" s="31">
        <f t="shared" si="56"/>
        <v>0</v>
      </c>
      <c r="J58" s="31">
        <f t="shared" si="56"/>
        <v>0</v>
      </c>
      <c r="L58" s="27">
        <f>VLOOKUP(C58,'Asset Allocation'!A:K,11,FALSE)</f>
        <v>4</v>
      </c>
    </row>
    <row r="59" spans="1:12" x14ac:dyDescent="0.2">
      <c r="A59" s="29" t="s">
        <v>222</v>
      </c>
      <c r="B59" s="30" t="str">
        <f>'Asset Allocation'!A14&amp;"-"&amp;'Asset Allocation'!$E$1</f>
        <v>Aircrafts-San Francisco</v>
      </c>
      <c r="C59" s="30" t="s">
        <v>11</v>
      </c>
      <c r="D59" s="29" t="s">
        <v>480</v>
      </c>
      <c r="E59" s="29"/>
      <c r="F59" s="31">
        <f>'Asset Allocation'!E14</f>
        <v>200000</v>
      </c>
      <c r="G59" s="31">
        <f t="shared" ref="G59:J59" si="57">IF($F59&lt;0.0001,0,F59-$F59/$L59)</f>
        <v>160000</v>
      </c>
      <c r="H59" s="31">
        <f t="shared" si="57"/>
        <v>120000</v>
      </c>
      <c r="I59" s="31">
        <f t="shared" si="57"/>
        <v>80000</v>
      </c>
      <c r="J59" s="31">
        <f t="shared" si="57"/>
        <v>40000</v>
      </c>
      <c r="L59" s="27">
        <f>VLOOKUP(C59,'Asset Allocation'!A:K,11,FALSE)</f>
        <v>5</v>
      </c>
    </row>
    <row r="60" spans="1:12" x14ac:dyDescent="0.2">
      <c r="A60" s="29" t="s">
        <v>223</v>
      </c>
      <c r="B60" s="30" t="str">
        <f>'Asset Allocation'!A15&amp;"-"&amp;'Asset Allocation'!$E$1</f>
        <v>Ships &amp; Cargo-San Francisco</v>
      </c>
      <c r="C60" s="30" t="s">
        <v>951</v>
      </c>
      <c r="D60" s="29" t="s">
        <v>480</v>
      </c>
      <c r="E60" s="29"/>
      <c r="F60" s="31">
        <f>'Asset Allocation'!E15</f>
        <v>0</v>
      </c>
      <c r="G60" s="31">
        <f t="shared" ref="G60:J60" si="58">IF($F60&lt;0.0001,0,F60-$F60/$L60)</f>
        <v>0</v>
      </c>
      <c r="H60" s="31">
        <f t="shared" si="58"/>
        <v>0</v>
      </c>
      <c r="I60" s="31">
        <f t="shared" si="58"/>
        <v>0</v>
      </c>
      <c r="J60" s="31">
        <f t="shared" si="58"/>
        <v>0</v>
      </c>
      <c r="L60" s="27">
        <f>VLOOKUP(C60,'Asset Allocation'!A:K,11,FALSE)</f>
        <v>5</v>
      </c>
    </row>
    <row r="61" spans="1:12" x14ac:dyDescent="0.2">
      <c r="A61" s="29" t="s">
        <v>224</v>
      </c>
      <c r="B61" s="30" t="str">
        <f>'Asset Allocation'!A16&amp;"-"&amp;'Asset Allocation'!$E$1</f>
        <v>Fleets &amp; Cars-San Francisco</v>
      </c>
      <c r="C61" s="30" t="s">
        <v>949</v>
      </c>
      <c r="D61" s="29" t="s">
        <v>480</v>
      </c>
      <c r="E61" s="29"/>
      <c r="F61" s="31">
        <f>'Asset Allocation'!E16</f>
        <v>400000</v>
      </c>
      <c r="G61" s="31">
        <f t="shared" ref="G61:J61" si="59">IF($F61&lt;0.0001,0,F61-$F61/$L61)</f>
        <v>300000</v>
      </c>
      <c r="H61" s="31">
        <f t="shared" si="59"/>
        <v>200000</v>
      </c>
      <c r="I61" s="31">
        <f t="shared" si="59"/>
        <v>100000</v>
      </c>
      <c r="J61" s="31">
        <f t="shared" si="59"/>
        <v>0</v>
      </c>
      <c r="L61" s="27">
        <f>VLOOKUP(C61,'Asset Allocation'!A:K,11,FALSE)</f>
        <v>4</v>
      </c>
    </row>
    <row r="62" spans="1:12" x14ac:dyDescent="0.2">
      <c r="A62" s="29" t="s">
        <v>225</v>
      </c>
      <c r="B62" s="30" t="str">
        <f>'Asset Allocation'!A2&amp;"-"&amp;'Asset Allocation'!$F$1</f>
        <v>Heavy Machinery-Calgary</v>
      </c>
      <c r="C62" s="30" t="s">
        <v>479</v>
      </c>
      <c r="D62" s="29" t="s">
        <v>402</v>
      </c>
      <c r="E62" s="29"/>
      <c r="F62" s="31">
        <f>'Asset Allocation'!F2</f>
        <v>0</v>
      </c>
      <c r="G62" s="31">
        <f t="shared" ref="G62:J62" si="60">IF($F62&lt;0.0001,0,F62-$F62/$L62)</f>
        <v>0</v>
      </c>
      <c r="H62" s="31">
        <f t="shared" si="60"/>
        <v>0</v>
      </c>
      <c r="I62" s="31">
        <f t="shared" si="60"/>
        <v>0</v>
      </c>
      <c r="J62" s="31">
        <f t="shared" si="60"/>
        <v>0</v>
      </c>
      <c r="L62" s="27">
        <f>VLOOKUP(C62,'Asset Allocation'!A:K,11,FALSE)</f>
        <v>10</v>
      </c>
    </row>
    <row r="63" spans="1:12" x14ac:dyDescent="0.2">
      <c r="A63" s="29" t="s">
        <v>226</v>
      </c>
      <c r="B63" s="30" t="str">
        <f>'Asset Allocation'!A3&amp;"-"&amp;'Asset Allocation'!$F$1</f>
        <v>Heat Exchanger-Calgary</v>
      </c>
      <c r="C63" s="30" t="s">
        <v>2</v>
      </c>
      <c r="D63" s="29" t="s">
        <v>402</v>
      </c>
      <c r="E63" s="29"/>
      <c r="F63" s="31">
        <f>'Asset Allocation'!F3</f>
        <v>0</v>
      </c>
      <c r="G63" s="31">
        <f t="shared" ref="G63:J63" si="61">IF($F63&lt;0.0001,0,F63-$F63/$L63)</f>
        <v>0</v>
      </c>
      <c r="H63" s="31">
        <f t="shared" si="61"/>
        <v>0</v>
      </c>
      <c r="I63" s="31">
        <f t="shared" si="61"/>
        <v>0</v>
      </c>
      <c r="J63" s="31">
        <f t="shared" si="61"/>
        <v>0</v>
      </c>
      <c r="L63" s="27">
        <f>VLOOKUP(C63,'Asset Allocation'!A:K,11,FALSE)</f>
        <v>5</v>
      </c>
    </row>
    <row r="64" spans="1:12" x14ac:dyDescent="0.2">
      <c r="A64" s="29" t="s">
        <v>227</v>
      </c>
      <c r="B64" s="30" t="str">
        <f>'Asset Allocation'!A4&amp;"-"&amp;'Asset Allocation'!$F$1</f>
        <v>Pipelines-Calgary</v>
      </c>
      <c r="C64" s="30" t="s">
        <v>950</v>
      </c>
      <c r="D64" s="29" t="s">
        <v>402</v>
      </c>
      <c r="E64" s="29"/>
      <c r="F64" s="31">
        <f>'Asset Allocation'!F4</f>
        <v>0</v>
      </c>
      <c r="G64" s="31">
        <f t="shared" ref="G64:J64" si="62">IF($F64&lt;0.0001,0,F64-$F64/$L64)</f>
        <v>0</v>
      </c>
      <c r="H64" s="31">
        <f t="shared" si="62"/>
        <v>0</v>
      </c>
      <c r="I64" s="31">
        <f t="shared" si="62"/>
        <v>0</v>
      </c>
      <c r="J64" s="31">
        <f t="shared" si="62"/>
        <v>0</v>
      </c>
      <c r="L64" s="27">
        <f>VLOOKUP(C64,'Asset Allocation'!A:K,11,FALSE)</f>
        <v>10</v>
      </c>
    </row>
    <row r="65" spans="1:12" x14ac:dyDescent="0.2">
      <c r="A65" s="29" t="s">
        <v>228</v>
      </c>
      <c r="B65" s="30" t="str">
        <f>'Asset Allocation'!A5&amp;"-"&amp;'Asset Allocation'!$F$1</f>
        <v>Property (Office Locations)-Calgary</v>
      </c>
      <c r="C65" s="30" t="s">
        <v>3</v>
      </c>
      <c r="D65" s="29" t="s">
        <v>402</v>
      </c>
      <c r="E65" s="29"/>
      <c r="F65" s="31">
        <f>'Asset Allocation'!F5</f>
        <v>1000000</v>
      </c>
      <c r="G65" s="31">
        <f t="shared" ref="G65:J65" si="63">IF($F65&lt;0.0001,0,F65-$F65/$L65)</f>
        <v>900000</v>
      </c>
      <c r="H65" s="31">
        <f t="shared" si="63"/>
        <v>800000</v>
      </c>
      <c r="I65" s="31">
        <f t="shared" si="63"/>
        <v>700000</v>
      </c>
      <c r="J65" s="31">
        <f t="shared" si="63"/>
        <v>600000</v>
      </c>
      <c r="L65" s="27">
        <f>VLOOKUP(C65,'Asset Allocation'!A:K,11,FALSE)</f>
        <v>10</v>
      </c>
    </row>
    <row r="66" spans="1:12" x14ac:dyDescent="0.2">
      <c r="A66" s="29" t="s">
        <v>229</v>
      </c>
      <c r="B66" s="30" t="str">
        <f>'Asset Allocation'!A6&amp;"-"&amp;'Asset Allocation'!$F$1</f>
        <v>Manufacturing Plants-Calgary</v>
      </c>
      <c r="C66" s="30" t="s">
        <v>4</v>
      </c>
      <c r="D66" s="29" t="s">
        <v>402</v>
      </c>
      <c r="E66" s="29"/>
      <c r="F66" s="31">
        <f>'Asset Allocation'!F6</f>
        <v>0</v>
      </c>
      <c r="G66" s="31">
        <f t="shared" ref="G66:J66" si="64">IF($F66&lt;0.0001,0,F66-$F66/$L66)</f>
        <v>0</v>
      </c>
      <c r="H66" s="31">
        <f t="shared" si="64"/>
        <v>0</v>
      </c>
      <c r="I66" s="31">
        <f t="shared" si="64"/>
        <v>0</v>
      </c>
      <c r="J66" s="31">
        <f t="shared" si="64"/>
        <v>0</v>
      </c>
      <c r="L66" s="27">
        <f>VLOOKUP(C66,'Asset Allocation'!A:K,11,FALSE)</f>
        <v>10</v>
      </c>
    </row>
    <row r="67" spans="1:12" x14ac:dyDescent="0.2">
      <c r="A67" s="29" t="s">
        <v>230</v>
      </c>
      <c r="B67" s="30" t="str">
        <f>'Asset Allocation'!A7&amp;"-"&amp;'Asset Allocation'!$F$1</f>
        <v>Warehouse &amp; Cold Storage-Calgary</v>
      </c>
      <c r="C67" s="30" t="s">
        <v>485</v>
      </c>
      <c r="D67" s="29" t="s">
        <v>402</v>
      </c>
      <c r="E67" s="29"/>
      <c r="F67" s="31">
        <f>'Asset Allocation'!F7</f>
        <v>0</v>
      </c>
      <c r="G67" s="31">
        <f t="shared" ref="G67:J67" si="65">IF($F67&lt;0.0001,0,F67-$F67/$L67)</f>
        <v>0</v>
      </c>
      <c r="H67" s="31">
        <f t="shared" si="65"/>
        <v>0</v>
      </c>
      <c r="I67" s="31">
        <f t="shared" si="65"/>
        <v>0</v>
      </c>
      <c r="J67" s="31">
        <f t="shared" si="65"/>
        <v>0</v>
      </c>
      <c r="L67" s="27">
        <f>VLOOKUP(C67,'Asset Allocation'!A:K,11,FALSE)</f>
        <v>5</v>
      </c>
    </row>
    <row r="68" spans="1:12" x14ac:dyDescent="0.2">
      <c r="A68" s="29" t="s">
        <v>231</v>
      </c>
      <c r="B68" s="30" t="str">
        <f>'Asset Allocation'!A8&amp;"-"&amp;'Asset Allocation'!$F$1</f>
        <v>Hotels &amp; Resorts-Calgary</v>
      </c>
      <c r="C68" s="30" t="s">
        <v>5</v>
      </c>
      <c r="D68" s="29" t="s">
        <v>402</v>
      </c>
      <c r="E68" s="29"/>
      <c r="F68" s="31">
        <f>'Asset Allocation'!F8</f>
        <v>1100000</v>
      </c>
      <c r="G68" s="31">
        <f t="shared" ref="G68:J68" si="66">IF($F68&lt;0.0001,0,F68-$F68/$L68)</f>
        <v>990000</v>
      </c>
      <c r="H68" s="31">
        <f t="shared" si="66"/>
        <v>880000</v>
      </c>
      <c r="I68" s="31">
        <f t="shared" si="66"/>
        <v>770000</v>
      </c>
      <c r="J68" s="31">
        <f t="shared" si="66"/>
        <v>660000</v>
      </c>
      <c r="L68" s="27">
        <f>VLOOKUP(C68,'Asset Allocation'!A:K,11,FALSE)</f>
        <v>10</v>
      </c>
    </row>
    <row r="69" spans="1:12" x14ac:dyDescent="0.2">
      <c r="A69" s="29" t="s">
        <v>232</v>
      </c>
      <c r="B69" s="30" t="str">
        <f>'Asset Allocation'!A9&amp;"-"&amp;'Asset Allocation'!$F$1</f>
        <v>Supermarkets &amp; Malls-Calgary</v>
      </c>
      <c r="C69" s="30" t="s">
        <v>6</v>
      </c>
      <c r="D69" s="29" t="s">
        <v>402</v>
      </c>
      <c r="E69" s="29"/>
      <c r="F69" s="31">
        <f>'Asset Allocation'!F9</f>
        <v>300000</v>
      </c>
      <c r="G69" s="31">
        <f t="shared" ref="G69:J69" si="67">IF($F69&lt;0.0001,0,F69-$F69/$L69)</f>
        <v>240000</v>
      </c>
      <c r="H69" s="31">
        <f t="shared" si="67"/>
        <v>180000</v>
      </c>
      <c r="I69" s="31">
        <f t="shared" si="67"/>
        <v>120000</v>
      </c>
      <c r="J69" s="31">
        <f t="shared" si="67"/>
        <v>60000</v>
      </c>
      <c r="L69" s="27">
        <f>VLOOKUP(C69,'Asset Allocation'!A:K,11,FALSE)</f>
        <v>5</v>
      </c>
    </row>
    <row r="70" spans="1:12" x14ac:dyDescent="0.2">
      <c r="A70" s="29" t="s">
        <v>233</v>
      </c>
      <c r="B70" s="30" t="str">
        <f>'Asset Allocation'!A10&amp;"-"&amp;'Asset Allocation'!$F$1</f>
        <v>Mines-Calgary</v>
      </c>
      <c r="C70" s="30" t="s">
        <v>7</v>
      </c>
      <c r="D70" s="29" t="s">
        <v>402</v>
      </c>
      <c r="E70" s="29"/>
      <c r="F70" s="31">
        <f>'Asset Allocation'!F10</f>
        <v>300000</v>
      </c>
      <c r="G70" s="31">
        <f t="shared" ref="G70:J70" si="68">IF($F70&lt;0.0001,0,F70-$F70/$L70)</f>
        <v>270000</v>
      </c>
      <c r="H70" s="31">
        <f t="shared" si="68"/>
        <v>240000</v>
      </c>
      <c r="I70" s="31">
        <f t="shared" si="68"/>
        <v>210000</v>
      </c>
      <c r="J70" s="31">
        <f t="shared" si="68"/>
        <v>180000</v>
      </c>
      <c r="L70" s="27">
        <f>VLOOKUP(C70,'Asset Allocation'!A:K,11,FALSE)</f>
        <v>10</v>
      </c>
    </row>
    <row r="71" spans="1:12" x14ac:dyDescent="0.2">
      <c r="A71" s="29" t="s">
        <v>234</v>
      </c>
      <c r="B71" s="30" t="str">
        <f>'Asset Allocation'!A11&amp;"-"&amp;'Asset Allocation'!$F$1</f>
        <v>Power Plants-Calgary</v>
      </c>
      <c r="C71" s="30" t="s">
        <v>8</v>
      </c>
      <c r="D71" s="29" t="s">
        <v>402</v>
      </c>
      <c r="E71" s="29"/>
      <c r="F71" s="31">
        <f>'Asset Allocation'!F11</f>
        <v>0</v>
      </c>
      <c r="G71" s="31">
        <f t="shared" ref="G71:J71" si="69">IF($F71&lt;0.0001,0,F71-$F71/$L71)</f>
        <v>0</v>
      </c>
      <c r="H71" s="31">
        <f t="shared" si="69"/>
        <v>0</v>
      </c>
      <c r="I71" s="31">
        <f t="shared" si="69"/>
        <v>0</v>
      </c>
      <c r="J71" s="31">
        <f t="shared" si="69"/>
        <v>0</v>
      </c>
      <c r="L71" s="27">
        <f>VLOOKUP(C71,'Asset Allocation'!A:K,11,FALSE)</f>
        <v>5</v>
      </c>
    </row>
    <row r="72" spans="1:12" x14ac:dyDescent="0.2">
      <c r="A72" s="29" t="s">
        <v>235</v>
      </c>
      <c r="B72" s="30" t="str">
        <f>'Asset Allocation'!A12&amp;"-"&amp;'Asset Allocation'!$F$1</f>
        <v>Oil Refineries-Calgary</v>
      </c>
      <c r="C72" s="30" t="s">
        <v>9</v>
      </c>
      <c r="D72" s="29" t="s">
        <v>402</v>
      </c>
      <c r="E72" s="29"/>
      <c r="F72" s="31">
        <f>'Asset Allocation'!F12</f>
        <v>1000000</v>
      </c>
      <c r="G72" s="31">
        <f t="shared" ref="G72:J72" si="70">IF($F72&lt;0.0001,0,F72-$F72/$L72)</f>
        <v>900000</v>
      </c>
      <c r="H72" s="31">
        <f t="shared" si="70"/>
        <v>800000</v>
      </c>
      <c r="I72" s="31">
        <f t="shared" si="70"/>
        <v>700000</v>
      </c>
      <c r="J72" s="31">
        <f t="shared" si="70"/>
        <v>600000</v>
      </c>
      <c r="L72" s="27">
        <f>VLOOKUP(C72,'Asset Allocation'!A:K,11,FALSE)</f>
        <v>10</v>
      </c>
    </row>
    <row r="73" spans="1:12" x14ac:dyDescent="0.2">
      <c r="A73" s="29" t="s">
        <v>236</v>
      </c>
      <c r="B73" s="30" t="str">
        <f>'Asset Allocation'!A13&amp;"-"&amp;'Asset Allocation'!$F$1</f>
        <v>Telecom Towers-Calgary</v>
      </c>
      <c r="C73" s="30" t="s">
        <v>10</v>
      </c>
      <c r="D73" s="29" t="s">
        <v>402</v>
      </c>
      <c r="E73" s="29"/>
      <c r="F73" s="31">
        <f>'Asset Allocation'!F13</f>
        <v>500000</v>
      </c>
      <c r="G73" s="31">
        <f t="shared" ref="G73:J73" si="71">IF($F73&lt;0.0001,0,F73-$F73/$L73)</f>
        <v>375000</v>
      </c>
      <c r="H73" s="31">
        <f t="shared" si="71"/>
        <v>250000</v>
      </c>
      <c r="I73" s="31">
        <f t="shared" si="71"/>
        <v>125000</v>
      </c>
      <c r="J73" s="31">
        <f t="shared" si="71"/>
        <v>0</v>
      </c>
      <c r="L73" s="27">
        <f>VLOOKUP(C73,'Asset Allocation'!A:K,11,FALSE)</f>
        <v>4</v>
      </c>
    </row>
    <row r="74" spans="1:12" x14ac:dyDescent="0.2">
      <c r="A74" s="29" t="s">
        <v>237</v>
      </c>
      <c r="B74" s="30" t="str">
        <f>'Asset Allocation'!A14&amp;"-"&amp;'Asset Allocation'!$F$1</f>
        <v>Aircrafts-Calgary</v>
      </c>
      <c r="C74" s="30" t="s">
        <v>11</v>
      </c>
      <c r="D74" s="29" t="s">
        <v>402</v>
      </c>
      <c r="E74" s="29"/>
      <c r="F74" s="31">
        <f>'Asset Allocation'!F14</f>
        <v>200000</v>
      </c>
      <c r="G74" s="31">
        <f t="shared" ref="G74:J74" si="72">IF($F74&lt;0.0001,0,F74-$F74/$L74)</f>
        <v>160000</v>
      </c>
      <c r="H74" s="31">
        <f t="shared" si="72"/>
        <v>120000</v>
      </c>
      <c r="I74" s="31">
        <f t="shared" si="72"/>
        <v>80000</v>
      </c>
      <c r="J74" s="31">
        <f t="shared" si="72"/>
        <v>40000</v>
      </c>
      <c r="L74" s="27">
        <f>VLOOKUP(C74,'Asset Allocation'!A:K,11,FALSE)</f>
        <v>5</v>
      </c>
    </row>
    <row r="75" spans="1:12" x14ac:dyDescent="0.2">
      <c r="A75" s="29" t="s">
        <v>238</v>
      </c>
      <c r="B75" s="30" t="str">
        <f>'Asset Allocation'!A15&amp;"-"&amp;'Asset Allocation'!$F$1</f>
        <v>Ships &amp; Cargo-Calgary</v>
      </c>
      <c r="C75" s="30" t="s">
        <v>951</v>
      </c>
      <c r="D75" s="29" t="s">
        <v>402</v>
      </c>
      <c r="E75" s="29"/>
      <c r="F75" s="31">
        <f>'Asset Allocation'!F15</f>
        <v>0</v>
      </c>
      <c r="G75" s="31">
        <f t="shared" ref="G75:J75" si="73">IF($F75&lt;0.0001,0,F75-$F75/$L75)</f>
        <v>0</v>
      </c>
      <c r="H75" s="31">
        <f t="shared" si="73"/>
        <v>0</v>
      </c>
      <c r="I75" s="31">
        <f t="shared" si="73"/>
        <v>0</v>
      </c>
      <c r="J75" s="31">
        <f t="shared" si="73"/>
        <v>0</v>
      </c>
      <c r="L75" s="27">
        <f>VLOOKUP(C75,'Asset Allocation'!A:K,11,FALSE)</f>
        <v>5</v>
      </c>
    </row>
    <row r="76" spans="1:12" x14ac:dyDescent="0.2">
      <c r="A76" s="29" t="s">
        <v>239</v>
      </c>
      <c r="B76" s="30" t="str">
        <f>'Asset Allocation'!A16&amp;"-"&amp;'Asset Allocation'!$F$1</f>
        <v>Fleets &amp; Cars-Calgary</v>
      </c>
      <c r="C76" s="30" t="s">
        <v>949</v>
      </c>
      <c r="D76" s="29" t="s">
        <v>402</v>
      </c>
      <c r="E76" s="29"/>
      <c r="F76" s="31">
        <f>'Asset Allocation'!F16</f>
        <v>200000</v>
      </c>
      <c r="G76" s="31">
        <f t="shared" ref="G76:J76" si="74">IF($F76&lt;0.0001,0,F76-$F76/$L76)</f>
        <v>150000</v>
      </c>
      <c r="H76" s="31">
        <f t="shared" si="74"/>
        <v>100000</v>
      </c>
      <c r="I76" s="31">
        <f t="shared" si="74"/>
        <v>50000</v>
      </c>
      <c r="J76" s="31">
        <f t="shared" si="74"/>
        <v>0</v>
      </c>
      <c r="L76" s="27">
        <f>VLOOKUP(C76,'Asset Allocation'!A:K,11,FALSE)</f>
        <v>4</v>
      </c>
    </row>
    <row r="77" spans="1:12" x14ac:dyDescent="0.2">
      <c r="A77" s="29" t="s">
        <v>240</v>
      </c>
      <c r="B77" s="30" t="str">
        <f>'Asset Allocation'!A2&amp;"-"&amp;'Asset Allocation'!$G$1</f>
        <v>Heavy Machinery-Gulf of Mexico</v>
      </c>
      <c r="C77" s="30" t="s">
        <v>479</v>
      </c>
      <c r="D77" s="29" t="s">
        <v>486</v>
      </c>
      <c r="E77" s="29"/>
      <c r="F77" s="31">
        <f>'Asset Allocation'!G2</f>
        <v>0</v>
      </c>
      <c r="G77" s="31">
        <f t="shared" ref="G77:J77" si="75">IF($F77&lt;0.0001,0,F77-$F77/$L77)</f>
        <v>0</v>
      </c>
      <c r="H77" s="31">
        <f t="shared" si="75"/>
        <v>0</v>
      </c>
      <c r="I77" s="31">
        <f t="shared" si="75"/>
        <v>0</v>
      </c>
      <c r="J77" s="31">
        <f t="shared" si="75"/>
        <v>0</v>
      </c>
      <c r="L77" s="27">
        <f>VLOOKUP(C77,'Asset Allocation'!A:K,11,FALSE)</f>
        <v>10</v>
      </c>
    </row>
    <row r="78" spans="1:12" x14ac:dyDescent="0.2">
      <c r="A78" s="29" t="s">
        <v>241</v>
      </c>
      <c r="B78" s="30" t="str">
        <f>'Asset Allocation'!A3&amp;"-"&amp;'Asset Allocation'!$G$1</f>
        <v>Heat Exchanger-Gulf of Mexico</v>
      </c>
      <c r="C78" s="30" t="s">
        <v>2</v>
      </c>
      <c r="D78" s="29" t="s">
        <v>486</v>
      </c>
      <c r="E78" s="29"/>
      <c r="F78" s="31">
        <f>'Asset Allocation'!G3</f>
        <v>0</v>
      </c>
      <c r="G78" s="31">
        <f t="shared" ref="G78:J78" si="76">IF($F78&lt;0.0001,0,F78-$F78/$L78)</f>
        <v>0</v>
      </c>
      <c r="H78" s="31">
        <f t="shared" si="76"/>
        <v>0</v>
      </c>
      <c r="I78" s="31">
        <f t="shared" si="76"/>
        <v>0</v>
      </c>
      <c r="J78" s="31">
        <f t="shared" si="76"/>
        <v>0</v>
      </c>
      <c r="L78" s="27">
        <f>VLOOKUP(C78,'Asset Allocation'!A:K,11,FALSE)</f>
        <v>5</v>
      </c>
    </row>
    <row r="79" spans="1:12" x14ac:dyDescent="0.2">
      <c r="A79" s="29" t="s">
        <v>242</v>
      </c>
      <c r="B79" s="30" t="str">
        <f>'Asset Allocation'!A4&amp;"-"&amp;'Asset Allocation'!$G$1</f>
        <v>Pipelines-Gulf of Mexico</v>
      </c>
      <c r="C79" s="30" t="s">
        <v>950</v>
      </c>
      <c r="D79" s="29" t="s">
        <v>486</v>
      </c>
      <c r="E79" s="29"/>
      <c r="F79" s="31">
        <f>'Asset Allocation'!G4</f>
        <v>400000</v>
      </c>
      <c r="G79" s="31">
        <f t="shared" ref="G79:J79" si="77">IF($F79&lt;0.0001,0,F79-$F79/$L79)</f>
        <v>360000</v>
      </c>
      <c r="H79" s="31">
        <f t="shared" si="77"/>
        <v>320000</v>
      </c>
      <c r="I79" s="31">
        <f t="shared" si="77"/>
        <v>280000</v>
      </c>
      <c r="J79" s="31">
        <f t="shared" si="77"/>
        <v>240000</v>
      </c>
      <c r="L79" s="27">
        <f>VLOOKUP(C79,'Asset Allocation'!A:K,11,FALSE)</f>
        <v>10</v>
      </c>
    </row>
    <row r="80" spans="1:12" x14ac:dyDescent="0.2">
      <c r="A80" s="29" t="s">
        <v>243</v>
      </c>
      <c r="B80" s="30" t="str">
        <f>'Asset Allocation'!A5&amp;"-"&amp;'Asset Allocation'!$G$1</f>
        <v>Property (Office Locations)-Gulf of Mexico</v>
      </c>
      <c r="C80" s="30" t="s">
        <v>3</v>
      </c>
      <c r="D80" s="29" t="s">
        <v>486</v>
      </c>
      <c r="E80" s="29"/>
      <c r="F80" s="31">
        <f>'Asset Allocation'!G5</f>
        <v>500000</v>
      </c>
      <c r="G80" s="31">
        <f t="shared" ref="G80:J80" si="78">IF($F80&lt;0.0001,0,F80-$F80/$L80)</f>
        <v>450000</v>
      </c>
      <c r="H80" s="31">
        <f t="shared" si="78"/>
        <v>400000</v>
      </c>
      <c r="I80" s="31">
        <f t="shared" si="78"/>
        <v>350000</v>
      </c>
      <c r="J80" s="31">
        <f t="shared" si="78"/>
        <v>300000</v>
      </c>
      <c r="L80" s="27">
        <f>VLOOKUP(C80,'Asset Allocation'!A:K,11,FALSE)</f>
        <v>10</v>
      </c>
    </row>
    <row r="81" spans="1:12" x14ac:dyDescent="0.2">
      <c r="A81" s="29" t="s">
        <v>244</v>
      </c>
      <c r="B81" s="30" t="str">
        <f>'Asset Allocation'!A6&amp;"-"&amp;'Asset Allocation'!$G$1</f>
        <v>Manufacturing Plants-Gulf of Mexico</v>
      </c>
      <c r="C81" s="30" t="s">
        <v>4</v>
      </c>
      <c r="D81" s="29" t="s">
        <v>486</v>
      </c>
      <c r="E81" s="29"/>
      <c r="F81" s="31">
        <f>'Asset Allocation'!G6</f>
        <v>0</v>
      </c>
      <c r="G81" s="31">
        <f t="shared" ref="G81:J81" si="79">IF($F81&lt;0.0001,0,F81-$F81/$L81)</f>
        <v>0</v>
      </c>
      <c r="H81" s="31">
        <f t="shared" si="79"/>
        <v>0</v>
      </c>
      <c r="I81" s="31">
        <f t="shared" si="79"/>
        <v>0</v>
      </c>
      <c r="J81" s="31">
        <f t="shared" si="79"/>
        <v>0</v>
      </c>
      <c r="L81" s="27">
        <f>VLOOKUP(C81,'Asset Allocation'!A:K,11,FALSE)</f>
        <v>10</v>
      </c>
    </row>
    <row r="82" spans="1:12" x14ac:dyDescent="0.2">
      <c r="A82" s="29" t="s">
        <v>245</v>
      </c>
      <c r="B82" s="30" t="str">
        <f>'Asset Allocation'!A7&amp;"-"&amp;'Asset Allocation'!$G$1</f>
        <v>Warehouse &amp; Cold Storage-Gulf of Mexico</v>
      </c>
      <c r="C82" s="30" t="s">
        <v>485</v>
      </c>
      <c r="D82" s="29" t="s">
        <v>486</v>
      </c>
      <c r="E82" s="29"/>
      <c r="F82" s="31">
        <f>'Asset Allocation'!G7</f>
        <v>200000</v>
      </c>
      <c r="G82" s="31">
        <f t="shared" ref="G82:J82" si="80">IF($F82&lt;0.0001,0,F82-$F82/$L82)</f>
        <v>160000</v>
      </c>
      <c r="H82" s="31">
        <f t="shared" si="80"/>
        <v>120000</v>
      </c>
      <c r="I82" s="31">
        <f t="shared" si="80"/>
        <v>80000</v>
      </c>
      <c r="J82" s="31">
        <f t="shared" si="80"/>
        <v>40000</v>
      </c>
      <c r="L82" s="27">
        <f>VLOOKUP(C82,'Asset Allocation'!A:K,11,FALSE)</f>
        <v>5</v>
      </c>
    </row>
    <row r="83" spans="1:12" x14ac:dyDescent="0.2">
      <c r="A83" s="29" t="s">
        <v>246</v>
      </c>
      <c r="B83" s="30" t="str">
        <f>'Asset Allocation'!A8&amp;"-"&amp;'Asset Allocation'!$G$1</f>
        <v>Hotels &amp; Resorts-Gulf of Mexico</v>
      </c>
      <c r="C83" s="30" t="s">
        <v>5</v>
      </c>
      <c r="D83" s="29" t="s">
        <v>486</v>
      </c>
      <c r="E83" s="29"/>
      <c r="F83" s="31">
        <f>'Asset Allocation'!G8</f>
        <v>0</v>
      </c>
      <c r="G83" s="31">
        <f t="shared" ref="G83:J83" si="81">IF($F83&lt;0.0001,0,F83-$F83/$L83)</f>
        <v>0</v>
      </c>
      <c r="H83" s="31">
        <f t="shared" si="81"/>
        <v>0</v>
      </c>
      <c r="I83" s="31">
        <f t="shared" si="81"/>
        <v>0</v>
      </c>
      <c r="J83" s="31">
        <f t="shared" si="81"/>
        <v>0</v>
      </c>
      <c r="L83" s="27">
        <f>VLOOKUP(C83,'Asset Allocation'!A:K,11,FALSE)</f>
        <v>10</v>
      </c>
    </row>
    <row r="84" spans="1:12" x14ac:dyDescent="0.2">
      <c r="A84" s="29" t="s">
        <v>247</v>
      </c>
      <c r="B84" s="30" t="str">
        <f>'Asset Allocation'!A9&amp;"-"&amp;'Asset Allocation'!$G$1</f>
        <v>Supermarkets &amp; Malls-Gulf of Mexico</v>
      </c>
      <c r="C84" s="30" t="s">
        <v>6</v>
      </c>
      <c r="D84" s="29" t="s">
        <v>486</v>
      </c>
      <c r="E84" s="29"/>
      <c r="F84" s="31">
        <f>'Asset Allocation'!G9</f>
        <v>300000</v>
      </c>
      <c r="G84" s="31">
        <f t="shared" ref="G84:J84" si="82">IF($F84&lt;0.0001,0,F84-$F84/$L84)</f>
        <v>240000</v>
      </c>
      <c r="H84" s="31">
        <f t="shared" si="82"/>
        <v>180000</v>
      </c>
      <c r="I84" s="31">
        <f t="shared" si="82"/>
        <v>120000</v>
      </c>
      <c r="J84" s="31">
        <f t="shared" si="82"/>
        <v>60000</v>
      </c>
      <c r="L84" s="27">
        <f>VLOOKUP(C84,'Asset Allocation'!A:K,11,FALSE)</f>
        <v>5</v>
      </c>
    </row>
    <row r="85" spans="1:12" x14ac:dyDescent="0.2">
      <c r="A85" s="29" t="s">
        <v>248</v>
      </c>
      <c r="B85" s="30" t="str">
        <f>'Asset Allocation'!A10&amp;"-"&amp;'Asset Allocation'!$G$1</f>
        <v>Mines-Gulf of Mexico</v>
      </c>
      <c r="C85" s="30" t="s">
        <v>7</v>
      </c>
      <c r="D85" s="29" t="s">
        <v>486</v>
      </c>
      <c r="E85" s="29"/>
      <c r="F85" s="31">
        <f>'Asset Allocation'!G10</f>
        <v>0</v>
      </c>
      <c r="G85" s="31">
        <f t="shared" ref="G85:J85" si="83">IF($F85&lt;0.0001,0,F85-$F85/$L85)</f>
        <v>0</v>
      </c>
      <c r="H85" s="31">
        <f t="shared" si="83"/>
        <v>0</v>
      </c>
      <c r="I85" s="31">
        <f t="shared" si="83"/>
        <v>0</v>
      </c>
      <c r="J85" s="31">
        <f t="shared" si="83"/>
        <v>0</v>
      </c>
      <c r="L85" s="27">
        <f>VLOOKUP(C85,'Asset Allocation'!A:K,11,FALSE)</f>
        <v>10</v>
      </c>
    </row>
    <row r="86" spans="1:12" x14ac:dyDescent="0.2">
      <c r="A86" s="29" t="s">
        <v>249</v>
      </c>
      <c r="B86" s="30" t="str">
        <f>'Asset Allocation'!A11&amp;"-"&amp;'Asset Allocation'!$G$1</f>
        <v>Power Plants-Gulf of Mexico</v>
      </c>
      <c r="C86" s="30" t="s">
        <v>8</v>
      </c>
      <c r="D86" s="29" t="s">
        <v>486</v>
      </c>
      <c r="E86" s="29"/>
      <c r="F86" s="31">
        <f>'Asset Allocation'!G11</f>
        <v>0</v>
      </c>
      <c r="G86" s="31">
        <f t="shared" ref="G86:J86" si="84">IF($F86&lt;0.0001,0,F86-$F86/$L86)</f>
        <v>0</v>
      </c>
      <c r="H86" s="31">
        <f t="shared" si="84"/>
        <v>0</v>
      </c>
      <c r="I86" s="31">
        <f t="shared" si="84"/>
        <v>0</v>
      </c>
      <c r="J86" s="31">
        <f t="shared" si="84"/>
        <v>0</v>
      </c>
      <c r="L86" s="27">
        <f>VLOOKUP(C86,'Asset Allocation'!A:K,11,FALSE)</f>
        <v>5</v>
      </c>
    </row>
    <row r="87" spans="1:12" x14ac:dyDescent="0.2">
      <c r="A87" s="29" t="s">
        <v>250</v>
      </c>
      <c r="B87" s="30" t="str">
        <f>'Asset Allocation'!A12&amp;"-"&amp;'Asset Allocation'!$G$1</f>
        <v>Oil Refineries-Gulf of Mexico</v>
      </c>
      <c r="C87" s="30" t="s">
        <v>9</v>
      </c>
      <c r="D87" s="29" t="s">
        <v>486</v>
      </c>
      <c r="E87" s="29"/>
      <c r="F87" s="31">
        <f>'Asset Allocation'!G12</f>
        <v>0</v>
      </c>
      <c r="G87" s="31">
        <f t="shared" ref="G87:J87" si="85">IF($F87&lt;0.0001,0,F87-$F87/$L87)</f>
        <v>0</v>
      </c>
      <c r="H87" s="31">
        <f t="shared" si="85"/>
        <v>0</v>
      </c>
      <c r="I87" s="31">
        <f t="shared" si="85"/>
        <v>0</v>
      </c>
      <c r="J87" s="31">
        <f t="shared" si="85"/>
        <v>0</v>
      </c>
      <c r="L87" s="27">
        <f>VLOOKUP(C87,'Asset Allocation'!A:K,11,FALSE)</f>
        <v>10</v>
      </c>
    </row>
    <row r="88" spans="1:12" x14ac:dyDescent="0.2">
      <c r="A88" s="29" t="s">
        <v>251</v>
      </c>
      <c r="B88" s="30" t="str">
        <f>'Asset Allocation'!A13&amp;"-"&amp;'Asset Allocation'!$G$1</f>
        <v>Telecom Towers-Gulf of Mexico</v>
      </c>
      <c r="C88" s="30" t="s">
        <v>10</v>
      </c>
      <c r="D88" s="29" t="s">
        <v>486</v>
      </c>
      <c r="E88" s="29"/>
      <c r="F88" s="31">
        <f>'Asset Allocation'!G13</f>
        <v>0</v>
      </c>
      <c r="G88" s="31">
        <f t="shared" ref="G88:J88" si="86">IF($F88&lt;0.0001,0,F88-$F88/$L88)</f>
        <v>0</v>
      </c>
      <c r="H88" s="31">
        <f t="shared" si="86"/>
        <v>0</v>
      </c>
      <c r="I88" s="31">
        <f t="shared" si="86"/>
        <v>0</v>
      </c>
      <c r="J88" s="31">
        <f t="shared" si="86"/>
        <v>0</v>
      </c>
      <c r="L88" s="27">
        <f>VLOOKUP(C88,'Asset Allocation'!A:K,11,FALSE)</f>
        <v>4</v>
      </c>
    </row>
    <row r="89" spans="1:12" x14ac:dyDescent="0.2">
      <c r="A89" s="29" t="s">
        <v>252</v>
      </c>
      <c r="B89" s="30" t="str">
        <f>'Asset Allocation'!A14&amp;"-"&amp;'Asset Allocation'!$G$1</f>
        <v>Aircrafts-Gulf of Mexico</v>
      </c>
      <c r="C89" s="30" t="s">
        <v>11</v>
      </c>
      <c r="D89" s="29" t="s">
        <v>486</v>
      </c>
      <c r="E89" s="29"/>
      <c r="F89" s="31">
        <f>'Asset Allocation'!G14</f>
        <v>500000</v>
      </c>
      <c r="G89" s="31">
        <f t="shared" ref="G89:J89" si="87">IF($F89&lt;0.0001,0,F89-$F89/$L89)</f>
        <v>400000</v>
      </c>
      <c r="H89" s="31">
        <f t="shared" si="87"/>
        <v>300000</v>
      </c>
      <c r="I89" s="31">
        <f t="shared" si="87"/>
        <v>200000</v>
      </c>
      <c r="J89" s="31">
        <f t="shared" si="87"/>
        <v>100000</v>
      </c>
      <c r="L89" s="27">
        <f>VLOOKUP(C89,'Asset Allocation'!A:K,11,FALSE)</f>
        <v>5</v>
      </c>
    </row>
    <row r="90" spans="1:12" x14ac:dyDescent="0.2">
      <c r="A90" s="29" t="s">
        <v>253</v>
      </c>
      <c r="B90" s="30" t="str">
        <f>'Asset Allocation'!A15&amp;"-"&amp;'Asset Allocation'!$G$1</f>
        <v>Ships &amp; Cargo-Gulf of Mexico</v>
      </c>
      <c r="C90" s="30" t="s">
        <v>951</v>
      </c>
      <c r="D90" s="29" t="s">
        <v>486</v>
      </c>
      <c r="E90" s="29"/>
      <c r="F90" s="31">
        <f>'Asset Allocation'!G15</f>
        <v>0</v>
      </c>
      <c r="G90" s="31">
        <f t="shared" ref="G90:J90" si="88">IF($F90&lt;0.0001,0,F90-$F90/$L90)</f>
        <v>0</v>
      </c>
      <c r="H90" s="31">
        <f t="shared" si="88"/>
        <v>0</v>
      </c>
      <c r="I90" s="31">
        <f t="shared" si="88"/>
        <v>0</v>
      </c>
      <c r="J90" s="31">
        <f t="shared" si="88"/>
        <v>0</v>
      </c>
      <c r="L90" s="27">
        <f>VLOOKUP(C90,'Asset Allocation'!A:K,11,FALSE)</f>
        <v>5</v>
      </c>
    </row>
    <row r="91" spans="1:12" x14ac:dyDescent="0.2">
      <c r="A91" s="29" t="s">
        <v>254</v>
      </c>
      <c r="B91" s="30" t="str">
        <f>'Asset Allocation'!A16&amp;"-"&amp;'Asset Allocation'!$G$1</f>
        <v>Fleets &amp; Cars-Gulf of Mexico</v>
      </c>
      <c r="C91" s="30" t="s">
        <v>949</v>
      </c>
      <c r="D91" s="29" t="s">
        <v>486</v>
      </c>
      <c r="E91" s="29"/>
      <c r="F91" s="31">
        <f>'Asset Allocation'!G16</f>
        <v>600000</v>
      </c>
      <c r="G91" s="31">
        <f t="shared" ref="G91:J91" si="89">IF($F91&lt;0.0001,0,F91-$F91/$L91)</f>
        <v>450000</v>
      </c>
      <c r="H91" s="31">
        <f t="shared" si="89"/>
        <v>300000</v>
      </c>
      <c r="I91" s="31">
        <f t="shared" si="89"/>
        <v>150000</v>
      </c>
      <c r="J91" s="31">
        <f t="shared" si="89"/>
        <v>0</v>
      </c>
      <c r="L91" s="27">
        <f>VLOOKUP(C91,'Asset Allocation'!A:K,11,FALSE)</f>
        <v>4</v>
      </c>
    </row>
    <row r="92" spans="1:12" x14ac:dyDescent="0.2">
      <c r="A92" s="29" t="s">
        <v>255</v>
      </c>
      <c r="B92" s="30" t="str">
        <f>'Asset Allocation'!A2&amp;"-"&amp;'Asset Allocation'!$H$1</f>
        <v>Heavy Machinery-Tokyo</v>
      </c>
      <c r="C92" s="30" t="s">
        <v>479</v>
      </c>
      <c r="D92" s="29" t="s">
        <v>670</v>
      </c>
      <c r="E92" s="29"/>
      <c r="F92" s="31">
        <f>'Asset Allocation'!H2</f>
        <v>0</v>
      </c>
      <c r="G92" s="31">
        <f t="shared" ref="G92:J92" si="90">IF($F92&lt;0.0001,0,F92-$F92/$L92)</f>
        <v>0</v>
      </c>
      <c r="H92" s="31">
        <f t="shared" si="90"/>
        <v>0</v>
      </c>
      <c r="I92" s="31">
        <f t="shared" si="90"/>
        <v>0</v>
      </c>
      <c r="J92" s="31">
        <f t="shared" si="90"/>
        <v>0</v>
      </c>
      <c r="L92" s="27">
        <f>VLOOKUP(C92,'Asset Allocation'!A:K,11,FALSE)</f>
        <v>10</v>
      </c>
    </row>
    <row r="93" spans="1:12" x14ac:dyDescent="0.2">
      <c r="A93" s="29" t="s">
        <v>256</v>
      </c>
      <c r="B93" s="30" t="str">
        <f>'Asset Allocation'!A3&amp;"-"&amp;'Asset Allocation'!$H$1</f>
        <v>Heat Exchanger-Tokyo</v>
      </c>
      <c r="C93" s="30" t="s">
        <v>2</v>
      </c>
      <c r="D93" s="29" t="s">
        <v>670</v>
      </c>
      <c r="E93" s="29"/>
      <c r="F93" s="31">
        <f>'Asset Allocation'!H3</f>
        <v>0</v>
      </c>
      <c r="G93" s="31">
        <f t="shared" ref="G93:J93" si="91">IF($F93&lt;0.0001,0,F93-$F93/$L93)</f>
        <v>0</v>
      </c>
      <c r="H93" s="31">
        <f t="shared" si="91"/>
        <v>0</v>
      </c>
      <c r="I93" s="31">
        <f t="shared" si="91"/>
        <v>0</v>
      </c>
      <c r="J93" s="31">
        <f t="shared" si="91"/>
        <v>0</v>
      </c>
      <c r="L93" s="27">
        <f>VLOOKUP(C93,'Asset Allocation'!A:K,11,FALSE)</f>
        <v>5</v>
      </c>
    </row>
    <row r="94" spans="1:12" x14ac:dyDescent="0.2">
      <c r="A94" s="29" t="s">
        <v>257</v>
      </c>
      <c r="B94" s="30" t="str">
        <f>'Asset Allocation'!A4&amp;"-"&amp;'Asset Allocation'!$H$1</f>
        <v>Pipelines-Tokyo</v>
      </c>
      <c r="C94" s="30" t="s">
        <v>950</v>
      </c>
      <c r="D94" s="29" t="s">
        <v>670</v>
      </c>
      <c r="E94" s="29"/>
      <c r="F94" s="31">
        <f>'Asset Allocation'!H4</f>
        <v>400000</v>
      </c>
      <c r="G94" s="31">
        <f t="shared" ref="G94:J94" si="92">IF($F94&lt;0.0001,0,F94-$F94/$L94)</f>
        <v>360000</v>
      </c>
      <c r="H94" s="31">
        <f t="shared" si="92"/>
        <v>320000</v>
      </c>
      <c r="I94" s="31">
        <f t="shared" si="92"/>
        <v>280000</v>
      </c>
      <c r="J94" s="31">
        <f t="shared" si="92"/>
        <v>240000</v>
      </c>
      <c r="L94" s="27">
        <f>VLOOKUP(C94,'Asset Allocation'!A:K,11,FALSE)</f>
        <v>10</v>
      </c>
    </row>
    <row r="95" spans="1:12" x14ac:dyDescent="0.2">
      <c r="A95" s="29" t="s">
        <v>258</v>
      </c>
      <c r="B95" s="30" t="str">
        <f>'Asset Allocation'!A5&amp;"-"&amp;'Asset Allocation'!$H$1</f>
        <v>Property (Office Locations)-Tokyo</v>
      </c>
      <c r="C95" s="30" t="s">
        <v>3</v>
      </c>
      <c r="D95" s="29" t="s">
        <v>670</v>
      </c>
      <c r="E95" s="29"/>
      <c r="F95" s="31">
        <f>'Asset Allocation'!H5</f>
        <v>300000</v>
      </c>
      <c r="G95" s="31">
        <f t="shared" ref="G95:J95" si="93">IF($F95&lt;0.0001,0,F95-$F95/$L95)</f>
        <v>270000</v>
      </c>
      <c r="H95" s="31">
        <f t="shared" si="93"/>
        <v>240000</v>
      </c>
      <c r="I95" s="31">
        <f t="shared" si="93"/>
        <v>210000</v>
      </c>
      <c r="J95" s="31">
        <f t="shared" si="93"/>
        <v>180000</v>
      </c>
      <c r="L95" s="27">
        <f>VLOOKUP(C95,'Asset Allocation'!A:K,11,FALSE)</f>
        <v>10</v>
      </c>
    </row>
    <row r="96" spans="1:12" x14ac:dyDescent="0.2">
      <c r="A96" s="29" t="s">
        <v>259</v>
      </c>
      <c r="B96" s="30" t="str">
        <f>'Asset Allocation'!A6&amp;"-"&amp;'Asset Allocation'!$H$1</f>
        <v>Manufacturing Plants-Tokyo</v>
      </c>
      <c r="C96" s="30" t="s">
        <v>4</v>
      </c>
      <c r="D96" s="29" t="s">
        <v>670</v>
      </c>
      <c r="E96" s="29"/>
      <c r="F96" s="31">
        <f>'Asset Allocation'!H6</f>
        <v>0</v>
      </c>
      <c r="G96" s="31">
        <f t="shared" ref="G96:J96" si="94">IF($F96&lt;0.0001,0,F96-$F96/$L96)</f>
        <v>0</v>
      </c>
      <c r="H96" s="31">
        <f t="shared" si="94"/>
        <v>0</v>
      </c>
      <c r="I96" s="31">
        <f t="shared" si="94"/>
        <v>0</v>
      </c>
      <c r="J96" s="31">
        <f t="shared" si="94"/>
        <v>0</v>
      </c>
      <c r="L96" s="27">
        <f>VLOOKUP(C96,'Asset Allocation'!A:K,11,FALSE)</f>
        <v>10</v>
      </c>
    </row>
    <row r="97" spans="1:12" x14ac:dyDescent="0.2">
      <c r="A97" s="29" t="s">
        <v>260</v>
      </c>
      <c r="B97" s="30" t="str">
        <f>'Asset Allocation'!A7&amp;"-"&amp;'Asset Allocation'!$H$1</f>
        <v>Warehouse &amp; Cold Storage-Tokyo</v>
      </c>
      <c r="C97" s="30" t="s">
        <v>485</v>
      </c>
      <c r="D97" s="29" t="s">
        <v>670</v>
      </c>
      <c r="E97" s="29"/>
      <c r="F97" s="31">
        <f>'Asset Allocation'!H7</f>
        <v>0</v>
      </c>
      <c r="G97" s="31">
        <f t="shared" ref="G97:J97" si="95">IF($F97&lt;0.0001,0,F97-$F97/$L97)</f>
        <v>0</v>
      </c>
      <c r="H97" s="31">
        <f t="shared" si="95"/>
        <v>0</v>
      </c>
      <c r="I97" s="31">
        <f t="shared" si="95"/>
        <v>0</v>
      </c>
      <c r="J97" s="31">
        <f t="shared" si="95"/>
        <v>0</v>
      </c>
      <c r="L97" s="27">
        <f>VLOOKUP(C97,'Asset Allocation'!A:K,11,FALSE)</f>
        <v>5</v>
      </c>
    </row>
    <row r="98" spans="1:12" x14ac:dyDescent="0.2">
      <c r="A98" s="29" t="s">
        <v>261</v>
      </c>
      <c r="B98" s="30" t="str">
        <f>'Asset Allocation'!A8&amp;"-"&amp;'Asset Allocation'!$H$1</f>
        <v>Hotels &amp; Resorts-Tokyo</v>
      </c>
      <c r="C98" s="30" t="s">
        <v>5</v>
      </c>
      <c r="D98" s="29" t="s">
        <v>670</v>
      </c>
      <c r="E98" s="29"/>
      <c r="F98" s="31">
        <f>'Asset Allocation'!H8</f>
        <v>0</v>
      </c>
      <c r="G98" s="31">
        <f t="shared" ref="G98:J98" si="96">IF($F98&lt;0.0001,0,F98-$F98/$L98)</f>
        <v>0</v>
      </c>
      <c r="H98" s="31">
        <f t="shared" si="96"/>
        <v>0</v>
      </c>
      <c r="I98" s="31">
        <f t="shared" si="96"/>
        <v>0</v>
      </c>
      <c r="J98" s="31">
        <f t="shared" si="96"/>
        <v>0</v>
      </c>
      <c r="L98" s="27">
        <f>VLOOKUP(C98,'Asset Allocation'!A:K,11,FALSE)</f>
        <v>10</v>
      </c>
    </row>
    <row r="99" spans="1:12" x14ac:dyDescent="0.2">
      <c r="A99" s="29" t="s">
        <v>262</v>
      </c>
      <c r="B99" s="30" t="str">
        <f>'Asset Allocation'!A9&amp;"-"&amp;'Asset Allocation'!$H$1</f>
        <v>Supermarkets &amp; Malls-Tokyo</v>
      </c>
      <c r="C99" s="30" t="s">
        <v>6</v>
      </c>
      <c r="D99" s="29" t="s">
        <v>670</v>
      </c>
      <c r="E99" s="29"/>
      <c r="F99" s="31">
        <f>'Asset Allocation'!H9</f>
        <v>300000</v>
      </c>
      <c r="G99" s="31">
        <f t="shared" ref="G99:J99" si="97">IF($F99&lt;0.0001,0,F99-$F99/$L99)</f>
        <v>240000</v>
      </c>
      <c r="H99" s="31">
        <f t="shared" si="97"/>
        <v>180000</v>
      </c>
      <c r="I99" s="31">
        <f t="shared" si="97"/>
        <v>120000</v>
      </c>
      <c r="J99" s="31">
        <f t="shared" si="97"/>
        <v>60000</v>
      </c>
      <c r="L99" s="27">
        <f>VLOOKUP(C99,'Asset Allocation'!A:K,11,FALSE)</f>
        <v>5</v>
      </c>
    </row>
    <row r="100" spans="1:12" x14ac:dyDescent="0.2">
      <c r="A100" s="29" t="s">
        <v>263</v>
      </c>
      <c r="B100" s="30" t="str">
        <f>'Asset Allocation'!A10&amp;"-"&amp;'Asset Allocation'!$H$1</f>
        <v>Mines-Tokyo</v>
      </c>
      <c r="C100" s="30" t="s">
        <v>7</v>
      </c>
      <c r="D100" s="29" t="s">
        <v>670</v>
      </c>
      <c r="E100" s="29"/>
      <c r="F100" s="31">
        <f>'Asset Allocation'!H10</f>
        <v>300000</v>
      </c>
      <c r="G100" s="31">
        <f t="shared" ref="G100:J100" si="98">IF($F100&lt;0.0001,0,F100-$F100/$L100)</f>
        <v>270000</v>
      </c>
      <c r="H100" s="31">
        <f t="shared" si="98"/>
        <v>240000</v>
      </c>
      <c r="I100" s="31">
        <f t="shared" si="98"/>
        <v>210000</v>
      </c>
      <c r="J100" s="31">
        <f t="shared" si="98"/>
        <v>180000</v>
      </c>
      <c r="L100" s="27">
        <f>VLOOKUP(C100,'Asset Allocation'!A:K,11,FALSE)</f>
        <v>10</v>
      </c>
    </row>
    <row r="101" spans="1:12" x14ac:dyDescent="0.2">
      <c r="A101" s="29" t="s">
        <v>264</v>
      </c>
      <c r="B101" s="30" t="str">
        <f>'Asset Allocation'!A11&amp;"-"&amp;'Asset Allocation'!$H$1</f>
        <v>Power Plants-Tokyo</v>
      </c>
      <c r="C101" s="30" t="s">
        <v>8</v>
      </c>
      <c r="D101" s="29" t="s">
        <v>670</v>
      </c>
      <c r="E101" s="29"/>
      <c r="F101" s="31">
        <f>'Asset Allocation'!H11</f>
        <v>0</v>
      </c>
      <c r="G101" s="31">
        <f t="shared" ref="G101:J101" si="99">IF($F101&lt;0.0001,0,F101-$F101/$L101)</f>
        <v>0</v>
      </c>
      <c r="H101" s="31">
        <f t="shared" si="99"/>
        <v>0</v>
      </c>
      <c r="I101" s="31">
        <f t="shared" si="99"/>
        <v>0</v>
      </c>
      <c r="J101" s="31">
        <f t="shared" si="99"/>
        <v>0</v>
      </c>
      <c r="L101" s="27">
        <f>VLOOKUP(C101,'Asset Allocation'!A:K,11,FALSE)</f>
        <v>5</v>
      </c>
    </row>
    <row r="102" spans="1:12" x14ac:dyDescent="0.2">
      <c r="A102" s="29" t="s">
        <v>265</v>
      </c>
      <c r="B102" s="30" t="str">
        <f>'Asset Allocation'!A12&amp;"-"&amp;'Asset Allocation'!$H$1</f>
        <v>Oil Refineries-Tokyo</v>
      </c>
      <c r="C102" s="30" t="s">
        <v>9</v>
      </c>
      <c r="D102" s="29" t="s">
        <v>670</v>
      </c>
      <c r="E102" s="29"/>
      <c r="F102" s="31">
        <f>'Asset Allocation'!H12</f>
        <v>0</v>
      </c>
      <c r="G102" s="31">
        <f t="shared" ref="G102:J102" si="100">IF($F102&lt;0.0001,0,F102-$F102/$L102)</f>
        <v>0</v>
      </c>
      <c r="H102" s="31">
        <f t="shared" si="100"/>
        <v>0</v>
      </c>
      <c r="I102" s="31">
        <f t="shared" si="100"/>
        <v>0</v>
      </c>
      <c r="J102" s="31">
        <f t="shared" si="100"/>
        <v>0</v>
      </c>
      <c r="L102" s="27">
        <f>VLOOKUP(C102,'Asset Allocation'!A:K,11,FALSE)</f>
        <v>10</v>
      </c>
    </row>
    <row r="103" spans="1:12" x14ac:dyDescent="0.2">
      <c r="A103" s="29" t="s">
        <v>266</v>
      </c>
      <c r="B103" s="30" t="str">
        <f>'Asset Allocation'!A13&amp;"-"&amp;'Asset Allocation'!$H$1</f>
        <v>Telecom Towers-Tokyo</v>
      </c>
      <c r="C103" s="30" t="s">
        <v>10</v>
      </c>
      <c r="D103" s="29" t="s">
        <v>670</v>
      </c>
      <c r="E103" s="29"/>
      <c r="F103" s="31">
        <f>'Asset Allocation'!H13</f>
        <v>0</v>
      </c>
      <c r="G103" s="31">
        <f t="shared" ref="G103:J103" si="101">IF($F103&lt;0.0001,0,F103-$F103/$L103)</f>
        <v>0</v>
      </c>
      <c r="H103" s="31">
        <f t="shared" si="101"/>
        <v>0</v>
      </c>
      <c r="I103" s="31">
        <f t="shared" si="101"/>
        <v>0</v>
      </c>
      <c r="J103" s="31">
        <f t="shared" si="101"/>
        <v>0</v>
      </c>
      <c r="L103" s="27">
        <f>VLOOKUP(C103,'Asset Allocation'!A:K,11,FALSE)</f>
        <v>4</v>
      </c>
    </row>
    <row r="104" spans="1:12" x14ac:dyDescent="0.2">
      <c r="A104" s="29" t="s">
        <v>267</v>
      </c>
      <c r="B104" s="30" t="str">
        <f>'Asset Allocation'!A14&amp;"-"&amp;'Asset Allocation'!$H$1</f>
        <v>Aircrafts-Tokyo</v>
      </c>
      <c r="C104" s="30" t="s">
        <v>11</v>
      </c>
      <c r="D104" s="29" t="s">
        <v>670</v>
      </c>
      <c r="E104" s="29"/>
      <c r="F104" s="31">
        <f>'Asset Allocation'!H14</f>
        <v>200000</v>
      </c>
      <c r="G104" s="31">
        <f t="shared" ref="G104:J104" si="102">IF($F104&lt;0.0001,0,F104-$F104/$L104)</f>
        <v>160000</v>
      </c>
      <c r="H104" s="31">
        <f t="shared" si="102"/>
        <v>120000</v>
      </c>
      <c r="I104" s="31">
        <f t="shared" si="102"/>
        <v>80000</v>
      </c>
      <c r="J104" s="31">
        <f t="shared" si="102"/>
        <v>40000</v>
      </c>
      <c r="L104" s="27">
        <f>VLOOKUP(C104,'Asset Allocation'!A:K,11,FALSE)</f>
        <v>5</v>
      </c>
    </row>
    <row r="105" spans="1:12" x14ac:dyDescent="0.2">
      <c r="A105" s="29" t="s">
        <v>268</v>
      </c>
      <c r="B105" s="30" t="str">
        <f>'Asset Allocation'!A15&amp;"-"&amp;'Asset Allocation'!$H$1</f>
        <v>Ships &amp; Cargo-Tokyo</v>
      </c>
      <c r="C105" s="30" t="s">
        <v>951</v>
      </c>
      <c r="D105" s="29" t="s">
        <v>670</v>
      </c>
      <c r="E105" s="29"/>
      <c r="F105" s="31">
        <f>'Asset Allocation'!H15</f>
        <v>0</v>
      </c>
      <c r="G105" s="31">
        <f t="shared" ref="G105:J105" si="103">IF($F105&lt;0.0001,0,F105-$F105/$L105)</f>
        <v>0</v>
      </c>
      <c r="H105" s="31">
        <f t="shared" si="103"/>
        <v>0</v>
      </c>
      <c r="I105" s="31">
        <f t="shared" si="103"/>
        <v>0</v>
      </c>
      <c r="J105" s="31">
        <f t="shared" si="103"/>
        <v>0</v>
      </c>
      <c r="L105" s="27">
        <f>VLOOKUP(C105,'Asset Allocation'!A:K,11,FALSE)</f>
        <v>5</v>
      </c>
    </row>
    <row r="106" spans="1:12" x14ac:dyDescent="0.2">
      <c r="A106" s="29" t="s">
        <v>269</v>
      </c>
      <c r="B106" s="30" t="str">
        <f>'Asset Allocation'!A16&amp;"-"&amp;'Asset Allocation'!$H$1</f>
        <v>Fleets &amp; Cars-Tokyo</v>
      </c>
      <c r="C106" s="30" t="s">
        <v>949</v>
      </c>
      <c r="D106" s="29" t="s">
        <v>670</v>
      </c>
      <c r="E106" s="29"/>
      <c r="F106" s="31">
        <f>'Asset Allocation'!H16</f>
        <v>400000</v>
      </c>
      <c r="G106" s="31">
        <f t="shared" ref="G106:J106" si="104">IF($F106&lt;0.0001,0,F106-$F106/$L106)</f>
        <v>300000</v>
      </c>
      <c r="H106" s="31">
        <f t="shared" si="104"/>
        <v>200000</v>
      </c>
      <c r="I106" s="31">
        <f t="shared" si="104"/>
        <v>100000</v>
      </c>
      <c r="J106" s="31">
        <f t="shared" si="104"/>
        <v>0</v>
      </c>
      <c r="L106" s="27">
        <f>VLOOKUP(C106,'Asset Allocation'!A:K,11,FALSE)</f>
        <v>4</v>
      </c>
    </row>
    <row r="107" spans="1:12" x14ac:dyDescent="0.2">
      <c r="A107" s="29" t="s">
        <v>270</v>
      </c>
      <c r="B107" s="30" t="str">
        <f>'Asset Allocation'!A2&amp;"-"&amp;'Asset Allocation'!$I$1</f>
        <v>Heavy Machinery-Caribbean Islands</v>
      </c>
      <c r="C107" s="30" t="s">
        <v>479</v>
      </c>
      <c r="D107" s="29" t="s">
        <v>777</v>
      </c>
      <c r="E107" s="29"/>
      <c r="F107" s="31">
        <f>'Asset Allocation'!I2</f>
        <v>0</v>
      </c>
      <c r="G107" s="31">
        <f t="shared" ref="G107:J107" si="105">IF($F107&lt;0.0001,0,F107-$F107/$L107)</f>
        <v>0</v>
      </c>
      <c r="H107" s="31">
        <f t="shared" si="105"/>
        <v>0</v>
      </c>
      <c r="I107" s="31">
        <f t="shared" si="105"/>
        <v>0</v>
      </c>
      <c r="J107" s="31">
        <f t="shared" si="105"/>
        <v>0</v>
      </c>
      <c r="L107" s="27">
        <f>VLOOKUP(C107,'Asset Allocation'!A:K,11,FALSE)</f>
        <v>10</v>
      </c>
    </row>
    <row r="108" spans="1:12" x14ac:dyDescent="0.2">
      <c r="A108" s="29" t="s">
        <v>271</v>
      </c>
      <c r="B108" s="30" t="str">
        <f>'Asset Allocation'!A3&amp;"-"&amp;'Asset Allocation'!$I$1</f>
        <v>Heat Exchanger-Caribbean Islands</v>
      </c>
      <c r="C108" s="30" t="s">
        <v>2</v>
      </c>
      <c r="D108" s="29" t="s">
        <v>777</v>
      </c>
      <c r="E108" s="29"/>
      <c r="F108" s="31">
        <f>'Asset Allocation'!I3</f>
        <v>0</v>
      </c>
      <c r="G108" s="31">
        <f t="shared" ref="G108:J108" si="106">IF($F108&lt;0.0001,0,F108-$F108/$L108)</f>
        <v>0</v>
      </c>
      <c r="H108" s="31">
        <f t="shared" si="106"/>
        <v>0</v>
      </c>
      <c r="I108" s="31">
        <f t="shared" si="106"/>
        <v>0</v>
      </c>
      <c r="J108" s="31">
        <f t="shared" si="106"/>
        <v>0</v>
      </c>
      <c r="L108" s="27">
        <f>VLOOKUP(C108,'Asset Allocation'!A:K,11,FALSE)</f>
        <v>5</v>
      </c>
    </row>
    <row r="109" spans="1:12" x14ac:dyDescent="0.2">
      <c r="A109" s="29" t="s">
        <v>272</v>
      </c>
      <c r="B109" s="30" t="str">
        <f>'Asset Allocation'!A4&amp;"-"&amp;'Asset Allocation'!$I$1</f>
        <v>Pipelines-Caribbean Islands</v>
      </c>
      <c r="C109" s="30" t="s">
        <v>950</v>
      </c>
      <c r="D109" s="29" t="s">
        <v>777</v>
      </c>
      <c r="E109" s="29"/>
      <c r="F109" s="31">
        <f>'Asset Allocation'!I4</f>
        <v>0</v>
      </c>
      <c r="G109" s="31">
        <f t="shared" ref="G109:J109" si="107">IF($F109&lt;0.0001,0,F109-$F109/$L109)</f>
        <v>0</v>
      </c>
      <c r="H109" s="31">
        <f t="shared" si="107"/>
        <v>0</v>
      </c>
      <c r="I109" s="31">
        <f t="shared" si="107"/>
        <v>0</v>
      </c>
      <c r="J109" s="31">
        <f t="shared" si="107"/>
        <v>0</v>
      </c>
      <c r="L109" s="27">
        <f>VLOOKUP(C109,'Asset Allocation'!A:K,11,FALSE)</f>
        <v>10</v>
      </c>
    </row>
    <row r="110" spans="1:12" x14ac:dyDescent="0.2">
      <c r="A110" s="29" t="s">
        <v>273</v>
      </c>
      <c r="B110" s="30" t="str">
        <f>'Asset Allocation'!A5&amp;"-"&amp;'Asset Allocation'!$I$1</f>
        <v>Property (Office Locations)-Caribbean Islands</v>
      </c>
      <c r="C110" s="30" t="s">
        <v>3</v>
      </c>
      <c r="D110" s="29" t="s">
        <v>777</v>
      </c>
      <c r="E110" s="29"/>
      <c r="F110" s="31">
        <f>'Asset Allocation'!I5</f>
        <v>400000</v>
      </c>
      <c r="G110" s="31">
        <f t="shared" ref="G110:J110" si="108">IF($F110&lt;0.0001,0,F110-$F110/$L110)</f>
        <v>360000</v>
      </c>
      <c r="H110" s="31">
        <f t="shared" si="108"/>
        <v>320000</v>
      </c>
      <c r="I110" s="31">
        <f t="shared" si="108"/>
        <v>280000</v>
      </c>
      <c r="J110" s="31">
        <f t="shared" si="108"/>
        <v>240000</v>
      </c>
      <c r="L110" s="27">
        <f>VLOOKUP(C110,'Asset Allocation'!A:K,11,FALSE)</f>
        <v>10</v>
      </c>
    </row>
    <row r="111" spans="1:12" x14ac:dyDescent="0.2">
      <c r="A111" s="29" t="s">
        <v>274</v>
      </c>
      <c r="B111" s="30" t="str">
        <f>'Asset Allocation'!A6&amp;"-"&amp;'Asset Allocation'!$I$1</f>
        <v>Manufacturing Plants-Caribbean Islands</v>
      </c>
      <c r="C111" s="30" t="s">
        <v>4</v>
      </c>
      <c r="D111" s="29" t="s">
        <v>777</v>
      </c>
      <c r="E111" s="29"/>
      <c r="F111" s="31">
        <f>'Asset Allocation'!I6</f>
        <v>0</v>
      </c>
      <c r="G111" s="31">
        <f t="shared" ref="G111:J111" si="109">IF($F111&lt;0.0001,0,F111-$F111/$L111)</f>
        <v>0</v>
      </c>
      <c r="H111" s="31">
        <f t="shared" si="109"/>
        <v>0</v>
      </c>
      <c r="I111" s="31">
        <f t="shared" si="109"/>
        <v>0</v>
      </c>
      <c r="J111" s="31">
        <f t="shared" si="109"/>
        <v>0</v>
      </c>
      <c r="L111" s="27">
        <f>VLOOKUP(C111,'Asset Allocation'!A:K,11,FALSE)</f>
        <v>10</v>
      </c>
    </row>
    <row r="112" spans="1:12" x14ac:dyDescent="0.2">
      <c r="A112" s="29" t="s">
        <v>275</v>
      </c>
      <c r="B112" s="30" t="str">
        <f>'Asset Allocation'!A7&amp;"-"&amp;'Asset Allocation'!$I$1</f>
        <v>Warehouse &amp; Cold Storage-Caribbean Islands</v>
      </c>
      <c r="C112" s="30" t="s">
        <v>485</v>
      </c>
      <c r="D112" s="29" t="s">
        <v>777</v>
      </c>
      <c r="E112" s="29"/>
      <c r="F112" s="31">
        <f>'Asset Allocation'!I7</f>
        <v>0</v>
      </c>
      <c r="G112" s="31">
        <f t="shared" ref="G112:J112" si="110">IF($F112&lt;0.0001,0,F112-$F112/$L112)</f>
        <v>0</v>
      </c>
      <c r="H112" s="31">
        <f t="shared" si="110"/>
        <v>0</v>
      </c>
      <c r="I112" s="31">
        <f t="shared" si="110"/>
        <v>0</v>
      </c>
      <c r="J112" s="31">
        <f t="shared" si="110"/>
        <v>0</v>
      </c>
      <c r="L112" s="27">
        <f>VLOOKUP(C112,'Asset Allocation'!A:K,11,FALSE)</f>
        <v>5</v>
      </c>
    </row>
    <row r="113" spans="1:12" x14ac:dyDescent="0.2">
      <c r="A113" s="29" t="s">
        <v>276</v>
      </c>
      <c r="B113" s="30" t="str">
        <f>'Asset Allocation'!A8&amp;"-"&amp;'Asset Allocation'!$I$1</f>
        <v>Hotels &amp; Resorts-Caribbean Islands</v>
      </c>
      <c r="C113" s="30" t="s">
        <v>5</v>
      </c>
      <c r="D113" s="29" t="s">
        <v>777</v>
      </c>
      <c r="E113" s="29"/>
      <c r="F113" s="31">
        <f>'Asset Allocation'!I8</f>
        <v>0</v>
      </c>
      <c r="G113" s="31">
        <f t="shared" ref="G113:J113" si="111">IF($F113&lt;0.0001,0,F113-$F113/$L113)</f>
        <v>0</v>
      </c>
      <c r="H113" s="31">
        <f t="shared" si="111"/>
        <v>0</v>
      </c>
      <c r="I113" s="31">
        <f t="shared" si="111"/>
        <v>0</v>
      </c>
      <c r="J113" s="31">
        <f t="shared" si="111"/>
        <v>0</v>
      </c>
      <c r="L113" s="27">
        <f>VLOOKUP(C113,'Asset Allocation'!A:K,11,FALSE)</f>
        <v>10</v>
      </c>
    </row>
    <row r="114" spans="1:12" x14ac:dyDescent="0.2">
      <c r="A114" s="29" t="s">
        <v>277</v>
      </c>
      <c r="B114" s="30" t="str">
        <f>'Asset Allocation'!A9&amp;"-"&amp;'Asset Allocation'!$I$1</f>
        <v>Supermarkets &amp; Malls-Caribbean Islands</v>
      </c>
      <c r="C114" s="30" t="s">
        <v>6</v>
      </c>
      <c r="D114" s="29" t="s">
        <v>777</v>
      </c>
      <c r="E114" s="29"/>
      <c r="F114" s="31">
        <f>'Asset Allocation'!I9</f>
        <v>600000</v>
      </c>
      <c r="G114" s="31">
        <f t="shared" ref="G114:J114" si="112">IF($F114&lt;0.0001,0,F114-$F114/$L114)</f>
        <v>480000</v>
      </c>
      <c r="H114" s="31">
        <f t="shared" si="112"/>
        <v>360000</v>
      </c>
      <c r="I114" s="31">
        <f t="shared" si="112"/>
        <v>240000</v>
      </c>
      <c r="J114" s="31">
        <f t="shared" si="112"/>
        <v>120000</v>
      </c>
      <c r="L114" s="27">
        <f>VLOOKUP(C114,'Asset Allocation'!A:K,11,FALSE)</f>
        <v>5</v>
      </c>
    </row>
    <row r="115" spans="1:12" x14ac:dyDescent="0.2">
      <c r="A115" s="29" t="s">
        <v>278</v>
      </c>
      <c r="B115" s="30" t="str">
        <f>'Asset Allocation'!A10&amp;"-"&amp;'Asset Allocation'!$I$1</f>
        <v>Mines-Caribbean Islands</v>
      </c>
      <c r="C115" s="30" t="s">
        <v>7</v>
      </c>
      <c r="D115" s="29" t="s">
        <v>777</v>
      </c>
      <c r="E115" s="29"/>
      <c r="F115" s="31">
        <f>'Asset Allocation'!I10</f>
        <v>0</v>
      </c>
      <c r="G115" s="31">
        <f t="shared" ref="G115:J115" si="113">IF($F115&lt;0.0001,0,F115-$F115/$L115)</f>
        <v>0</v>
      </c>
      <c r="H115" s="31">
        <f t="shared" si="113"/>
        <v>0</v>
      </c>
      <c r="I115" s="31">
        <f t="shared" si="113"/>
        <v>0</v>
      </c>
      <c r="J115" s="31">
        <f t="shared" si="113"/>
        <v>0</v>
      </c>
      <c r="L115" s="27">
        <f>VLOOKUP(C115,'Asset Allocation'!A:K,11,FALSE)</f>
        <v>10</v>
      </c>
    </row>
    <row r="116" spans="1:12" x14ac:dyDescent="0.2">
      <c r="A116" s="29" t="s">
        <v>279</v>
      </c>
      <c r="B116" s="30" t="str">
        <f>'Asset Allocation'!A11&amp;"-"&amp;'Asset Allocation'!$I$1</f>
        <v>Power Plants-Caribbean Islands</v>
      </c>
      <c r="C116" s="30" t="s">
        <v>8</v>
      </c>
      <c r="D116" s="29" t="s">
        <v>777</v>
      </c>
      <c r="E116" s="29"/>
      <c r="F116" s="31">
        <f>'Asset Allocation'!I11</f>
        <v>0</v>
      </c>
      <c r="G116" s="31">
        <f t="shared" ref="G116:J116" si="114">IF($F116&lt;0.0001,0,F116-$F116/$L116)</f>
        <v>0</v>
      </c>
      <c r="H116" s="31">
        <f t="shared" si="114"/>
        <v>0</v>
      </c>
      <c r="I116" s="31">
        <f t="shared" si="114"/>
        <v>0</v>
      </c>
      <c r="J116" s="31">
        <f t="shared" si="114"/>
        <v>0</v>
      </c>
      <c r="L116" s="27">
        <f>VLOOKUP(C116,'Asset Allocation'!A:K,11,FALSE)</f>
        <v>5</v>
      </c>
    </row>
    <row r="117" spans="1:12" x14ac:dyDescent="0.2">
      <c r="A117" s="29" t="s">
        <v>280</v>
      </c>
      <c r="B117" s="30" t="str">
        <f>'Asset Allocation'!A12&amp;"-"&amp;'Asset Allocation'!$I$1</f>
        <v>Oil Refineries-Caribbean Islands</v>
      </c>
      <c r="C117" s="30" t="s">
        <v>9</v>
      </c>
      <c r="D117" s="29" t="s">
        <v>777</v>
      </c>
      <c r="E117" s="29"/>
      <c r="F117" s="31">
        <f>'Asset Allocation'!I12</f>
        <v>0</v>
      </c>
      <c r="G117" s="31">
        <f t="shared" ref="G117:J117" si="115">IF($F117&lt;0.0001,0,F117-$F117/$L117)</f>
        <v>0</v>
      </c>
      <c r="H117" s="31">
        <f t="shared" si="115"/>
        <v>0</v>
      </c>
      <c r="I117" s="31">
        <f t="shared" si="115"/>
        <v>0</v>
      </c>
      <c r="J117" s="31">
        <f t="shared" si="115"/>
        <v>0</v>
      </c>
      <c r="L117" s="27">
        <f>VLOOKUP(C117,'Asset Allocation'!A:K,11,FALSE)</f>
        <v>10</v>
      </c>
    </row>
    <row r="118" spans="1:12" x14ac:dyDescent="0.2">
      <c r="A118" s="29" t="s">
        <v>281</v>
      </c>
      <c r="B118" s="30" t="str">
        <f>'Asset Allocation'!A13&amp;"-"&amp;'Asset Allocation'!$I$1</f>
        <v>Telecom Towers-Caribbean Islands</v>
      </c>
      <c r="C118" s="30" t="s">
        <v>10</v>
      </c>
      <c r="D118" s="29" t="s">
        <v>777</v>
      </c>
      <c r="E118" s="29"/>
      <c r="F118" s="31">
        <f>'Asset Allocation'!I13</f>
        <v>0</v>
      </c>
      <c r="G118" s="31">
        <f t="shared" ref="G118:J118" si="116">IF($F118&lt;0.0001,0,F118-$F118/$L118)</f>
        <v>0</v>
      </c>
      <c r="H118" s="31">
        <f t="shared" si="116"/>
        <v>0</v>
      </c>
      <c r="I118" s="31">
        <f t="shared" si="116"/>
        <v>0</v>
      </c>
      <c r="J118" s="31">
        <f t="shared" si="116"/>
        <v>0</v>
      </c>
      <c r="L118" s="27">
        <f>VLOOKUP(C118,'Asset Allocation'!A:K,11,FALSE)</f>
        <v>4</v>
      </c>
    </row>
    <row r="119" spans="1:12" x14ac:dyDescent="0.2">
      <c r="A119" s="29" t="s">
        <v>282</v>
      </c>
      <c r="B119" s="30" t="str">
        <f>'Asset Allocation'!A14&amp;"-"&amp;'Asset Allocation'!$I$1</f>
        <v>Aircrafts-Caribbean Islands</v>
      </c>
      <c r="C119" s="30" t="s">
        <v>11</v>
      </c>
      <c r="D119" s="29" t="s">
        <v>777</v>
      </c>
      <c r="E119" s="29"/>
      <c r="F119" s="31">
        <f>'Asset Allocation'!I14</f>
        <v>600000</v>
      </c>
      <c r="G119" s="31">
        <f t="shared" ref="G119:J119" si="117">IF($F119&lt;0.0001,0,F119-$F119/$L119)</f>
        <v>480000</v>
      </c>
      <c r="H119" s="31">
        <f t="shared" si="117"/>
        <v>360000</v>
      </c>
      <c r="I119" s="31">
        <f t="shared" si="117"/>
        <v>240000</v>
      </c>
      <c r="J119" s="31">
        <f t="shared" si="117"/>
        <v>120000</v>
      </c>
      <c r="L119" s="27">
        <f>VLOOKUP(C119,'Asset Allocation'!A:K,11,FALSE)</f>
        <v>5</v>
      </c>
    </row>
    <row r="120" spans="1:12" x14ac:dyDescent="0.2">
      <c r="A120" s="29" t="s">
        <v>283</v>
      </c>
      <c r="B120" s="30" t="str">
        <f>'Asset Allocation'!A15&amp;"-"&amp;'Asset Allocation'!$I$1</f>
        <v>Ships &amp; Cargo-Caribbean Islands</v>
      </c>
      <c r="C120" s="30" t="s">
        <v>951</v>
      </c>
      <c r="D120" s="29" t="s">
        <v>777</v>
      </c>
      <c r="E120" s="29"/>
      <c r="F120" s="31">
        <f>'Asset Allocation'!I15</f>
        <v>0</v>
      </c>
      <c r="G120" s="31">
        <f t="shared" ref="G120:J120" si="118">IF($F120&lt;0.0001,0,F120-$F120/$L120)</f>
        <v>0</v>
      </c>
      <c r="H120" s="31">
        <f t="shared" si="118"/>
        <v>0</v>
      </c>
      <c r="I120" s="31">
        <f t="shared" si="118"/>
        <v>0</v>
      </c>
      <c r="J120" s="31">
        <f t="shared" si="118"/>
        <v>0</v>
      </c>
      <c r="L120" s="27">
        <f>VLOOKUP(C120,'Asset Allocation'!A:K,11,FALSE)</f>
        <v>5</v>
      </c>
    </row>
    <row r="121" spans="1:12" x14ac:dyDescent="0.2">
      <c r="A121" s="29" t="s">
        <v>284</v>
      </c>
      <c r="B121" s="30" t="str">
        <f>'Asset Allocation'!A16&amp;"-"&amp;'Asset Allocation'!$I$1</f>
        <v>Fleets &amp; Cars-Caribbean Islands</v>
      </c>
      <c r="C121" s="30" t="s">
        <v>949</v>
      </c>
      <c r="D121" s="29" t="s">
        <v>777</v>
      </c>
      <c r="E121" s="29"/>
      <c r="F121" s="31">
        <f>'Asset Allocation'!I16</f>
        <v>200000</v>
      </c>
      <c r="G121" s="31">
        <f t="shared" ref="G121:J121" si="119">IF($F121&lt;0.0001,0,F121-$F121/$L121)</f>
        <v>150000</v>
      </c>
      <c r="H121" s="31">
        <f t="shared" si="119"/>
        <v>100000</v>
      </c>
      <c r="I121" s="31">
        <f t="shared" si="119"/>
        <v>50000</v>
      </c>
      <c r="J121" s="31">
        <f t="shared" si="119"/>
        <v>0</v>
      </c>
      <c r="L121" s="27">
        <f>VLOOKUP(C121,'Asset Allocation'!A:K,11,FALSE)</f>
        <v>4</v>
      </c>
    </row>
    <row r="122" spans="1:12" x14ac:dyDescent="0.2">
      <c r="A122" s="29" t="s">
        <v>285</v>
      </c>
      <c r="B122" s="30" t="str">
        <f>'Asset Allocation'!A2&amp;"-"&amp;'Asset Allocation'!$J$1</f>
        <v>Heavy Machinery-Texas</v>
      </c>
      <c r="C122" s="30" t="s">
        <v>479</v>
      </c>
      <c r="D122" s="29" t="s">
        <v>668</v>
      </c>
      <c r="E122" s="29"/>
      <c r="F122" s="31">
        <f>'Asset Allocation'!J2</f>
        <v>0</v>
      </c>
      <c r="G122" s="31">
        <f t="shared" ref="G122:J122" si="120">IF($F122&lt;0.0001,0,F122-$F122/$L122)</f>
        <v>0</v>
      </c>
      <c r="H122" s="31">
        <f t="shared" si="120"/>
        <v>0</v>
      </c>
      <c r="I122" s="31">
        <f t="shared" si="120"/>
        <v>0</v>
      </c>
      <c r="J122" s="31">
        <f t="shared" si="120"/>
        <v>0</v>
      </c>
      <c r="L122" s="27">
        <f>VLOOKUP(C122,'Asset Allocation'!A:K,11,FALSE)</f>
        <v>10</v>
      </c>
    </row>
    <row r="123" spans="1:12" x14ac:dyDescent="0.2">
      <c r="A123" s="29" t="s">
        <v>286</v>
      </c>
      <c r="B123" s="30" t="str">
        <f>'Asset Allocation'!A3&amp;"-"&amp;'Asset Allocation'!$J$1</f>
        <v>Heat Exchanger-Texas</v>
      </c>
      <c r="C123" s="30" t="s">
        <v>2</v>
      </c>
      <c r="D123" s="29" t="s">
        <v>668</v>
      </c>
      <c r="E123" s="29"/>
      <c r="F123" s="31">
        <f>'Asset Allocation'!J3</f>
        <v>0</v>
      </c>
      <c r="G123" s="31">
        <f t="shared" ref="G123:J123" si="121">IF($F123&lt;0.0001,0,F123-$F123/$L123)</f>
        <v>0</v>
      </c>
      <c r="H123" s="31">
        <f t="shared" si="121"/>
        <v>0</v>
      </c>
      <c r="I123" s="31">
        <f t="shared" si="121"/>
        <v>0</v>
      </c>
      <c r="J123" s="31">
        <f t="shared" si="121"/>
        <v>0</v>
      </c>
      <c r="L123" s="27">
        <f>VLOOKUP(C123,'Asset Allocation'!A:K,11,FALSE)</f>
        <v>5</v>
      </c>
    </row>
    <row r="124" spans="1:12" x14ac:dyDescent="0.2">
      <c r="A124" s="29" t="s">
        <v>287</v>
      </c>
      <c r="B124" s="30" t="str">
        <f>'Asset Allocation'!A4&amp;"-"&amp;'Asset Allocation'!$J$1</f>
        <v>Pipelines-Texas</v>
      </c>
      <c r="C124" s="30" t="s">
        <v>950</v>
      </c>
      <c r="D124" s="29" t="s">
        <v>668</v>
      </c>
      <c r="E124" s="29"/>
      <c r="F124" s="31">
        <f>'Asset Allocation'!J4</f>
        <v>0</v>
      </c>
      <c r="G124" s="31">
        <f t="shared" ref="G124:J124" si="122">IF($F124&lt;0.0001,0,F124-$F124/$L124)</f>
        <v>0</v>
      </c>
      <c r="H124" s="31">
        <f t="shared" si="122"/>
        <v>0</v>
      </c>
      <c r="I124" s="31">
        <f t="shared" si="122"/>
        <v>0</v>
      </c>
      <c r="J124" s="31">
        <f t="shared" si="122"/>
        <v>0</v>
      </c>
      <c r="L124" s="27">
        <f>VLOOKUP(C124,'Asset Allocation'!A:K,11,FALSE)</f>
        <v>10</v>
      </c>
    </row>
    <row r="125" spans="1:12" x14ac:dyDescent="0.2">
      <c r="A125" s="29" t="s">
        <v>288</v>
      </c>
      <c r="B125" s="30" t="str">
        <f>'Asset Allocation'!A5&amp;"-"&amp;'Asset Allocation'!$J$1</f>
        <v>Property (Office Locations)-Texas</v>
      </c>
      <c r="C125" s="30" t="s">
        <v>3</v>
      </c>
      <c r="D125" s="29" t="s">
        <v>668</v>
      </c>
      <c r="E125" s="29"/>
      <c r="F125" s="31">
        <f>'Asset Allocation'!J5</f>
        <v>1200000</v>
      </c>
      <c r="G125" s="31">
        <f t="shared" ref="G125:J125" si="123">IF($F125&lt;0.0001,0,F125-$F125/$L125)</f>
        <v>1080000</v>
      </c>
      <c r="H125" s="31">
        <f t="shared" si="123"/>
        <v>960000</v>
      </c>
      <c r="I125" s="31">
        <f t="shared" si="123"/>
        <v>840000</v>
      </c>
      <c r="J125" s="31">
        <f t="shared" si="123"/>
        <v>720000</v>
      </c>
      <c r="L125" s="27">
        <f>VLOOKUP(C125,'Asset Allocation'!A:K,11,FALSE)</f>
        <v>10</v>
      </c>
    </row>
    <row r="126" spans="1:12" x14ac:dyDescent="0.2">
      <c r="A126" s="29" t="s">
        <v>289</v>
      </c>
      <c r="B126" s="30" t="str">
        <f>'Asset Allocation'!A6&amp;"-"&amp;'Asset Allocation'!$J$1</f>
        <v>Manufacturing Plants-Texas</v>
      </c>
      <c r="C126" s="30" t="s">
        <v>4</v>
      </c>
      <c r="D126" s="29" t="s">
        <v>668</v>
      </c>
      <c r="E126" s="29"/>
      <c r="F126" s="31">
        <f>'Asset Allocation'!J6</f>
        <v>300000</v>
      </c>
      <c r="G126" s="31">
        <f t="shared" ref="G126:J126" si="124">IF($F126&lt;0.0001,0,F126-$F126/$L126)</f>
        <v>270000</v>
      </c>
      <c r="H126" s="31">
        <f t="shared" si="124"/>
        <v>240000</v>
      </c>
      <c r="I126" s="31">
        <f t="shared" si="124"/>
        <v>210000</v>
      </c>
      <c r="J126" s="31">
        <f t="shared" si="124"/>
        <v>180000</v>
      </c>
      <c r="L126" s="27">
        <f>VLOOKUP(C126,'Asset Allocation'!A:K,11,FALSE)</f>
        <v>10</v>
      </c>
    </row>
    <row r="127" spans="1:12" x14ac:dyDescent="0.2">
      <c r="A127" s="29" t="s">
        <v>290</v>
      </c>
      <c r="B127" s="30" t="str">
        <f>'Asset Allocation'!A7&amp;"-"&amp;'Asset Allocation'!$J$1</f>
        <v>Warehouse &amp; Cold Storage-Texas</v>
      </c>
      <c r="C127" s="30" t="s">
        <v>485</v>
      </c>
      <c r="D127" s="29" t="s">
        <v>668</v>
      </c>
      <c r="E127" s="29"/>
      <c r="F127" s="31">
        <f>'Asset Allocation'!J7</f>
        <v>0</v>
      </c>
      <c r="G127" s="31">
        <f t="shared" ref="G127:J127" si="125">IF($F127&lt;0.0001,0,F127-$F127/$L127)</f>
        <v>0</v>
      </c>
      <c r="H127" s="31">
        <f t="shared" si="125"/>
        <v>0</v>
      </c>
      <c r="I127" s="31">
        <f t="shared" si="125"/>
        <v>0</v>
      </c>
      <c r="J127" s="31">
        <f t="shared" si="125"/>
        <v>0</v>
      </c>
      <c r="L127" s="27">
        <f>VLOOKUP(C127,'Asset Allocation'!A:K,11,FALSE)</f>
        <v>5</v>
      </c>
    </row>
    <row r="128" spans="1:12" x14ac:dyDescent="0.2">
      <c r="A128" s="29" t="s">
        <v>291</v>
      </c>
      <c r="B128" s="30" t="str">
        <f>'Asset Allocation'!A8&amp;"-"&amp;'Asset Allocation'!$J$1</f>
        <v>Hotels &amp; Resorts-Texas</v>
      </c>
      <c r="C128" s="30" t="s">
        <v>5</v>
      </c>
      <c r="D128" s="29" t="s">
        <v>668</v>
      </c>
      <c r="E128" s="29"/>
      <c r="F128" s="31">
        <f>'Asset Allocation'!J8</f>
        <v>1000000</v>
      </c>
      <c r="G128" s="31">
        <f t="shared" ref="G128:J128" si="126">IF($F128&lt;0.0001,0,F128-$F128/$L128)</f>
        <v>900000</v>
      </c>
      <c r="H128" s="31">
        <f t="shared" si="126"/>
        <v>800000</v>
      </c>
      <c r="I128" s="31">
        <f t="shared" si="126"/>
        <v>700000</v>
      </c>
      <c r="J128" s="31">
        <f t="shared" si="126"/>
        <v>600000</v>
      </c>
      <c r="L128" s="27">
        <f>VLOOKUP(C128,'Asset Allocation'!A:K,11,FALSE)</f>
        <v>10</v>
      </c>
    </row>
    <row r="129" spans="1:12" x14ac:dyDescent="0.2">
      <c r="A129" s="29" t="s">
        <v>292</v>
      </c>
      <c r="B129" s="30" t="str">
        <f>'Asset Allocation'!A9&amp;"-"&amp;'Asset Allocation'!$J$1</f>
        <v>Supermarkets &amp; Malls-Texas</v>
      </c>
      <c r="C129" s="30" t="s">
        <v>6</v>
      </c>
      <c r="D129" s="29" t="s">
        <v>668</v>
      </c>
      <c r="E129" s="29"/>
      <c r="F129" s="31">
        <f>'Asset Allocation'!J9</f>
        <v>300000</v>
      </c>
      <c r="G129" s="31">
        <f t="shared" ref="G129:J129" si="127">IF($F129&lt;0.0001,0,F129-$F129/$L129)</f>
        <v>240000</v>
      </c>
      <c r="H129" s="31">
        <f t="shared" si="127"/>
        <v>180000</v>
      </c>
      <c r="I129" s="31">
        <f t="shared" si="127"/>
        <v>120000</v>
      </c>
      <c r="J129" s="31">
        <f t="shared" si="127"/>
        <v>60000</v>
      </c>
      <c r="L129" s="27">
        <f>VLOOKUP(C129,'Asset Allocation'!A:K,11,FALSE)</f>
        <v>5</v>
      </c>
    </row>
    <row r="130" spans="1:12" x14ac:dyDescent="0.2">
      <c r="A130" s="29" t="s">
        <v>293</v>
      </c>
      <c r="B130" s="30" t="str">
        <f>'Asset Allocation'!A10&amp;"-"&amp;'Asset Allocation'!$J$1</f>
        <v>Mines-Texas</v>
      </c>
      <c r="C130" s="30" t="s">
        <v>7</v>
      </c>
      <c r="D130" s="29" t="s">
        <v>668</v>
      </c>
      <c r="E130" s="29"/>
      <c r="F130" s="31">
        <f>'Asset Allocation'!J10</f>
        <v>0</v>
      </c>
      <c r="G130" s="31">
        <f t="shared" ref="G130:J130" si="128">IF($F130&lt;0.0001,0,F130-$F130/$L130)</f>
        <v>0</v>
      </c>
      <c r="H130" s="31">
        <f t="shared" si="128"/>
        <v>0</v>
      </c>
      <c r="I130" s="31">
        <f t="shared" si="128"/>
        <v>0</v>
      </c>
      <c r="J130" s="31">
        <f t="shared" si="128"/>
        <v>0</v>
      </c>
      <c r="L130" s="27">
        <f>VLOOKUP(C130,'Asset Allocation'!A:K,11,FALSE)</f>
        <v>10</v>
      </c>
    </row>
    <row r="131" spans="1:12" x14ac:dyDescent="0.2">
      <c r="A131" s="29" t="s">
        <v>294</v>
      </c>
      <c r="B131" s="30" t="str">
        <f>'Asset Allocation'!A11&amp;"-"&amp;'Asset Allocation'!$J$1</f>
        <v>Power Plants-Texas</v>
      </c>
      <c r="C131" s="30" t="s">
        <v>8</v>
      </c>
      <c r="D131" s="29" t="s">
        <v>668</v>
      </c>
      <c r="E131" s="29"/>
      <c r="F131" s="31">
        <f>'Asset Allocation'!J11</f>
        <v>0</v>
      </c>
      <c r="G131" s="31">
        <f t="shared" ref="G131:J131" si="129">IF($F131&lt;0.0001,0,F131-$F131/$L131)</f>
        <v>0</v>
      </c>
      <c r="H131" s="31">
        <f t="shared" si="129"/>
        <v>0</v>
      </c>
      <c r="I131" s="31">
        <f t="shared" si="129"/>
        <v>0</v>
      </c>
      <c r="J131" s="31">
        <f t="shared" si="129"/>
        <v>0</v>
      </c>
      <c r="L131" s="27">
        <f>VLOOKUP(C131,'Asset Allocation'!A:K,11,FALSE)</f>
        <v>5</v>
      </c>
    </row>
    <row r="132" spans="1:12" x14ac:dyDescent="0.2">
      <c r="A132" s="29" t="s">
        <v>295</v>
      </c>
      <c r="B132" s="30" t="str">
        <f>'Asset Allocation'!A12&amp;"-"&amp;'Asset Allocation'!$J$1</f>
        <v>Oil Refineries-Texas</v>
      </c>
      <c r="C132" s="30" t="s">
        <v>9</v>
      </c>
      <c r="D132" s="29" t="s">
        <v>668</v>
      </c>
      <c r="E132" s="29"/>
      <c r="F132" s="31">
        <f>'Asset Allocation'!J12</f>
        <v>1000000</v>
      </c>
      <c r="G132" s="31">
        <f t="shared" ref="G132:J132" si="130">IF($F132&lt;0.0001,0,F132-$F132/$L132)</f>
        <v>900000</v>
      </c>
      <c r="H132" s="31">
        <f t="shared" si="130"/>
        <v>800000</v>
      </c>
      <c r="I132" s="31">
        <f t="shared" si="130"/>
        <v>700000</v>
      </c>
      <c r="J132" s="31">
        <f t="shared" si="130"/>
        <v>600000</v>
      </c>
      <c r="L132" s="27">
        <f>VLOOKUP(C132,'Asset Allocation'!A:K,11,FALSE)</f>
        <v>10</v>
      </c>
    </row>
    <row r="133" spans="1:12" x14ac:dyDescent="0.2">
      <c r="A133" s="29" t="s">
        <v>296</v>
      </c>
      <c r="B133" s="30" t="str">
        <f>'Asset Allocation'!A13&amp;"-"&amp;'Asset Allocation'!$J$1</f>
        <v>Telecom Towers-Texas</v>
      </c>
      <c r="C133" s="30" t="s">
        <v>10</v>
      </c>
      <c r="D133" s="29" t="s">
        <v>668</v>
      </c>
      <c r="E133" s="29"/>
      <c r="F133" s="31">
        <f>'Asset Allocation'!J13</f>
        <v>500000</v>
      </c>
      <c r="G133" s="31">
        <f t="shared" ref="G133:J133" si="131">IF($F133&lt;0.0001,0,F133-$F133/$L133)</f>
        <v>375000</v>
      </c>
      <c r="H133" s="31">
        <f t="shared" si="131"/>
        <v>250000</v>
      </c>
      <c r="I133" s="31">
        <f t="shared" si="131"/>
        <v>125000</v>
      </c>
      <c r="J133" s="31">
        <f t="shared" si="131"/>
        <v>0</v>
      </c>
      <c r="L133" s="27">
        <f>VLOOKUP(C133,'Asset Allocation'!A:K,11,FALSE)</f>
        <v>4</v>
      </c>
    </row>
    <row r="134" spans="1:12" x14ac:dyDescent="0.2">
      <c r="A134" s="29" t="s">
        <v>297</v>
      </c>
      <c r="B134" s="30" t="str">
        <f>'Asset Allocation'!A14&amp;"-"&amp;'Asset Allocation'!$J$1</f>
        <v>Aircrafts-Texas</v>
      </c>
      <c r="C134" s="30" t="s">
        <v>11</v>
      </c>
      <c r="D134" s="29" t="s">
        <v>668</v>
      </c>
      <c r="E134" s="29"/>
      <c r="F134" s="31">
        <f>'Asset Allocation'!J14</f>
        <v>200000</v>
      </c>
      <c r="G134" s="31">
        <f t="shared" ref="G134:J134" si="132">IF($F134&lt;0.0001,0,F134-$F134/$L134)</f>
        <v>160000</v>
      </c>
      <c r="H134" s="31">
        <f t="shared" si="132"/>
        <v>120000</v>
      </c>
      <c r="I134" s="31">
        <f t="shared" si="132"/>
        <v>80000</v>
      </c>
      <c r="J134" s="31">
        <f t="shared" si="132"/>
        <v>40000</v>
      </c>
      <c r="L134" s="27">
        <f>VLOOKUP(C134,'Asset Allocation'!A:K,11,FALSE)</f>
        <v>5</v>
      </c>
    </row>
    <row r="135" spans="1:12" x14ac:dyDescent="0.2">
      <c r="A135" s="29" t="s">
        <v>298</v>
      </c>
      <c r="B135" s="30" t="str">
        <f>'Asset Allocation'!A15&amp;"-"&amp;'Asset Allocation'!$J$1</f>
        <v>Ships &amp; Cargo-Texas</v>
      </c>
      <c r="C135" s="30" t="s">
        <v>951</v>
      </c>
      <c r="D135" s="29" t="s">
        <v>668</v>
      </c>
      <c r="E135" s="29"/>
      <c r="F135" s="31">
        <f>'Asset Allocation'!J15</f>
        <v>0</v>
      </c>
      <c r="G135" s="31">
        <f t="shared" ref="G135:J135" si="133">IF($F135&lt;0.0001,0,F135-$F135/$L135)</f>
        <v>0</v>
      </c>
      <c r="H135" s="31">
        <f t="shared" si="133"/>
        <v>0</v>
      </c>
      <c r="I135" s="31">
        <f t="shared" si="133"/>
        <v>0</v>
      </c>
      <c r="J135" s="31">
        <f t="shared" si="133"/>
        <v>0</v>
      </c>
      <c r="L135" s="27">
        <f>VLOOKUP(C135,'Asset Allocation'!A:K,11,FALSE)</f>
        <v>5</v>
      </c>
    </row>
    <row r="136" spans="1:12" x14ac:dyDescent="0.2">
      <c r="A136" s="29" t="s">
        <v>299</v>
      </c>
      <c r="B136" s="30" t="str">
        <f>'Asset Allocation'!A16&amp;"-"&amp;'Asset Allocation'!$J$1</f>
        <v>Fleets &amp; Cars-Texas</v>
      </c>
      <c r="C136" s="30" t="s">
        <v>949</v>
      </c>
      <c r="D136" s="29" t="s">
        <v>668</v>
      </c>
      <c r="E136" s="29"/>
      <c r="F136" s="31">
        <f>'Asset Allocation'!J16</f>
        <v>200000</v>
      </c>
      <c r="G136" s="31">
        <f t="shared" ref="G136:J136" si="134">IF($F136&lt;0.0001,0,F136-$F136/$L136)</f>
        <v>150000</v>
      </c>
      <c r="H136" s="31">
        <f t="shared" si="134"/>
        <v>100000</v>
      </c>
      <c r="I136" s="31">
        <f t="shared" si="134"/>
        <v>50000</v>
      </c>
      <c r="J136" s="31">
        <f t="shared" si="134"/>
        <v>0</v>
      </c>
      <c r="L136" s="27">
        <f>VLOOKUP(C136,'Asset Allocation'!A:K,11,FALSE)</f>
        <v>4</v>
      </c>
    </row>
    <row r="137" spans="1:12" x14ac:dyDescent="0.2">
      <c r="F137" s="86">
        <f>SUM(F2:F136)</f>
        <v>30500000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N183"/>
  <sheetViews>
    <sheetView topLeftCell="A4" workbookViewId="0">
      <selection activeCell="F23" sqref="F23"/>
    </sheetView>
  </sheetViews>
  <sheetFormatPr defaultRowHeight="15" x14ac:dyDescent="0.25"/>
  <cols>
    <col min="1" max="1" width="5.42578125" style="7" bestFit="1" customWidth="1"/>
    <col min="2" max="2" width="41.7109375" style="5" bestFit="1" customWidth="1"/>
    <col min="3" max="3" width="42.28515625" style="9" hidden="1" customWidth="1"/>
    <col min="4" max="4" width="15.5703125" style="7" hidden="1" customWidth="1"/>
    <col min="5" max="5" width="52.140625" style="7" hidden="1" customWidth="1"/>
    <col min="6" max="6" width="9.85546875" style="7" bestFit="1" customWidth="1"/>
    <col min="7" max="7" width="13.5703125" style="20" bestFit="1" customWidth="1"/>
    <col min="8" max="11" width="12.28515625" style="20" customWidth="1"/>
    <col min="12" max="12" width="12.28515625" style="56" customWidth="1"/>
    <col min="13" max="13" width="17" style="7" customWidth="1"/>
    <col min="14" max="14" width="14" style="20" bestFit="1" customWidth="1"/>
    <col min="15" max="16384" width="9.140625" style="9"/>
  </cols>
  <sheetData>
    <row r="1" spans="1:14" s="23" customFormat="1" ht="38.25" x14ac:dyDescent="0.25">
      <c r="A1" s="21" t="s">
        <v>116</v>
      </c>
      <c r="B1" s="21" t="s">
        <v>117</v>
      </c>
      <c r="C1" s="21" t="s">
        <v>779</v>
      </c>
      <c r="D1" s="21" t="s">
        <v>118</v>
      </c>
      <c r="E1" s="21" t="s">
        <v>928</v>
      </c>
      <c r="F1" s="21" t="s">
        <v>119</v>
      </c>
      <c r="G1" s="22" t="s">
        <v>786</v>
      </c>
      <c r="H1" s="22" t="s">
        <v>787</v>
      </c>
      <c r="I1" s="22" t="s">
        <v>788</v>
      </c>
      <c r="J1" s="22" t="s">
        <v>789</v>
      </c>
      <c r="K1" s="22" t="s">
        <v>790</v>
      </c>
      <c r="L1" s="54" t="s">
        <v>793</v>
      </c>
      <c r="M1" s="21" t="s">
        <v>120</v>
      </c>
      <c r="N1" s="22" t="s">
        <v>917</v>
      </c>
    </row>
    <row r="2" spans="1:14" x14ac:dyDescent="0.25">
      <c r="A2" s="29" t="s">
        <v>41</v>
      </c>
      <c r="B2" s="41" t="s">
        <v>669</v>
      </c>
      <c r="C2" s="42" t="s">
        <v>780</v>
      </c>
      <c r="D2" s="29" t="s">
        <v>1</v>
      </c>
      <c r="E2" s="30" t="str">
        <f>'Risk Master'!C2&amp;"-"&amp;'Risk Master'!D2</f>
        <v>Flood-Mumbai</v>
      </c>
      <c r="F2" s="29" t="s">
        <v>26</v>
      </c>
      <c r="G2" s="43">
        <f>VLOOKUP($F2,'Asset Master'!$A:$J,6,FALSE)*-1</f>
        <v>-200000</v>
      </c>
      <c r="H2" s="43">
        <f>VLOOKUP($F2,'Asset Master'!$A:$J,7,FALSE)*-1</f>
        <v>-180000</v>
      </c>
      <c r="I2" s="43">
        <f>VLOOKUP($F2,'Asset Master'!$A:$J,8,FALSE)*-1</f>
        <v>-160000</v>
      </c>
      <c r="J2" s="43">
        <f>VLOOKUP($F2,'Asset Master'!$A:$J,9,FALSE)*-1</f>
        <v>-140000</v>
      </c>
      <c r="K2" s="43">
        <f>VLOOKUP($F2,'Asset Master'!$A:$J,10,FALSE)*-1</f>
        <v>-120000</v>
      </c>
      <c r="L2" s="55">
        <f>VLOOKUP(E2,'Probabilty Distribution'!A:B,2,FALSE)</f>
        <v>0.17</v>
      </c>
      <c r="M2" s="29" t="s">
        <v>301</v>
      </c>
      <c r="N2" s="44">
        <f>VLOOKUP($F2,'Asset Master'!$A:$J,6,FALSE)*0.1</f>
        <v>20000</v>
      </c>
    </row>
    <row r="3" spans="1:14" x14ac:dyDescent="0.25">
      <c r="A3" s="29" t="s">
        <v>42</v>
      </c>
      <c r="B3" s="41" t="s">
        <v>481</v>
      </c>
      <c r="C3" s="42" t="str">
        <f>B3</f>
        <v>Earthquake</v>
      </c>
      <c r="D3" s="29" t="s">
        <v>1</v>
      </c>
      <c r="E3" s="30" t="str">
        <f>'Risk Master'!C3&amp;"-"&amp;'Risk Master'!D3</f>
        <v>Earthquake-Mumbai</v>
      </c>
      <c r="F3" s="29" t="s">
        <v>26</v>
      </c>
      <c r="G3" s="43">
        <f>VLOOKUP($F3,'Asset Master'!$A:$J,6,FALSE)*-1</f>
        <v>-200000</v>
      </c>
      <c r="H3" s="43">
        <f>VLOOKUP($F3,'Asset Master'!$A:$J,7,FALSE)*-1</f>
        <v>-180000</v>
      </c>
      <c r="I3" s="43">
        <f>VLOOKUP($F3,'Asset Master'!$A:$J,8,FALSE)*-1</f>
        <v>-160000</v>
      </c>
      <c r="J3" s="43">
        <f>VLOOKUP($F3,'Asset Master'!$A:$J,9,FALSE)*-1</f>
        <v>-140000</v>
      </c>
      <c r="K3" s="43">
        <f>VLOOKUP($F3,'Asset Master'!$A:$J,10,FALSE)*-1</f>
        <v>-120000</v>
      </c>
      <c r="L3" s="55">
        <f>VLOOKUP(E3,'Probabilty Distribution'!A:B,2,FALSE)</f>
        <v>0.2</v>
      </c>
      <c r="M3" s="29" t="s">
        <v>302</v>
      </c>
      <c r="N3" s="44">
        <f>VLOOKUP($F3,'Asset Master'!$A:$J,6,FALSE)*0.1</f>
        <v>20000</v>
      </c>
    </row>
    <row r="4" spans="1:14" x14ac:dyDescent="0.25">
      <c r="A4" s="29" t="s">
        <v>43</v>
      </c>
      <c r="B4" s="41" t="s">
        <v>482</v>
      </c>
      <c r="C4" s="42" t="str">
        <f t="shared" ref="C4:C67" si="0">B4</f>
        <v>Fire</v>
      </c>
      <c r="D4" s="29" t="s">
        <v>1</v>
      </c>
      <c r="E4" s="30" t="str">
        <f>'Risk Master'!C4&amp;"-"&amp;'Risk Master'!D4</f>
        <v>Fire-Mumbai</v>
      </c>
      <c r="F4" s="29" t="s">
        <v>26</v>
      </c>
      <c r="G4" s="43">
        <f>VLOOKUP($F4,'Asset Master'!$A:$J,6,FALSE)*-1</f>
        <v>-200000</v>
      </c>
      <c r="H4" s="43">
        <f>VLOOKUP($F4,'Asset Master'!$A:$J,7,FALSE)*-1</f>
        <v>-180000</v>
      </c>
      <c r="I4" s="43">
        <f>VLOOKUP($F4,'Asset Master'!$A:$J,8,FALSE)*-1</f>
        <v>-160000</v>
      </c>
      <c r="J4" s="43">
        <f>VLOOKUP($F4,'Asset Master'!$A:$J,9,FALSE)*-1</f>
        <v>-140000</v>
      </c>
      <c r="K4" s="43">
        <f>VLOOKUP($F4,'Asset Master'!$A:$J,10,FALSE)*-1</f>
        <v>-120000</v>
      </c>
      <c r="L4" s="55">
        <f>VLOOKUP(E4,'Probabilty Distribution'!A:B,2,FALSE)</f>
        <v>0.2</v>
      </c>
      <c r="M4" s="29" t="s">
        <v>303</v>
      </c>
      <c r="N4" s="44">
        <f>VLOOKUP($F4,'Asset Master'!$A:$J,6,FALSE)*0.1</f>
        <v>20000</v>
      </c>
    </row>
    <row r="5" spans="1:14" x14ac:dyDescent="0.25">
      <c r="A5" s="29" t="s">
        <v>44</v>
      </c>
      <c r="B5" s="41" t="s">
        <v>483</v>
      </c>
      <c r="C5" s="42" t="str">
        <f t="shared" si="0"/>
        <v>Typhoon</v>
      </c>
      <c r="D5" s="29" t="s">
        <v>1</v>
      </c>
      <c r="E5" s="30" t="str">
        <f>'Risk Master'!C5&amp;"-"&amp;'Risk Master'!D5</f>
        <v>Typhoon-Mumbai</v>
      </c>
      <c r="F5" s="29" t="s">
        <v>26</v>
      </c>
      <c r="G5" s="43">
        <f>VLOOKUP($F5,'Asset Master'!$A:$J,6,FALSE)*-1</f>
        <v>-200000</v>
      </c>
      <c r="H5" s="43">
        <f>VLOOKUP($F5,'Asset Master'!$A:$J,7,FALSE)*-1</f>
        <v>-180000</v>
      </c>
      <c r="I5" s="43">
        <f>VLOOKUP($F5,'Asset Master'!$A:$J,8,FALSE)*-1</f>
        <v>-160000</v>
      </c>
      <c r="J5" s="43">
        <f>VLOOKUP($F5,'Asset Master'!$A:$J,9,FALSE)*-1</f>
        <v>-140000</v>
      </c>
      <c r="K5" s="43">
        <f>VLOOKUP($F5,'Asset Master'!$A:$J,10,FALSE)*-1</f>
        <v>-120000</v>
      </c>
      <c r="L5" s="55">
        <f>VLOOKUP(E5,'Probabilty Distribution'!A:B,2,FALSE)</f>
        <v>0.3</v>
      </c>
      <c r="M5" s="29" t="s">
        <v>304</v>
      </c>
      <c r="N5" s="44">
        <f>VLOOKUP($F5,'Asset Master'!$A:$J,6,FALSE)*0.1</f>
        <v>20000</v>
      </c>
    </row>
    <row r="6" spans="1:14" x14ac:dyDescent="0.25">
      <c r="A6" s="29" t="s">
        <v>45</v>
      </c>
      <c r="B6" s="41" t="s">
        <v>484</v>
      </c>
      <c r="C6" s="42" t="str">
        <f t="shared" si="0"/>
        <v>Thunderstorms, Tornados &amp; Hail</v>
      </c>
      <c r="D6" s="29" t="s">
        <v>1</v>
      </c>
      <c r="E6" s="30" t="str">
        <f>'Risk Master'!C6&amp;"-"&amp;'Risk Master'!D6</f>
        <v>Thunderstorms, Tornados &amp; Hail-Mumbai</v>
      </c>
      <c r="F6" s="29" t="s">
        <v>26</v>
      </c>
      <c r="G6" s="43">
        <f>VLOOKUP($F6,'Asset Master'!$A:$J,6,FALSE)*-1</f>
        <v>-200000</v>
      </c>
      <c r="H6" s="43">
        <f>VLOOKUP($F6,'Asset Master'!$A:$J,7,FALSE)*-1</f>
        <v>-180000</v>
      </c>
      <c r="I6" s="43">
        <f>VLOOKUP($F6,'Asset Master'!$A:$J,8,FALSE)*-1</f>
        <v>-160000</v>
      </c>
      <c r="J6" s="43">
        <f>VLOOKUP($F6,'Asset Master'!$A:$J,9,FALSE)*-1</f>
        <v>-140000</v>
      </c>
      <c r="K6" s="43">
        <f>VLOOKUP($F6,'Asset Master'!$A:$J,10,FALSE)*-1</f>
        <v>-120000</v>
      </c>
      <c r="L6" s="55">
        <f>VLOOKUP(E6,'Probabilty Distribution'!A:B,2,FALSE)</f>
        <v>0.15</v>
      </c>
      <c r="M6" s="29" t="s">
        <v>305</v>
      </c>
      <c r="N6" s="44">
        <f>VLOOKUP($F6,'Asset Master'!$A:$J,6,FALSE)*0.1</f>
        <v>20000</v>
      </c>
    </row>
    <row r="7" spans="1:14" x14ac:dyDescent="0.25">
      <c r="A7" s="29" t="s">
        <v>46</v>
      </c>
      <c r="B7" s="41" t="s">
        <v>785</v>
      </c>
      <c r="C7" s="42" t="str">
        <f t="shared" si="0"/>
        <v>Tsunami</v>
      </c>
      <c r="D7" s="29" t="s">
        <v>1</v>
      </c>
      <c r="E7" s="30" t="str">
        <f>'Risk Master'!C7&amp;"-"&amp;'Risk Master'!D7</f>
        <v>Tsunami-Mumbai</v>
      </c>
      <c r="F7" s="29" t="s">
        <v>26</v>
      </c>
      <c r="G7" s="43">
        <f>VLOOKUP($F7,'Asset Master'!$A:$J,6,FALSE)*-1</f>
        <v>-200000</v>
      </c>
      <c r="H7" s="43">
        <f>VLOOKUP($F7,'Asset Master'!$A:$J,7,FALSE)*-1</f>
        <v>-180000</v>
      </c>
      <c r="I7" s="43">
        <f>VLOOKUP($F7,'Asset Master'!$A:$J,8,FALSE)*-1</f>
        <v>-160000</v>
      </c>
      <c r="J7" s="43">
        <f>VLOOKUP($F7,'Asset Master'!$A:$J,9,FALSE)*-1</f>
        <v>-140000</v>
      </c>
      <c r="K7" s="43">
        <f>VLOOKUP($F7,'Asset Master'!$A:$J,10,FALSE)*-1</f>
        <v>-120000</v>
      </c>
      <c r="L7" s="55">
        <f>VLOOKUP(E7,'Probabilty Distribution'!A:B,2,FALSE)</f>
        <v>0.14000000000000001</v>
      </c>
      <c r="M7" s="29" t="s">
        <v>306</v>
      </c>
      <c r="N7" s="44">
        <f>VLOOKUP($F7,'Asset Master'!$A:$J,6,FALSE)*0.1</f>
        <v>20000</v>
      </c>
    </row>
    <row r="8" spans="1:14" x14ac:dyDescent="0.25">
      <c r="A8" s="29" t="s">
        <v>47</v>
      </c>
      <c r="B8" s="41" t="s">
        <v>669</v>
      </c>
      <c r="C8" s="42" t="s">
        <v>780</v>
      </c>
      <c r="D8" s="29" t="s">
        <v>1</v>
      </c>
      <c r="E8" s="30" t="str">
        <f>'Risk Master'!C8&amp;"-"&amp;'Risk Master'!D8</f>
        <v>Flood-Mumbai</v>
      </c>
      <c r="F8" s="29" t="s">
        <v>27</v>
      </c>
      <c r="G8" s="43">
        <f>VLOOKUP($F8,'Asset Master'!$A:$J,6,FALSE)*-1</f>
        <v>-200000</v>
      </c>
      <c r="H8" s="43">
        <f>VLOOKUP($F8,'Asset Master'!$A:$J,7,FALSE)*-1</f>
        <v>-160000</v>
      </c>
      <c r="I8" s="43">
        <f>VLOOKUP($F8,'Asset Master'!$A:$J,8,FALSE)*-1</f>
        <v>-120000</v>
      </c>
      <c r="J8" s="43">
        <f>VLOOKUP($F8,'Asset Master'!$A:$J,9,FALSE)*-1</f>
        <v>-80000</v>
      </c>
      <c r="K8" s="43">
        <f>VLOOKUP($F8,'Asset Master'!$A:$J,10,FALSE)*-1</f>
        <v>-40000</v>
      </c>
      <c r="L8" s="55">
        <f>VLOOKUP(E8,'Probabilty Distribution'!A:B,2,FALSE)</f>
        <v>0.17</v>
      </c>
      <c r="M8" s="29" t="s">
        <v>307</v>
      </c>
      <c r="N8" s="44">
        <f>VLOOKUP($F8,'Asset Master'!$A:$J,6,FALSE)*0.1</f>
        <v>20000</v>
      </c>
    </row>
    <row r="9" spans="1:14" x14ac:dyDescent="0.25">
      <c r="A9" s="29" t="s">
        <v>48</v>
      </c>
      <c r="B9" s="41" t="s">
        <v>481</v>
      </c>
      <c r="C9" s="42" t="str">
        <f t="shared" si="0"/>
        <v>Earthquake</v>
      </c>
      <c r="D9" s="29" t="s">
        <v>1</v>
      </c>
      <c r="E9" s="30" t="str">
        <f>'Risk Master'!C9&amp;"-"&amp;'Risk Master'!D9</f>
        <v>Earthquake-Mumbai</v>
      </c>
      <c r="F9" s="29" t="s">
        <v>27</v>
      </c>
      <c r="G9" s="43">
        <f>VLOOKUP($F9,'Asset Master'!$A:$J,6,FALSE)*-1</f>
        <v>-200000</v>
      </c>
      <c r="H9" s="43">
        <f>VLOOKUP($F9,'Asset Master'!$A:$J,7,FALSE)*-1</f>
        <v>-160000</v>
      </c>
      <c r="I9" s="43">
        <f>VLOOKUP($F9,'Asset Master'!$A:$J,8,FALSE)*-1</f>
        <v>-120000</v>
      </c>
      <c r="J9" s="43">
        <f>VLOOKUP($F9,'Asset Master'!$A:$J,9,FALSE)*-1</f>
        <v>-80000</v>
      </c>
      <c r="K9" s="43">
        <f>VLOOKUP($F9,'Asset Master'!$A:$J,10,FALSE)*-1</f>
        <v>-40000</v>
      </c>
      <c r="L9" s="55">
        <f>VLOOKUP(E9,'Probabilty Distribution'!A:B,2,FALSE)</f>
        <v>0.2</v>
      </c>
      <c r="M9" s="29" t="s">
        <v>308</v>
      </c>
      <c r="N9" s="44">
        <f>VLOOKUP($F9,'Asset Master'!$A:$J,6,FALSE)*0.1</f>
        <v>20000</v>
      </c>
    </row>
    <row r="10" spans="1:14" x14ac:dyDescent="0.25">
      <c r="A10" s="29" t="s">
        <v>49</v>
      </c>
      <c r="B10" s="41" t="s">
        <v>482</v>
      </c>
      <c r="C10" s="42" t="str">
        <f t="shared" si="0"/>
        <v>Fire</v>
      </c>
      <c r="D10" s="29" t="s">
        <v>1</v>
      </c>
      <c r="E10" s="30" t="str">
        <f>'Risk Master'!C10&amp;"-"&amp;'Risk Master'!D10</f>
        <v>Fire-Mumbai</v>
      </c>
      <c r="F10" s="29" t="s">
        <v>27</v>
      </c>
      <c r="G10" s="43">
        <f>VLOOKUP($F10,'Asset Master'!$A:$J,6,FALSE)*-1</f>
        <v>-200000</v>
      </c>
      <c r="H10" s="43">
        <f>VLOOKUP($F10,'Asset Master'!$A:$J,7,FALSE)*-1</f>
        <v>-160000</v>
      </c>
      <c r="I10" s="43">
        <f>VLOOKUP($F10,'Asset Master'!$A:$J,8,FALSE)*-1</f>
        <v>-120000</v>
      </c>
      <c r="J10" s="43">
        <f>VLOOKUP($F10,'Asset Master'!$A:$J,9,FALSE)*-1</f>
        <v>-80000</v>
      </c>
      <c r="K10" s="43">
        <f>VLOOKUP($F10,'Asset Master'!$A:$J,10,FALSE)*-1</f>
        <v>-40000</v>
      </c>
      <c r="L10" s="55">
        <f>VLOOKUP(E10,'Probabilty Distribution'!A:B,2,FALSE)</f>
        <v>0.2</v>
      </c>
      <c r="M10" s="29" t="s">
        <v>309</v>
      </c>
      <c r="N10" s="44">
        <f>VLOOKUP($F10,'Asset Master'!$A:$J,6,FALSE)*0.1</f>
        <v>20000</v>
      </c>
    </row>
    <row r="11" spans="1:14" x14ac:dyDescent="0.25">
      <c r="A11" s="29" t="s">
        <v>50</v>
      </c>
      <c r="B11" s="41" t="s">
        <v>483</v>
      </c>
      <c r="C11" s="42" t="str">
        <f t="shared" si="0"/>
        <v>Typhoon</v>
      </c>
      <c r="D11" s="29" t="s">
        <v>1</v>
      </c>
      <c r="E11" s="30" t="str">
        <f>'Risk Master'!C11&amp;"-"&amp;'Risk Master'!D11</f>
        <v>Typhoon-Mumbai</v>
      </c>
      <c r="F11" s="29" t="s">
        <v>27</v>
      </c>
      <c r="G11" s="43">
        <f>VLOOKUP($F11,'Asset Master'!$A:$J,6,FALSE)*-1</f>
        <v>-200000</v>
      </c>
      <c r="H11" s="43">
        <f>VLOOKUP($F11,'Asset Master'!$A:$J,7,FALSE)*-1</f>
        <v>-160000</v>
      </c>
      <c r="I11" s="43">
        <f>VLOOKUP($F11,'Asset Master'!$A:$J,8,FALSE)*-1</f>
        <v>-120000</v>
      </c>
      <c r="J11" s="43">
        <f>VLOOKUP($F11,'Asset Master'!$A:$J,9,FALSE)*-1</f>
        <v>-80000</v>
      </c>
      <c r="K11" s="43">
        <f>VLOOKUP($F11,'Asset Master'!$A:$J,10,FALSE)*-1</f>
        <v>-40000</v>
      </c>
      <c r="L11" s="55">
        <f>VLOOKUP(E11,'Probabilty Distribution'!A:B,2,FALSE)</f>
        <v>0.3</v>
      </c>
      <c r="M11" s="29" t="s">
        <v>310</v>
      </c>
      <c r="N11" s="44">
        <f>VLOOKUP($F11,'Asset Master'!$A:$J,6,FALSE)*0.1</f>
        <v>20000</v>
      </c>
    </row>
    <row r="12" spans="1:14" x14ac:dyDescent="0.25">
      <c r="A12" s="29" t="s">
        <v>51</v>
      </c>
      <c r="B12" s="41" t="s">
        <v>484</v>
      </c>
      <c r="C12" s="42" t="str">
        <f t="shared" si="0"/>
        <v>Thunderstorms, Tornados &amp; Hail</v>
      </c>
      <c r="D12" s="29" t="s">
        <v>1</v>
      </c>
      <c r="E12" s="30" t="str">
        <f>'Risk Master'!C12&amp;"-"&amp;'Risk Master'!D12</f>
        <v>Thunderstorms, Tornados &amp; Hail-Mumbai</v>
      </c>
      <c r="F12" s="29" t="s">
        <v>29</v>
      </c>
      <c r="G12" s="43">
        <f>VLOOKUP($F12,'Asset Master'!$A:$J,6,FALSE)*-1</f>
        <v>-700000</v>
      </c>
      <c r="H12" s="43">
        <f>VLOOKUP($F12,'Asset Master'!$A:$J,7,FALSE)*-1</f>
        <v>-630000</v>
      </c>
      <c r="I12" s="43">
        <f>VLOOKUP($F12,'Asset Master'!$A:$J,8,FALSE)*-1</f>
        <v>-560000</v>
      </c>
      <c r="J12" s="43">
        <f>VLOOKUP($F12,'Asset Master'!$A:$J,9,FALSE)*-1</f>
        <v>-490000</v>
      </c>
      <c r="K12" s="43">
        <f>VLOOKUP($F12,'Asset Master'!$A:$J,10,FALSE)*-1</f>
        <v>-420000</v>
      </c>
      <c r="L12" s="55">
        <f>VLOOKUP(E12,'Probabilty Distribution'!A:B,2,FALSE)</f>
        <v>0.15</v>
      </c>
      <c r="M12" s="29" t="s">
        <v>311</v>
      </c>
      <c r="N12" s="44">
        <f>VLOOKUP($F12,'Asset Master'!$A:$J,6,FALSE)*0.1</f>
        <v>70000</v>
      </c>
    </row>
    <row r="13" spans="1:14" x14ac:dyDescent="0.25">
      <c r="A13" s="29" t="s">
        <v>52</v>
      </c>
      <c r="B13" s="41" t="s">
        <v>785</v>
      </c>
      <c r="C13" s="42" t="str">
        <f t="shared" si="0"/>
        <v>Tsunami</v>
      </c>
      <c r="D13" s="29" t="s">
        <v>1</v>
      </c>
      <c r="E13" s="30" t="str">
        <f>'Risk Master'!C13&amp;"-"&amp;'Risk Master'!D13</f>
        <v>Tsunami-Mumbai</v>
      </c>
      <c r="F13" s="29" t="s">
        <v>29</v>
      </c>
      <c r="G13" s="43">
        <f>VLOOKUP($F13,'Asset Master'!$A:$J,6,FALSE)*-1</f>
        <v>-700000</v>
      </c>
      <c r="H13" s="43">
        <f>VLOOKUP($F13,'Asset Master'!$A:$J,7,FALSE)*-1</f>
        <v>-630000</v>
      </c>
      <c r="I13" s="43">
        <f>VLOOKUP($F13,'Asset Master'!$A:$J,8,FALSE)*-1</f>
        <v>-560000</v>
      </c>
      <c r="J13" s="43">
        <f>VLOOKUP($F13,'Asset Master'!$A:$J,9,FALSE)*-1</f>
        <v>-490000</v>
      </c>
      <c r="K13" s="43">
        <f>VLOOKUP($F13,'Asset Master'!$A:$J,10,FALSE)*-1</f>
        <v>-420000</v>
      </c>
      <c r="L13" s="55">
        <f>VLOOKUP(E13,'Probabilty Distribution'!A:B,2,FALSE)</f>
        <v>0.14000000000000001</v>
      </c>
      <c r="M13" s="29" t="s">
        <v>312</v>
      </c>
      <c r="N13" s="44">
        <f>VLOOKUP($F13,'Asset Master'!$A:$J,6,FALSE)*0.1</f>
        <v>70000</v>
      </c>
    </row>
    <row r="14" spans="1:14" x14ac:dyDescent="0.25">
      <c r="A14" s="29" t="s">
        <v>53</v>
      </c>
      <c r="B14" s="41" t="s">
        <v>669</v>
      </c>
      <c r="C14" s="42" t="s">
        <v>780</v>
      </c>
      <c r="D14" s="29" t="s">
        <v>1</v>
      </c>
      <c r="E14" s="30" t="str">
        <f>'Risk Master'!C14&amp;"-"&amp;'Risk Master'!D14</f>
        <v>Flood-Mumbai</v>
      </c>
      <c r="F14" s="29" t="s">
        <v>31</v>
      </c>
      <c r="G14" s="43">
        <f>VLOOKUP($F14,'Asset Master'!$A:$J,6,FALSE)*-1</f>
        <v>-400000</v>
      </c>
      <c r="H14" s="43">
        <f>VLOOKUP($F14,'Asset Master'!$A:$J,7,FALSE)*-1</f>
        <v>-320000</v>
      </c>
      <c r="I14" s="43">
        <f>VLOOKUP($F14,'Asset Master'!$A:$J,8,FALSE)*-1</f>
        <v>-240000</v>
      </c>
      <c r="J14" s="43">
        <f>VLOOKUP($F14,'Asset Master'!$A:$J,9,FALSE)*-1</f>
        <v>-160000</v>
      </c>
      <c r="K14" s="43">
        <f>VLOOKUP($F14,'Asset Master'!$A:$J,10,FALSE)*-1</f>
        <v>-80000</v>
      </c>
      <c r="L14" s="55">
        <f>VLOOKUP(E14,'Probabilty Distribution'!A:B,2,FALSE)</f>
        <v>0.17</v>
      </c>
      <c r="M14" s="29" t="s">
        <v>313</v>
      </c>
      <c r="N14" s="44">
        <f>VLOOKUP($F14,'Asset Master'!$A:$J,6,FALSE)*0.1</f>
        <v>40000</v>
      </c>
    </row>
    <row r="15" spans="1:14" x14ac:dyDescent="0.25">
      <c r="A15" s="29" t="s">
        <v>54</v>
      </c>
      <c r="B15" s="41" t="s">
        <v>481</v>
      </c>
      <c r="C15" s="42" t="str">
        <f t="shared" si="0"/>
        <v>Earthquake</v>
      </c>
      <c r="D15" s="29" t="s">
        <v>1</v>
      </c>
      <c r="E15" s="30" t="str">
        <f>'Risk Master'!C15&amp;"-"&amp;'Risk Master'!D15</f>
        <v>Earthquake-Mumbai</v>
      </c>
      <c r="F15" s="29" t="s">
        <v>31</v>
      </c>
      <c r="G15" s="43">
        <f>VLOOKUP($F15,'Asset Master'!$A:$J,6,FALSE)*-1</f>
        <v>-400000</v>
      </c>
      <c r="H15" s="43">
        <f>VLOOKUP($F15,'Asset Master'!$A:$J,7,FALSE)*-1</f>
        <v>-320000</v>
      </c>
      <c r="I15" s="43">
        <f>VLOOKUP($F15,'Asset Master'!$A:$J,8,FALSE)*-1</f>
        <v>-240000</v>
      </c>
      <c r="J15" s="43">
        <f>VLOOKUP($F15,'Asset Master'!$A:$J,9,FALSE)*-1</f>
        <v>-160000</v>
      </c>
      <c r="K15" s="43">
        <f>VLOOKUP($F15,'Asset Master'!$A:$J,10,FALSE)*-1</f>
        <v>-80000</v>
      </c>
      <c r="L15" s="55">
        <f>VLOOKUP(E15,'Probabilty Distribution'!A:B,2,FALSE)</f>
        <v>0.2</v>
      </c>
      <c r="M15" s="29" t="s">
        <v>314</v>
      </c>
      <c r="N15" s="44">
        <f>VLOOKUP($F15,'Asset Master'!$A:$J,6,FALSE)*0.1</f>
        <v>40000</v>
      </c>
    </row>
    <row r="16" spans="1:14" x14ac:dyDescent="0.25">
      <c r="A16" s="29" t="s">
        <v>55</v>
      </c>
      <c r="B16" s="41" t="s">
        <v>962</v>
      </c>
      <c r="C16" s="42" t="str">
        <f t="shared" si="0"/>
        <v>Terror Attack</v>
      </c>
      <c r="D16" s="29" t="s">
        <v>1</v>
      </c>
      <c r="E16" s="30" t="str">
        <f>'Risk Master'!C16&amp;"-"&amp;'Risk Master'!D16</f>
        <v>Terror Attack-Mumbai</v>
      </c>
      <c r="F16" s="29" t="s">
        <v>29</v>
      </c>
      <c r="G16" s="43">
        <f>VLOOKUP($F16,'Asset Master'!$A:$J,6,FALSE)*-1</f>
        <v>-700000</v>
      </c>
      <c r="H16" s="43">
        <f>VLOOKUP($F16,'Asset Master'!$A:$J,7,FALSE)*-1</f>
        <v>-630000</v>
      </c>
      <c r="I16" s="43">
        <f>VLOOKUP($F16,'Asset Master'!$A:$J,8,FALSE)*-1</f>
        <v>-560000</v>
      </c>
      <c r="J16" s="43">
        <f>VLOOKUP($F16,'Asset Master'!$A:$J,9,FALSE)*-1</f>
        <v>-490000</v>
      </c>
      <c r="K16" s="43">
        <f>VLOOKUP($F16,'Asset Master'!$A:$J,10,FALSE)*-1</f>
        <v>-420000</v>
      </c>
      <c r="L16" s="55">
        <f>VLOOKUP(E16,'Probabilty Distribution'!A:B,2,FALSE)</f>
        <v>0</v>
      </c>
      <c r="M16" s="29" t="s">
        <v>315</v>
      </c>
      <c r="N16" s="44">
        <f>VLOOKUP($F16,'Asset Master'!$A:$J,6,FALSE)*0.1</f>
        <v>70000</v>
      </c>
    </row>
    <row r="17" spans="1:14" x14ac:dyDescent="0.25">
      <c r="A17" s="29" t="s">
        <v>121</v>
      </c>
      <c r="B17" s="41" t="s">
        <v>483</v>
      </c>
      <c r="C17" s="42" t="str">
        <f t="shared" si="0"/>
        <v>Typhoon</v>
      </c>
      <c r="D17" s="29" t="s">
        <v>1</v>
      </c>
      <c r="E17" s="30" t="str">
        <f>'Risk Master'!C17&amp;"-"&amp;'Risk Master'!D17</f>
        <v>Typhoon-Mumbai</v>
      </c>
      <c r="F17" s="29" t="s">
        <v>31</v>
      </c>
      <c r="G17" s="43">
        <f>VLOOKUP($F17,'Asset Master'!$A:$J,6,FALSE)*-1</f>
        <v>-400000</v>
      </c>
      <c r="H17" s="43">
        <f>VLOOKUP($F17,'Asset Master'!$A:$J,7,FALSE)*-1</f>
        <v>-320000</v>
      </c>
      <c r="I17" s="43">
        <f>VLOOKUP($F17,'Asset Master'!$A:$J,8,FALSE)*-1</f>
        <v>-240000</v>
      </c>
      <c r="J17" s="43">
        <f>VLOOKUP($F17,'Asset Master'!$A:$J,9,FALSE)*-1</f>
        <v>-160000</v>
      </c>
      <c r="K17" s="43">
        <f>VLOOKUP($F17,'Asset Master'!$A:$J,10,FALSE)*-1</f>
        <v>-80000</v>
      </c>
      <c r="L17" s="55">
        <f>VLOOKUP(E17,'Probabilty Distribution'!A:B,2,FALSE)</f>
        <v>0.3</v>
      </c>
      <c r="M17" s="29" t="s">
        <v>316</v>
      </c>
      <c r="N17" s="44">
        <f>VLOOKUP($F17,'Asset Master'!$A:$J,6,FALSE)*0.1</f>
        <v>40000</v>
      </c>
    </row>
    <row r="18" spans="1:14" x14ac:dyDescent="0.25">
      <c r="A18" s="29" t="s">
        <v>122</v>
      </c>
      <c r="B18" s="41" t="s">
        <v>484</v>
      </c>
      <c r="C18" s="42" t="str">
        <f t="shared" si="0"/>
        <v>Thunderstorms, Tornados &amp; Hail</v>
      </c>
      <c r="D18" s="29" t="s">
        <v>1</v>
      </c>
      <c r="E18" s="30" t="str">
        <f>'Risk Master'!C18&amp;"-"&amp;'Risk Master'!D18</f>
        <v>Thunderstorms, Tornados &amp; Hail-Mumbai</v>
      </c>
      <c r="F18" s="29" t="s">
        <v>31</v>
      </c>
      <c r="G18" s="43">
        <f>VLOOKUP($F18,'Asset Master'!$A:$J,6,FALSE)*-1</f>
        <v>-400000</v>
      </c>
      <c r="H18" s="43">
        <f>VLOOKUP($F18,'Asset Master'!$A:$J,7,FALSE)*-1</f>
        <v>-320000</v>
      </c>
      <c r="I18" s="43">
        <f>VLOOKUP($F18,'Asset Master'!$A:$J,8,FALSE)*-1</f>
        <v>-240000</v>
      </c>
      <c r="J18" s="43">
        <f>VLOOKUP($F18,'Asset Master'!$A:$J,9,FALSE)*-1</f>
        <v>-160000</v>
      </c>
      <c r="K18" s="43">
        <f>VLOOKUP($F18,'Asset Master'!$A:$J,10,FALSE)*-1</f>
        <v>-80000</v>
      </c>
      <c r="L18" s="55">
        <f>VLOOKUP(E18,'Probabilty Distribution'!A:B,2,FALSE)</f>
        <v>0.15</v>
      </c>
      <c r="M18" s="29" t="s">
        <v>317</v>
      </c>
      <c r="N18" s="44">
        <f>VLOOKUP($F18,'Asset Master'!$A:$J,6,FALSE)*0.1</f>
        <v>40000</v>
      </c>
    </row>
    <row r="19" spans="1:14" x14ac:dyDescent="0.25">
      <c r="A19" s="29" t="s">
        <v>123</v>
      </c>
      <c r="B19" s="41" t="s">
        <v>785</v>
      </c>
      <c r="C19" s="42" t="str">
        <f t="shared" si="0"/>
        <v>Tsunami</v>
      </c>
      <c r="D19" s="29" t="s">
        <v>1</v>
      </c>
      <c r="E19" s="30" t="str">
        <f>'Risk Master'!C19&amp;"-"&amp;'Risk Master'!D19</f>
        <v>Tsunami-Mumbai</v>
      </c>
      <c r="F19" s="29" t="s">
        <v>31</v>
      </c>
      <c r="G19" s="43">
        <f>VLOOKUP($F19,'Asset Master'!$A:$J,6,FALSE)*-1</f>
        <v>-400000</v>
      </c>
      <c r="H19" s="43">
        <f>VLOOKUP($F19,'Asset Master'!$A:$J,7,FALSE)*-1</f>
        <v>-320000</v>
      </c>
      <c r="I19" s="43">
        <f>VLOOKUP($F19,'Asset Master'!$A:$J,8,FALSE)*-1</f>
        <v>-240000</v>
      </c>
      <c r="J19" s="43">
        <f>VLOOKUP($F19,'Asset Master'!$A:$J,9,FALSE)*-1</f>
        <v>-160000</v>
      </c>
      <c r="K19" s="43">
        <f>VLOOKUP($F19,'Asset Master'!$A:$J,10,FALSE)*-1</f>
        <v>-80000</v>
      </c>
      <c r="L19" s="55">
        <f>VLOOKUP(E19,'Probabilty Distribution'!A:B,2,FALSE)</f>
        <v>0.14000000000000001</v>
      </c>
      <c r="M19" s="29" t="s">
        <v>318</v>
      </c>
      <c r="N19" s="44">
        <f>VLOOKUP($F19,'Asset Master'!$A:$J,6,FALSE)*0.1</f>
        <v>40000</v>
      </c>
    </row>
    <row r="20" spans="1:14" x14ac:dyDescent="0.25">
      <c r="A20" s="29" t="s">
        <v>124</v>
      </c>
      <c r="B20" s="41" t="s">
        <v>669</v>
      </c>
      <c r="C20" s="42" t="s">
        <v>780</v>
      </c>
      <c r="D20" s="29" t="s">
        <v>1</v>
      </c>
      <c r="E20" s="30" t="str">
        <f>'Risk Master'!C20&amp;"-"&amp;'Risk Master'!D20</f>
        <v>Flood-Mumbai</v>
      </c>
      <c r="F20" s="29" t="s">
        <v>32</v>
      </c>
      <c r="G20" s="43">
        <f>VLOOKUP($F20,'Asset Master'!$A:$J,6,FALSE)*-1</f>
        <v>-800000</v>
      </c>
      <c r="H20" s="43">
        <f>VLOOKUP($F20,'Asset Master'!$A:$J,7,FALSE)*-1</f>
        <v>-720000</v>
      </c>
      <c r="I20" s="43">
        <f>VLOOKUP($F20,'Asset Master'!$A:$J,8,FALSE)*-1</f>
        <v>-640000</v>
      </c>
      <c r="J20" s="43">
        <f>VLOOKUP($F20,'Asset Master'!$A:$J,9,FALSE)*-1</f>
        <v>-560000</v>
      </c>
      <c r="K20" s="43">
        <f>VLOOKUP($F20,'Asset Master'!$A:$J,10,FALSE)*-1</f>
        <v>-480000</v>
      </c>
      <c r="L20" s="55">
        <f>VLOOKUP(E20,'Probabilty Distribution'!A:B,2,FALSE)</f>
        <v>0.17</v>
      </c>
      <c r="M20" s="29" t="s">
        <v>319</v>
      </c>
      <c r="N20" s="44">
        <f>VLOOKUP($F20,'Asset Master'!$A:$J,6,FALSE)*0.1</f>
        <v>80000</v>
      </c>
    </row>
    <row r="21" spans="1:14" x14ac:dyDescent="0.25">
      <c r="A21" s="29" t="s">
        <v>125</v>
      </c>
      <c r="B21" s="41" t="s">
        <v>481</v>
      </c>
      <c r="C21" s="42" t="str">
        <f t="shared" si="0"/>
        <v>Earthquake</v>
      </c>
      <c r="D21" s="29" t="s">
        <v>1</v>
      </c>
      <c r="E21" s="30" t="str">
        <f>'Risk Master'!C21&amp;"-"&amp;'Risk Master'!D21</f>
        <v>Earthquake-Mumbai</v>
      </c>
      <c r="F21" s="29" t="s">
        <v>33</v>
      </c>
      <c r="G21" s="43">
        <f>VLOOKUP($F21,'Asset Master'!$A:$J,6,FALSE)*-1</f>
        <v>-300000</v>
      </c>
      <c r="H21" s="43">
        <f>VLOOKUP($F21,'Asset Master'!$A:$J,7,FALSE)*-1</f>
        <v>-240000</v>
      </c>
      <c r="I21" s="43">
        <f>VLOOKUP($F21,'Asset Master'!$A:$J,8,FALSE)*-1</f>
        <v>-180000</v>
      </c>
      <c r="J21" s="43">
        <f>VLOOKUP($F21,'Asset Master'!$A:$J,9,FALSE)*-1</f>
        <v>-120000</v>
      </c>
      <c r="K21" s="43">
        <f>VLOOKUP($F21,'Asset Master'!$A:$J,10,FALSE)*-1</f>
        <v>-60000</v>
      </c>
      <c r="L21" s="55">
        <f>VLOOKUP(E21,'Probabilty Distribution'!A:B,2,FALSE)</f>
        <v>0.2</v>
      </c>
      <c r="M21" s="29" t="s">
        <v>320</v>
      </c>
      <c r="N21" s="44">
        <f>VLOOKUP($F21,'Asset Master'!$A:$J,6,FALSE)*0.1</f>
        <v>30000</v>
      </c>
    </row>
    <row r="22" spans="1:14" x14ac:dyDescent="0.25">
      <c r="A22" s="29" t="s">
        <v>126</v>
      </c>
      <c r="B22" s="41" t="s">
        <v>482</v>
      </c>
      <c r="C22" s="42" t="str">
        <f t="shared" si="0"/>
        <v>Fire</v>
      </c>
      <c r="D22" s="29" t="s">
        <v>1</v>
      </c>
      <c r="E22" s="30" t="str">
        <f>'Risk Master'!C22&amp;"-"&amp;'Risk Master'!D22</f>
        <v>Fire-Mumbai</v>
      </c>
      <c r="F22" s="29" t="s">
        <v>32</v>
      </c>
      <c r="G22" s="43">
        <f>VLOOKUP($F22,'Asset Master'!$A:$J,6,FALSE)*-1</f>
        <v>-800000</v>
      </c>
      <c r="H22" s="43">
        <f>VLOOKUP($F22,'Asset Master'!$A:$J,7,FALSE)*-1</f>
        <v>-720000</v>
      </c>
      <c r="I22" s="43">
        <f>VLOOKUP($F22,'Asset Master'!$A:$J,8,FALSE)*-1</f>
        <v>-640000</v>
      </c>
      <c r="J22" s="43">
        <f>VLOOKUP($F22,'Asset Master'!$A:$J,9,FALSE)*-1</f>
        <v>-560000</v>
      </c>
      <c r="K22" s="43">
        <f>VLOOKUP($F22,'Asset Master'!$A:$J,10,FALSE)*-1</f>
        <v>-480000</v>
      </c>
      <c r="L22" s="55">
        <f>VLOOKUP(E22,'Probabilty Distribution'!A:B,2,FALSE)</f>
        <v>0.2</v>
      </c>
      <c r="M22" s="29" t="s">
        <v>321</v>
      </c>
      <c r="N22" s="44">
        <f>VLOOKUP($F22,'Asset Master'!$A:$J,6,FALSE)*0.1</f>
        <v>80000</v>
      </c>
    </row>
    <row r="23" spans="1:14" x14ac:dyDescent="0.25">
      <c r="A23" s="29" t="s">
        <v>127</v>
      </c>
      <c r="B23" s="41" t="s">
        <v>483</v>
      </c>
      <c r="C23" s="42" t="str">
        <f t="shared" si="0"/>
        <v>Typhoon</v>
      </c>
      <c r="D23" s="29" t="s">
        <v>1</v>
      </c>
      <c r="E23" s="30" t="str">
        <f>'Risk Master'!C23&amp;"-"&amp;'Risk Master'!D23</f>
        <v>Typhoon-Mumbai</v>
      </c>
      <c r="F23" s="29" t="s">
        <v>33</v>
      </c>
      <c r="G23" s="43">
        <f>VLOOKUP($F23,'Asset Master'!$A:$J,6,FALSE)*-1</f>
        <v>-300000</v>
      </c>
      <c r="H23" s="43">
        <f>VLOOKUP($F23,'Asset Master'!$A:$J,7,FALSE)*-1</f>
        <v>-240000</v>
      </c>
      <c r="I23" s="43">
        <f>VLOOKUP($F23,'Asset Master'!$A:$J,8,FALSE)*-1</f>
        <v>-180000</v>
      </c>
      <c r="J23" s="43">
        <f>VLOOKUP($F23,'Asset Master'!$A:$J,9,FALSE)*-1</f>
        <v>-120000</v>
      </c>
      <c r="K23" s="43">
        <f>VLOOKUP($F23,'Asset Master'!$A:$J,10,FALSE)*-1</f>
        <v>-60000</v>
      </c>
      <c r="L23" s="55">
        <f>VLOOKUP(E23,'Probabilty Distribution'!A:B,2,FALSE)</f>
        <v>0.3</v>
      </c>
      <c r="M23" s="29" t="s">
        <v>322</v>
      </c>
      <c r="N23" s="44">
        <f>VLOOKUP($F23,'Asset Master'!$A:$J,6,FALSE)*0.1</f>
        <v>30000</v>
      </c>
    </row>
    <row r="24" spans="1:14" x14ac:dyDescent="0.25">
      <c r="A24" s="29" t="s">
        <v>128</v>
      </c>
      <c r="B24" s="41" t="s">
        <v>484</v>
      </c>
      <c r="C24" s="42" t="str">
        <f t="shared" si="0"/>
        <v>Thunderstorms, Tornados &amp; Hail</v>
      </c>
      <c r="D24" s="29" t="s">
        <v>1</v>
      </c>
      <c r="E24" s="30" t="str">
        <f>'Risk Master'!C24&amp;"-"&amp;'Risk Master'!D24</f>
        <v>Thunderstorms, Tornados &amp; Hail-Mumbai</v>
      </c>
      <c r="F24" s="29" t="s">
        <v>33</v>
      </c>
      <c r="G24" s="43">
        <f>VLOOKUP($F24,'Asset Master'!$A:$J,6,FALSE)*-1</f>
        <v>-300000</v>
      </c>
      <c r="H24" s="43">
        <f>VLOOKUP($F24,'Asset Master'!$A:$J,7,FALSE)*-1</f>
        <v>-240000</v>
      </c>
      <c r="I24" s="43">
        <f>VLOOKUP($F24,'Asset Master'!$A:$J,8,FALSE)*-1</f>
        <v>-180000</v>
      </c>
      <c r="J24" s="43">
        <f>VLOOKUP($F24,'Asset Master'!$A:$J,9,FALSE)*-1</f>
        <v>-120000</v>
      </c>
      <c r="K24" s="43">
        <f>VLOOKUP($F24,'Asset Master'!$A:$J,10,FALSE)*-1</f>
        <v>-60000</v>
      </c>
      <c r="L24" s="55">
        <f>VLOOKUP(E24,'Probabilty Distribution'!A:B,2,FALSE)</f>
        <v>0.15</v>
      </c>
      <c r="M24" s="29" t="s">
        <v>323</v>
      </c>
      <c r="N24" s="44">
        <f>VLOOKUP($F24,'Asset Master'!$A:$J,6,FALSE)*0.1</f>
        <v>30000</v>
      </c>
    </row>
    <row r="25" spans="1:14" x14ac:dyDescent="0.25">
      <c r="A25" s="29" t="s">
        <v>129</v>
      </c>
      <c r="B25" s="41" t="s">
        <v>785</v>
      </c>
      <c r="C25" s="42" t="str">
        <f t="shared" si="0"/>
        <v>Tsunami</v>
      </c>
      <c r="D25" s="29" t="s">
        <v>1</v>
      </c>
      <c r="E25" s="30" t="str">
        <f>'Risk Master'!C25&amp;"-"&amp;'Risk Master'!D25</f>
        <v>Tsunami-Mumbai</v>
      </c>
      <c r="F25" s="29" t="s">
        <v>33</v>
      </c>
      <c r="G25" s="43">
        <f>VLOOKUP($F25,'Asset Master'!$A:$J,6,FALSE)*-1</f>
        <v>-300000</v>
      </c>
      <c r="H25" s="43">
        <f>VLOOKUP($F25,'Asset Master'!$A:$J,7,FALSE)*-1</f>
        <v>-240000</v>
      </c>
      <c r="I25" s="43">
        <f>VLOOKUP($F25,'Asset Master'!$A:$J,8,FALSE)*-1</f>
        <v>-180000</v>
      </c>
      <c r="J25" s="43">
        <f>VLOOKUP($F25,'Asset Master'!$A:$J,9,FALSE)*-1</f>
        <v>-120000</v>
      </c>
      <c r="K25" s="43">
        <f>VLOOKUP($F25,'Asset Master'!$A:$J,10,FALSE)*-1</f>
        <v>-60000</v>
      </c>
      <c r="L25" s="55">
        <f>VLOOKUP(E25,'Probabilty Distribution'!A:B,2,FALSE)</f>
        <v>0.14000000000000001</v>
      </c>
      <c r="M25" s="29" t="s">
        <v>324</v>
      </c>
      <c r="N25" s="44">
        <f>VLOOKUP($F25,'Asset Master'!$A:$J,6,FALSE)*0.1</f>
        <v>30000</v>
      </c>
    </row>
    <row r="26" spans="1:14" x14ac:dyDescent="0.25">
      <c r="A26" s="29" t="s">
        <v>130</v>
      </c>
      <c r="B26" s="41" t="s">
        <v>669</v>
      </c>
      <c r="C26" s="42" t="s">
        <v>780</v>
      </c>
      <c r="D26" s="29" t="s">
        <v>1</v>
      </c>
      <c r="E26" s="30" t="str">
        <f>'Risk Master'!C26&amp;"-"&amp;'Risk Master'!D26</f>
        <v>Flood-Mumbai</v>
      </c>
      <c r="F26" s="29" t="s">
        <v>34</v>
      </c>
      <c r="G26" s="43">
        <f>VLOOKUP($F26,'Asset Master'!$A:$J,6,FALSE)*-1</f>
        <v>-300000</v>
      </c>
      <c r="H26" s="43">
        <f>VLOOKUP($F26,'Asset Master'!$A:$J,7,FALSE)*-1</f>
        <v>-270000</v>
      </c>
      <c r="I26" s="43">
        <f>VLOOKUP($F26,'Asset Master'!$A:$J,8,FALSE)*-1</f>
        <v>-240000</v>
      </c>
      <c r="J26" s="43">
        <f>VLOOKUP($F26,'Asset Master'!$A:$J,9,FALSE)*-1</f>
        <v>-210000</v>
      </c>
      <c r="K26" s="43">
        <f>VLOOKUP($F26,'Asset Master'!$A:$J,10,FALSE)*-1</f>
        <v>-180000</v>
      </c>
      <c r="L26" s="55">
        <f>VLOOKUP(E26,'Probabilty Distribution'!A:B,2,FALSE)</f>
        <v>0.17</v>
      </c>
      <c r="M26" s="29" t="s">
        <v>325</v>
      </c>
      <c r="N26" s="44">
        <f>VLOOKUP($F26,'Asset Master'!$A:$J,6,FALSE)*0.1</f>
        <v>30000</v>
      </c>
    </row>
    <row r="27" spans="1:14" x14ac:dyDescent="0.25">
      <c r="A27" s="29" t="s">
        <v>131</v>
      </c>
      <c r="B27" s="41" t="s">
        <v>481</v>
      </c>
      <c r="C27" s="42" t="str">
        <f t="shared" si="0"/>
        <v>Earthquake</v>
      </c>
      <c r="D27" s="29" t="s">
        <v>1</v>
      </c>
      <c r="E27" s="30" t="str">
        <f>'Risk Master'!C27&amp;"-"&amp;'Risk Master'!D27</f>
        <v>Earthquake-Mumbai</v>
      </c>
      <c r="F27" s="29" t="s">
        <v>34</v>
      </c>
      <c r="G27" s="43">
        <f>VLOOKUP($F27,'Asset Master'!$A:$J,6,FALSE)*-1</f>
        <v>-300000</v>
      </c>
      <c r="H27" s="43">
        <f>VLOOKUP($F27,'Asset Master'!$A:$J,7,FALSE)*-1</f>
        <v>-270000</v>
      </c>
      <c r="I27" s="43">
        <f>VLOOKUP($F27,'Asset Master'!$A:$J,8,FALSE)*-1</f>
        <v>-240000</v>
      </c>
      <c r="J27" s="43">
        <f>VLOOKUP($F27,'Asset Master'!$A:$J,9,FALSE)*-1</f>
        <v>-210000</v>
      </c>
      <c r="K27" s="43">
        <f>VLOOKUP($F27,'Asset Master'!$A:$J,10,FALSE)*-1</f>
        <v>-180000</v>
      </c>
      <c r="L27" s="55">
        <f>VLOOKUP(E27,'Probabilty Distribution'!A:B,2,FALSE)</f>
        <v>0.2</v>
      </c>
      <c r="M27" s="29" t="s">
        <v>326</v>
      </c>
      <c r="N27" s="44">
        <f>VLOOKUP($F27,'Asset Master'!$A:$J,6,FALSE)*0.1</f>
        <v>30000</v>
      </c>
    </row>
    <row r="28" spans="1:14" x14ac:dyDescent="0.25">
      <c r="A28" s="29" t="s">
        <v>132</v>
      </c>
      <c r="B28" s="41" t="s">
        <v>482</v>
      </c>
      <c r="C28" s="42" t="str">
        <f t="shared" si="0"/>
        <v>Fire</v>
      </c>
      <c r="D28" s="29" t="s">
        <v>1</v>
      </c>
      <c r="E28" s="30" t="str">
        <f>'Risk Master'!C28&amp;"-"&amp;'Risk Master'!D28</f>
        <v>Fire-Mumbai</v>
      </c>
      <c r="F28" s="29" t="s">
        <v>34</v>
      </c>
      <c r="G28" s="43">
        <f>VLOOKUP($F28,'Asset Master'!$A:$J,6,FALSE)*-1</f>
        <v>-300000</v>
      </c>
      <c r="H28" s="43">
        <f>VLOOKUP($F28,'Asset Master'!$A:$J,7,FALSE)*-1</f>
        <v>-270000</v>
      </c>
      <c r="I28" s="43">
        <f>VLOOKUP($F28,'Asset Master'!$A:$J,8,FALSE)*-1</f>
        <v>-240000</v>
      </c>
      <c r="J28" s="43">
        <f>VLOOKUP($F28,'Asset Master'!$A:$J,9,FALSE)*-1</f>
        <v>-210000</v>
      </c>
      <c r="K28" s="43">
        <f>VLOOKUP($F28,'Asset Master'!$A:$J,10,FALSE)*-1</f>
        <v>-180000</v>
      </c>
      <c r="L28" s="55">
        <f>VLOOKUP(E28,'Probabilty Distribution'!A:B,2,FALSE)</f>
        <v>0.2</v>
      </c>
      <c r="M28" s="29" t="s">
        <v>327</v>
      </c>
      <c r="N28" s="44">
        <f>VLOOKUP($F28,'Asset Master'!$A:$J,6,FALSE)*0.1</f>
        <v>30000</v>
      </c>
    </row>
    <row r="29" spans="1:14" x14ac:dyDescent="0.25">
      <c r="A29" s="29" t="s">
        <v>133</v>
      </c>
      <c r="B29" s="41" t="s">
        <v>483</v>
      </c>
      <c r="C29" s="42" t="str">
        <f t="shared" si="0"/>
        <v>Typhoon</v>
      </c>
      <c r="D29" s="29" t="s">
        <v>1</v>
      </c>
      <c r="E29" s="30" t="str">
        <f>'Risk Master'!C29&amp;"-"&amp;'Risk Master'!D29</f>
        <v>Typhoon-Mumbai</v>
      </c>
      <c r="F29" s="29" t="s">
        <v>34</v>
      </c>
      <c r="G29" s="43">
        <f>VLOOKUP($F29,'Asset Master'!$A:$J,6,FALSE)*-1</f>
        <v>-300000</v>
      </c>
      <c r="H29" s="43">
        <f>VLOOKUP($F29,'Asset Master'!$A:$J,7,FALSE)*-1</f>
        <v>-270000</v>
      </c>
      <c r="I29" s="43">
        <f>VLOOKUP($F29,'Asset Master'!$A:$J,8,FALSE)*-1</f>
        <v>-240000</v>
      </c>
      <c r="J29" s="43">
        <f>VLOOKUP($F29,'Asset Master'!$A:$J,9,FALSE)*-1</f>
        <v>-210000</v>
      </c>
      <c r="K29" s="43">
        <f>VLOOKUP($F29,'Asset Master'!$A:$J,10,FALSE)*-1</f>
        <v>-180000</v>
      </c>
      <c r="L29" s="55">
        <f>VLOOKUP(E29,'Probabilty Distribution'!A:B,2,FALSE)</f>
        <v>0.3</v>
      </c>
      <c r="M29" s="29" t="s">
        <v>328</v>
      </c>
      <c r="N29" s="44">
        <f>VLOOKUP($F29,'Asset Master'!$A:$J,6,FALSE)*0.1</f>
        <v>30000</v>
      </c>
    </row>
    <row r="30" spans="1:14" x14ac:dyDescent="0.25">
      <c r="A30" s="29" t="s">
        <v>134</v>
      </c>
      <c r="B30" s="41" t="s">
        <v>484</v>
      </c>
      <c r="C30" s="42" t="str">
        <f t="shared" si="0"/>
        <v>Thunderstorms, Tornados &amp; Hail</v>
      </c>
      <c r="D30" s="29" t="s">
        <v>1</v>
      </c>
      <c r="E30" s="30" t="str">
        <f>'Risk Master'!C30&amp;"-"&amp;'Risk Master'!D30</f>
        <v>Thunderstorms, Tornados &amp; Hail-Mumbai</v>
      </c>
      <c r="F30" s="29" t="s">
        <v>34</v>
      </c>
      <c r="G30" s="43">
        <f>VLOOKUP($F30,'Asset Master'!$A:$J,6,FALSE)*-1</f>
        <v>-300000</v>
      </c>
      <c r="H30" s="43">
        <f>VLOOKUP($F30,'Asset Master'!$A:$J,7,FALSE)*-1</f>
        <v>-270000</v>
      </c>
      <c r="I30" s="43">
        <f>VLOOKUP($F30,'Asset Master'!$A:$J,8,FALSE)*-1</f>
        <v>-240000</v>
      </c>
      <c r="J30" s="43">
        <f>VLOOKUP($F30,'Asset Master'!$A:$J,9,FALSE)*-1</f>
        <v>-210000</v>
      </c>
      <c r="K30" s="43">
        <f>VLOOKUP($F30,'Asset Master'!$A:$J,10,FALSE)*-1</f>
        <v>-180000</v>
      </c>
      <c r="L30" s="55">
        <f>VLOOKUP(E30,'Probabilty Distribution'!A:B,2,FALSE)</f>
        <v>0.15</v>
      </c>
      <c r="M30" s="29" t="s">
        <v>329</v>
      </c>
      <c r="N30" s="44">
        <f>VLOOKUP($F30,'Asset Master'!$A:$J,6,FALSE)*0.1</f>
        <v>30000</v>
      </c>
    </row>
    <row r="31" spans="1:14" x14ac:dyDescent="0.25">
      <c r="A31" s="29" t="s">
        <v>135</v>
      </c>
      <c r="B31" s="41" t="s">
        <v>785</v>
      </c>
      <c r="C31" s="42" t="str">
        <f t="shared" si="0"/>
        <v>Tsunami</v>
      </c>
      <c r="D31" s="29" t="s">
        <v>1</v>
      </c>
      <c r="E31" s="30" t="str">
        <f>'Risk Master'!C31&amp;"-"&amp;'Risk Master'!D31</f>
        <v>Tsunami-Mumbai</v>
      </c>
      <c r="F31" s="29" t="s">
        <v>34</v>
      </c>
      <c r="G31" s="43">
        <f>VLOOKUP($F31,'Asset Master'!$A:$J,6,FALSE)*-1</f>
        <v>-300000</v>
      </c>
      <c r="H31" s="43">
        <f>VLOOKUP($F31,'Asset Master'!$A:$J,7,FALSE)*-1</f>
        <v>-270000</v>
      </c>
      <c r="I31" s="43">
        <f>VLOOKUP($F31,'Asset Master'!$A:$J,8,FALSE)*-1</f>
        <v>-240000</v>
      </c>
      <c r="J31" s="43">
        <f>VLOOKUP($F31,'Asset Master'!$A:$J,9,FALSE)*-1</f>
        <v>-210000</v>
      </c>
      <c r="K31" s="43">
        <f>VLOOKUP($F31,'Asset Master'!$A:$J,10,FALSE)*-1</f>
        <v>-180000</v>
      </c>
      <c r="L31" s="55">
        <f>VLOOKUP(E31,'Probabilty Distribution'!A:B,2,FALSE)</f>
        <v>0.14000000000000001</v>
      </c>
      <c r="M31" s="29" t="s">
        <v>330</v>
      </c>
      <c r="N31" s="44">
        <f>VLOOKUP($F31,'Asset Master'!$A:$J,6,FALSE)*0.1</f>
        <v>30000</v>
      </c>
    </row>
    <row r="32" spans="1:14" x14ac:dyDescent="0.25">
      <c r="A32" s="29" t="s">
        <v>136</v>
      </c>
      <c r="B32" s="41" t="s">
        <v>669</v>
      </c>
      <c r="C32" s="42" t="s">
        <v>780</v>
      </c>
      <c r="D32" s="29" t="s">
        <v>1</v>
      </c>
      <c r="E32" s="30" t="str">
        <f>'Risk Master'!C32&amp;"-"&amp;'Risk Master'!D32</f>
        <v>Flood-Mumbai</v>
      </c>
      <c r="F32" s="29" t="s">
        <v>35</v>
      </c>
      <c r="G32" s="43">
        <f>VLOOKUP($F32,'Asset Master'!$A:$J,6,FALSE)*-1</f>
        <v>-400000</v>
      </c>
      <c r="H32" s="43">
        <f>VLOOKUP($F32,'Asset Master'!$A:$J,7,FALSE)*-1</f>
        <v>-320000</v>
      </c>
      <c r="I32" s="43">
        <f>VLOOKUP($F32,'Asset Master'!$A:$J,8,FALSE)*-1</f>
        <v>-240000</v>
      </c>
      <c r="J32" s="43">
        <f>VLOOKUP($F32,'Asset Master'!$A:$J,9,FALSE)*-1</f>
        <v>-160000</v>
      </c>
      <c r="K32" s="43">
        <f>VLOOKUP($F32,'Asset Master'!$A:$J,10,FALSE)*-1</f>
        <v>-80000</v>
      </c>
      <c r="L32" s="55">
        <f>VLOOKUP(E32,'Probabilty Distribution'!A:B,2,FALSE)</f>
        <v>0.17</v>
      </c>
      <c r="M32" s="29" t="s">
        <v>331</v>
      </c>
      <c r="N32" s="44">
        <f>VLOOKUP($F32,'Asset Master'!$A:$J,6,FALSE)*0.1</f>
        <v>40000</v>
      </c>
    </row>
    <row r="33" spans="1:14" x14ac:dyDescent="0.25">
      <c r="A33" s="29" t="s">
        <v>137</v>
      </c>
      <c r="B33" s="41" t="s">
        <v>481</v>
      </c>
      <c r="C33" s="42" t="str">
        <f t="shared" si="0"/>
        <v>Earthquake</v>
      </c>
      <c r="D33" s="29" t="s">
        <v>1</v>
      </c>
      <c r="E33" s="30" t="str">
        <f>'Risk Master'!C33&amp;"-"&amp;'Risk Master'!D33</f>
        <v>Earthquake-Mumbai</v>
      </c>
      <c r="F33" s="29" t="s">
        <v>35</v>
      </c>
      <c r="G33" s="43">
        <f>VLOOKUP($F33,'Asset Master'!$A:$J,6,FALSE)*-1</f>
        <v>-400000</v>
      </c>
      <c r="H33" s="43">
        <f>VLOOKUP($F33,'Asset Master'!$A:$J,7,FALSE)*-1</f>
        <v>-320000</v>
      </c>
      <c r="I33" s="43">
        <f>VLOOKUP($F33,'Asset Master'!$A:$J,8,FALSE)*-1</f>
        <v>-240000</v>
      </c>
      <c r="J33" s="43">
        <f>VLOOKUP($F33,'Asset Master'!$A:$J,9,FALSE)*-1</f>
        <v>-160000</v>
      </c>
      <c r="K33" s="43">
        <f>VLOOKUP($F33,'Asset Master'!$A:$J,10,FALSE)*-1</f>
        <v>-80000</v>
      </c>
      <c r="L33" s="55">
        <f>VLOOKUP(E33,'Probabilty Distribution'!A:B,2,FALSE)</f>
        <v>0.2</v>
      </c>
      <c r="M33" s="29" t="s">
        <v>332</v>
      </c>
      <c r="N33" s="44">
        <f>VLOOKUP($F33,'Asset Master'!$A:$J,6,FALSE)*0.1</f>
        <v>40000</v>
      </c>
    </row>
    <row r="34" spans="1:14" x14ac:dyDescent="0.25">
      <c r="A34" s="29" t="s">
        <v>138</v>
      </c>
      <c r="B34" s="41" t="s">
        <v>482</v>
      </c>
      <c r="C34" s="42" t="str">
        <f t="shared" si="0"/>
        <v>Fire</v>
      </c>
      <c r="D34" s="29" t="s">
        <v>1</v>
      </c>
      <c r="E34" s="30" t="str">
        <f>'Risk Master'!C34&amp;"-"&amp;'Risk Master'!D34</f>
        <v>Fire-Mumbai</v>
      </c>
      <c r="F34" s="29" t="s">
        <v>35</v>
      </c>
      <c r="G34" s="43">
        <f>VLOOKUP($F34,'Asset Master'!$A:$J,6,FALSE)*-1</f>
        <v>-400000</v>
      </c>
      <c r="H34" s="43">
        <f>VLOOKUP($F34,'Asset Master'!$A:$J,7,FALSE)*-1</f>
        <v>-320000</v>
      </c>
      <c r="I34" s="43">
        <f>VLOOKUP($F34,'Asset Master'!$A:$J,8,FALSE)*-1</f>
        <v>-240000</v>
      </c>
      <c r="J34" s="43">
        <f>VLOOKUP($F34,'Asset Master'!$A:$J,9,FALSE)*-1</f>
        <v>-160000</v>
      </c>
      <c r="K34" s="43">
        <f>VLOOKUP($F34,'Asset Master'!$A:$J,10,FALSE)*-1</f>
        <v>-80000</v>
      </c>
      <c r="L34" s="55">
        <f>VLOOKUP(E34,'Probabilty Distribution'!A:B,2,FALSE)</f>
        <v>0.2</v>
      </c>
      <c r="M34" s="29" t="s">
        <v>333</v>
      </c>
      <c r="N34" s="44">
        <f>VLOOKUP($F34,'Asset Master'!$A:$J,6,FALSE)*0.1</f>
        <v>40000</v>
      </c>
    </row>
    <row r="35" spans="1:14" x14ac:dyDescent="0.25">
      <c r="A35" s="29" t="s">
        <v>139</v>
      </c>
      <c r="B35" s="41" t="s">
        <v>962</v>
      </c>
      <c r="C35" s="42" t="str">
        <f t="shared" si="0"/>
        <v>Terror Attack</v>
      </c>
      <c r="D35" s="29" t="s">
        <v>1</v>
      </c>
      <c r="E35" s="30" t="str">
        <f>'Risk Master'!C35&amp;"-"&amp;'Risk Master'!D35</f>
        <v>Terror Attack-Mumbai</v>
      </c>
      <c r="F35" s="29" t="s">
        <v>35</v>
      </c>
      <c r="G35" s="43">
        <f>VLOOKUP($F35,'Asset Master'!$A:$J,6,FALSE)*-1</f>
        <v>-400000</v>
      </c>
      <c r="H35" s="43">
        <f>VLOOKUP($F35,'Asset Master'!$A:$J,7,FALSE)*-1</f>
        <v>-320000</v>
      </c>
      <c r="I35" s="43">
        <f>VLOOKUP($F35,'Asset Master'!$A:$J,8,FALSE)*-1</f>
        <v>-240000</v>
      </c>
      <c r="J35" s="43">
        <f>VLOOKUP($F35,'Asset Master'!$A:$J,9,FALSE)*-1</f>
        <v>-160000</v>
      </c>
      <c r="K35" s="43">
        <f>VLOOKUP($F35,'Asset Master'!$A:$J,10,FALSE)*-1</f>
        <v>-80000</v>
      </c>
      <c r="L35" s="55">
        <f>VLOOKUP(E35,'Probabilty Distribution'!A:B,2,FALSE)</f>
        <v>0</v>
      </c>
      <c r="M35" s="29" t="s">
        <v>334</v>
      </c>
      <c r="N35" s="44">
        <f>VLOOKUP($F35,'Asset Master'!$A:$J,6,FALSE)*0.1</f>
        <v>40000</v>
      </c>
    </row>
    <row r="36" spans="1:14" x14ac:dyDescent="0.25">
      <c r="A36" s="29" t="s">
        <v>140</v>
      </c>
      <c r="B36" s="41" t="s">
        <v>484</v>
      </c>
      <c r="C36" s="42" t="str">
        <f t="shared" si="0"/>
        <v>Thunderstorms, Tornados &amp; Hail</v>
      </c>
      <c r="D36" s="29" t="s">
        <v>1</v>
      </c>
      <c r="E36" s="30" t="str">
        <f>'Risk Master'!C36&amp;"-"&amp;'Risk Master'!D36</f>
        <v>Thunderstorms, Tornados &amp; Hail-Mumbai</v>
      </c>
      <c r="F36" s="29" t="s">
        <v>35</v>
      </c>
      <c r="G36" s="43">
        <f>VLOOKUP($F36,'Asset Master'!$A:$J,6,FALSE)*-1</f>
        <v>-400000</v>
      </c>
      <c r="H36" s="43">
        <f>VLOOKUP($F36,'Asset Master'!$A:$J,7,FALSE)*-1</f>
        <v>-320000</v>
      </c>
      <c r="I36" s="43">
        <f>VLOOKUP($F36,'Asset Master'!$A:$J,8,FALSE)*-1</f>
        <v>-240000</v>
      </c>
      <c r="J36" s="43">
        <f>VLOOKUP($F36,'Asset Master'!$A:$J,9,FALSE)*-1</f>
        <v>-160000</v>
      </c>
      <c r="K36" s="43">
        <f>VLOOKUP($F36,'Asset Master'!$A:$J,10,FALSE)*-1</f>
        <v>-80000</v>
      </c>
      <c r="L36" s="55">
        <f>VLOOKUP(E36,'Probabilty Distribution'!A:B,2,FALSE)</f>
        <v>0.15</v>
      </c>
      <c r="M36" s="29" t="s">
        <v>335</v>
      </c>
      <c r="N36" s="44">
        <f>VLOOKUP($F36,'Asset Master'!$A:$J,6,FALSE)*0.1</f>
        <v>40000</v>
      </c>
    </row>
    <row r="37" spans="1:14" x14ac:dyDescent="0.25">
      <c r="A37" s="29" t="s">
        <v>141</v>
      </c>
      <c r="B37" s="41" t="s">
        <v>785</v>
      </c>
      <c r="C37" s="42" t="str">
        <f t="shared" si="0"/>
        <v>Tsunami</v>
      </c>
      <c r="D37" s="29" t="s">
        <v>1</v>
      </c>
      <c r="E37" s="30" t="str">
        <f>'Risk Master'!C37&amp;"-"&amp;'Risk Master'!D37</f>
        <v>Tsunami-Mumbai</v>
      </c>
      <c r="F37" s="29" t="s">
        <v>35</v>
      </c>
      <c r="G37" s="43">
        <f>VLOOKUP($F37,'Asset Master'!$A:$J,6,FALSE)*-1</f>
        <v>-400000</v>
      </c>
      <c r="H37" s="43">
        <f>VLOOKUP($F37,'Asset Master'!$A:$J,7,FALSE)*-1</f>
        <v>-320000</v>
      </c>
      <c r="I37" s="43">
        <f>VLOOKUP($F37,'Asset Master'!$A:$J,8,FALSE)*-1</f>
        <v>-240000</v>
      </c>
      <c r="J37" s="43">
        <f>VLOOKUP($F37,'Asset Master'!$A:$J,9,FALSE)*-1</f>
        <v>-160000</v>
      </c>
      <c r="K37" s="43">
        <f>VLOOKUP($F37,'Asset Master'!$A:$J,10,FALSE)*-1</f>
        <v>-80000</v>
      </c>
      <c r="L37" s="55">
        <f>VLOOKUP(E37,'Probabilty Distribution'!A:B,2,FALSE)</f>
        <v>0.14000000000000001</v>
      </c>
      <c r="M37" s="29" t="s">
        <v>336</v>
      </c>
      <c r="N37" s="44">
        <f>VLOOKUP($F37,'Asset Master'!$A:$J,6,FALSE)*0.1</f>
        <v>40000</v>
      </c>
    </row>
    <row r="38" spans="1:14" x14ac:dyDescent="0.25">
      <c r="A38" s="29" t="s">
        <v>142</v>
      </c>
      <c r="B38" s="41" t="s">
        <v>669</v>
      </c>
      <c r="C38" s="42" t="s">
        <v>780</v>
      </c>
      <c r="D38" s="29" t="s">
        <v>1</v>
      </c>
      <c r="E38" s="30" t="str">
        <f>'Risk Master'!C38&amp;"-"&amp;'Risk Master'!D38</f>
        <v>Flood-Mumbai</v>
      </c>
      <c r="F38" s="29" t="s">
        <v>36</v>
      </c>
      <c r="G38" s="43">
        <f>VLOOKUP($F38,'Asset Master'!$A:$J,6,FALSE)*-1</f>
        <v>-1000000</v>
      </c>
      <c r="H38" s="43">
        <f>VLOOKUP($F38,'Asset Master'!$A:$J,7,FALSE)*-1</f>
        <v>-900000</v>
      </c>
      <c r="I38" s="43">
        <f>VLOOKUP($F38,'Asset Master'!$A:$J,8,FALSE)*-1</f>
        <v>-800000</v>
      </c>
      <c r="J38" s="43">
        <f>VLOOKUP($F38,'Asset Master'!$A:$J,9,FALSE)*-1</f>
        <v>-700000</v>
      </c>
      <c r="K38" s="43">
        <f>VLOOKUP($F38,'Asset Master'!$A:$J,10,FALSE)*-1</f>
        <v>-600000</v>
      </c>
      <c r="L38" s="55">
        <f>VLOOKUP(E38,'Probabilty Distribution'!A:B,2,FALSE)</f>
        <v>0.17</v>
      </c>
      <c r="M38" s="29" t="s">
        <v>337</v>
      </c>
      <c r="N38" s="44">
        <f>VLOOKUP($F38,'Asset Master'!$A:$J,6,FALSE)*0.1</f>
        <v>100000</v>
      </c>
    </row>
    <row r="39" spans="1:14" x14ac:dyDescent="0.25">
      <c r="A39" s="29" t="s">
        <v>143</v>
      </c>
      <c r="B39" s="41" t="s">
        <v>481</v>
      </c>
      <c r="C39" s="42" t="str">
        <f t="shared" si="0"/>
        <v>Earthquake</v>
      </c>
      <c r="D39" s="29" t="s">
        <v>1</v>
      </c>
      <c r="E39" s="30" t="str">
        <f>'Risk Master'!C39&amp;"-"&amp;'Risk Master'!D39</f>
        <v>Earthquake-Mumbai</v>
      </c>
      <c r="F39" s="29" t="s">
        <v>36</v>
      </c>
      <c r="G39" s="43">
        <f>VLOOKUP($F39,'Asset Master'!$A:$J,6,FALSE)*-1</f>
        <v>-1000000</v>
      </c>
      <c r="H39" s="43">
        <f>VLOOKUP($F39,'Asset Master'!$A:$J,7,FALSE)*-1</f>
        <v>-900000</v>
      </c>
      <c r="I39" s="43">
        <f>VLOOKUP($F39,'Asset Master'!$A:$J,8,FALSE)*-1</f>
        <v>-800000</v>
      </c>
      <c r="J39" s="43">
        <f>VLOOKUP($F39,'Asset Master'!$A:$J,9,FALSE)*-1</f>
        <v>-700000</v>
      </c>
      <c r="K39" s="43">
        <f>VLOOKUP($F39,'Asset Master'!$A:$J,10,FALSE)*-1</f>
        <v>-600000</v>
      </c>
      <c r="L39" s="55">
        <f>VLOOKUP(E39,'Probabilty Distribution'!A:B,2,FALSE)</f>
        <v>0.2</v>
      </c>
      <c r="M39" s="29" t="s">
        <v>338</v>
      </c>
      <c r="N39" s="44">
        <f>VLOOKUP($F39,'Asset Master'!$A:$J,6,FALSE)*0.1</f>
        <v>100000</v>
      </c>
    </row>
    <row r="40" spans="1:14" x14ac:dyDescent="0.25">
      <c r="A40" s="29" t="s">
        <v>144</v>
      </c>
      <c r="B40" s="41" t="s">
        <v>482</v>
      </c>
      <c r="C40" s="42" t="str">
        <f t="shared" si="0"/>
        <v>Fire</v>
      </c>
      <c r="D40" s="29" t="s">
        <v>1</v>
      </c>
      <c r="E40" s="30" t="str">
        <f>'Risk Master'!C40&amp;"-"&amp;'Risk Master'!D40</f>
        <v>Fire-Mumbai</v>
      </c>
      <c r="F40" s="29" t="s">
        <v>36</v>
      </c>
      <c r="G40" s="43">
        <f>VLOOKUP($F40,'Asset Master'!$A:$J,6,FALSE)*-1</f>
        <v>-1000000</v>
      </c>
      <c r="H40" s="43">
        <f>VLOOKUP($F40,'Asset Master'!$A:$J,7,FALSE)*-1</f>
        <v>-900000</v>
      </c>
      <c r="I40" s="43">
        <f>VLOOKUP($F40,'Asset Master'!$A:$J,8,FALSE)*-1</f>
        <v>-800000</v>
      </c>
      <c r="J40" s="43">
        <f>VLOOKUP($F40,'Asset Master'!$A:$J,9,FALSE)*-1</f>
        <v>-700000</v>
      </c>
      <c r="K40" s="43">
        <f>VLOOKUP($F40,'Asset Master'!$A:$J,10,FALSE)*-1</f>
        <v>-600000</v>
      </c>
      <c r="L40" s="55">
        <f>VLOOKUP(E40,'Probabilty Distribution'!A:B,2,FALSE)</f>
        <v>0.2</v>
      </c>
      <c r="M40" s="29" t="s">
        <v>339</v>
      </c>
      <c r="N40" s="44">
        <f>VLOOKUP($F40,'Asset Master'!$A:$J,6,FALSE)*0.1</f>
        <v>100000</v>
      </c>
    </row>
    <row r="41" spans="1:14" x14ac:dyDescent="0.25">
      <c r="A41" s="29" t="s">
        <v>145</v>
      </c>
      <c r="B41" s="41" t="s">
        <v>483</v>
      </c>
      <c r="C41" s="42" t="str">
        <f t="shared" si="0"/>
        <v>Typhoon</v>
      </c>
      <c r="D41" s="29" t="s">
        <v>1</v>
      </c>
      <c r="E41" s="30" t="str">
        <f>'Risk Master'!C41&amp;"-"&amp;'Risk Master'!D41</f>
        <v>Typhoon-Mumbai</v>
      </c>
      <c r="F41" s="29" t="s">
        <v>36</v>
      </c>
      <c r="G41" s="43">
        <f>VLOOKUP($F41,'Asset Master'!$A:$J,6,FALSE)*-1</f>
        <v>-1000000</v>
      </c>
      <c r="H41" s="43">
        <f>VLOOKUP($F41,'Asset Master'!$A:$J,7,FALSE)*-1</f>
        <v>-900000</v>
      </c>
      <c r="I41" s="43">
        <f>VLOOKUP($F41,'Asset Master'!$A:$J,8,FALSE)*-1</f>
        <v>-800000</v>
      </c>
      <c r="J41" s="43">
        <f>VLOOKUP($F41,'Asset Master'!$A:$J,9,FALSE)*-1</f>
        <v>-700000</v>
      </c>
      <c r="K41" s="43">
        <f>VLOOKUP($F41,'Asset Master'!$A:$J,10,FALSE)*-1</f>
        <v>-600000</v>
      </c>
      <c r="L41" s="55">
        <f>VLOOKUP(E41,'Probabilty Distribution'!A:B,2,FALSE)</f>
        <v>0.3</v>
      </c>
      <c r="M41" s="29" t="s">
        <v>340</v>
      </c>
      <c r="N41" s="44">
        <f>VLOOKUP($F41,'Asset Master'!$A:$J,6,FALSE)*0.1</f>
        <v>100000</v>
      </c>
    </row>
    <row r="42" spans="1:14" x14ac:dyDescent="0.25">
      <c r="A42" s="29" t="s">
        <v>146</v>
      </c>
      <c r="B42" s="41" t="s">
        <v>484</v>
      </c>
      <c r="C42" s="42" t="str">
        <f t="shared" si="0"/>
        <v>Thunderstorms, Tornados &amp; Hail</v>
      </c>
      <c r="D42" s="29" t="s">
        <v>1</v>
      </c>
      <c r="E42" s="30" t="str">
        <f>'Risk Master'!C42&amp;"-"&amp;'Risk Master'!D42</f>
        <v>Thunderstorms, Tornados &amp; Hail-Mumbai</v>
      </c>
      <c r="F42" s="29" t="s">
        <v>36</v>
      </c>
      <c r="G42" s="43">
        <f>VLOOKUP($F42,'Asset Master'!$A:$J,6,FALSE)*-1</f>
        <v>-1000000</v>
      </c>
      <c r="H42" s="43">
        <f>VLOOKUP($F42,'Asset Master'!$A:$J,7,FALSE)*-1</f>
        <v>-900000</v>
      </c>
      <c r="I42" s="43">
        <f>VLOOKUP($F42,'Asset Master'!$A:$J,8,FALSE)*-1</f>
        <v>-800000</v>
      </c>
      <c r="J42" s="43">
        <f>VLOOKUP($F42,'Asset Master'!$A:$J,9,FALSE)*-1</f>
        <v>-700000</v>
      </c>
      <c r="K42" s="43">
        <f>VLOOKUP($F42,'Asset Master'!$A:$J,10,FALSE)*-1</f>
        <v>-600000</v>
      </c>
      <c r="L42" s="55">
        <f>VLOOKUP(E42,'Probabilty Distribution'!A:B,2,FALSE)</f>
        <v>0.15</v>
      </c>
      <c r="M42" s="29" t="s">
        <v>341</v>
      </c>
      <c r="N42" s="44">
        <f>VLOOKUP($F42,'Asset Master'!$A:$J,6,FALSE)*0.1</f>
        <v>100000</v>
      </c>
    </row>
    <row r="43" spans="1:14" x14ac:dyDescent="0.25">
      <c r="A43" s="29" t="s">
        <v>147</v>
      </c>
      <c r="B43" s="41" t="s">
        <v>785</v>
      </c>
      <c r="C43" s="42" t="str">
        <f t="shared" si="0"/>
        <v>Tsunami</v>
      </c>
      <c r="D43" s="29" t="s">
        <v>1</v>
      </c>
      <c r="E43" s="30" t="str">
        <f>'Risk Master'!C43&amp;"-"&amp;'Risk Master'!D43</f>
        <v>Tsunami-Mumbai</v>
      </c>
      <c r="F43" s="29" t="s">
        <v>36</v>
      </c>
      <c r="G43" s="43">
        <f>VLOOKUP($F43,'Asset Master'!$A:$J,6,FALSE)*-1</f>
        <v>-1000000</v>
      </c>
      <c r="H43" s="43">
        <f>VLOOKUP($F43,'Asset Master'!$A:$J,7,FALSE)*-1</f>
        <v>-900000</v>
      </c>
      <c r="I43" s="43">
        <f>VLOOKUP($F43,'Asset Master'!$A:$J,8,FALSE)*-1</f>
        <v>-800000</v>
      </c>
      <c r="J43" s="43">
        <f>VLOOKUP($F43,'Asset Master'!$A:$J,9,FALSE)*-1</f>
        <v>-700000</v>
      </c>
      <c r="K43" s="43">
        <f>VLOOKUP($F43,'Asset Master'!$A:$J,10,FALSE)*-1</f>
        <v>-600000</v>
      </c>
      <c r="L43" s="55">
        <f>VLOOKUP(E43,'Probabilty Distribution'!A:B,2,FALSE)</f>
        <v>0.14000000000000001</v>
      </c>
      <c r="M43" s="29" t="s">
        <v>342</v>
      </c>
      <c r="N43" s="44">
        <f>VLOOKUP($F43,'Asset Master'!$A:$J,6,FALSE)*0.1</f>
        <v>100000</v>
      </c>
    </row>
    <row r="44" spans="1:14" x14ac:dyDescent="0.25">
      <c r="A44" s="29" t="s">
        <v>148</v>
      </c>
      <c r="B44" s="41" t="s">
        <v>669</v>
      </c>
      <c r="C44" s="42" t="s">
        <v>780</v>
      </c>
      <c r="D44" s="29" t="s">
        <v>1</v>
      </c>
      <c r="E44" s="30" t="str">
        <f>'Risk Master'!C44&amp;"-"&amp;'Risk Master'!D44</f>
        <v>Flood-Mumbai</v>
      </c>
      <c r="F44" s="29" t="s">
        <v>37</v>
      </c>
      <c r="G44" s="43">
        <f>VLOOKUP($F44,'Asset Master'!$A:$J,6,FALSE)*-1</f>
        <v>-500000</v>
      </c>
      <c r="H44" s="43">
        <f>VLOOKUP($F44,'Asset Master'!$A:$J,7,FALSE)*-1</f>
        <v>-375000</v>
      </c>
      <c r="I44" s="43">
        <f>VLOOKUP($F44,'Asset Master'!$A:$J,8,FALSE)*-1</f>
        <v>-250000</v>
      </c>
      <c r="J44" s="43">
        <f>VLOOKUP($F44,'Asset Master'!$A:$J,9,FALSE)*-1</f>
        <v>-125000</v>
      </c>
      <c r="K44" s="43">
        <f>VLOOKUP($F44,'Asset Master'!$A:$J,10,FALSE)*-1</f>
        <v>0</v>
      </c>
      <c r="L44" s="55">
        <f>VLOOKUP(E44,'Probabilty Distribution'!A:B,2,FALSE)</f>
        <v>0.17</v>
      </c>
      <c r="M44" s="29" t="s">
        <v>343</v>
      </c>
      <c r="N44" s="44">
        <f>VLOOKUP($F44,'Asset Master'!$A:$J,6,FALSE)*0.1</f>
        <v>50000</v>
      </c>
    </row>
    <row r="45" spans="1:14" x14ac:dyDescent="0.25">
      <c r="A45" s="29" t="s">
        <v>149</v>
      </c>
      <c r="B45" s="41" t="s">
        <v>481</v>
      </c>
      <c r="C45" s="42" t="str">
        <f t="shared" si="0"/>
        <v>Earthquake</v>
      </c>
      <c r="D45" s="29" t="s">
        <v>1</v>
      </c>
      <c r="E45" s="30" t="str">
        <f>'Risk Master'!C45&amp;"-"&amp;'Risk Master'!D45</f>
        <v>Earthquake-Mumbai</v>
      </c>
      <c r="F45" s="29" t="s">
        <v>37</v>
      </c>
      <c r="G45" s="43">
        <f>VLOOKUP($F45,'Asset Master'!$A:$J,6,FALSE)*-1</f>
        <v>-500000</v>
      </c>
      <c r="H45" s="43">
        <f>VLOOKUP($F45,'Asset Master'!$A:$J,7,FALSE)*-1</f>
        <v>-375000</v>
      </c>
      <c r="I45" s="43">
        <f>VLOOKUP($F45,'Asset Master'!$A:$J,8,FALSE)*-1</f>
        <v>-250000</v>
      </c>
      <c r="J45" s="43">
        <f>VLOOKUP($F45,'Asset Master'!$A:$J,9,FALSE)*-1</f>
        <v>-125000</v>
      </c>
      <c r="K45" s="43">
        <f>VLOOKUP($F45,'Asset Master'!$A:$J,10,FALSE)*-1</f>
        <v>0</v>
      </c>
      <c r="L45" s="55">
        <f>VLOOKUP(E45,'Probabilty Distribution'!A:B,2,FALSE)</f>
        <v>0.2</v>
      </c>
      <c r="M45" s="29" t="s">
        <v>344</v>
      </c>
      <c r="N45" s="44">
        <f>VLOOKUP($F45,'Asset Master'!$A:$J,6,FALSE)*0.1</f>
        <v>50000</v>
      </c>
    </row>
    <row r="46" spans="1:14" x14ac:dyDescent="0.25">
      <c r="A46" s="29" t="s">
        <v>150</v>
      </c>
      <c r="B46" s="41" t="s">
        <v>482</v>
      </c>
      <c r="C46" s="42" t="str">
        <f t="shared" si="0"/>
        <v>Fire</v>
      </c>
      <c r="D46" s="29" t="s">
        <v>1</v>
      </c>
      <c r="E46" s="30" t="str">
        <f>'Risk Master'!C46&amp;"-"&amp;'Risk Master'!D46</f>
        <v>Fire-Mumbai</v>
      </c>
      <c r="F46" s="29" t="s">
        <v>37</v>
      </c>
      <c r="G46" s="43">
        <f>VLOOKUP($F46,'Asset Master'!$A:$J,6,FALSE)*-1</f>
        <v>-500000</v>
      </c>
      <c r="H46" s="43">
        <f>VLOOKUP($F46,'Asset Master'!$A:$J,7,FALSE)*-1</f>
        <v>-375000</v>
      </c>
      <c r="I46" s="43">
        <f>VLOOKUP($F46,'Asset Master'!$A:$J,8,FALSE)*-1</f>
        <v>-250000</v>
      </c>
      <c r="J46" s="43">
        <f>VLOOKUP($F46,'Asset Master'!$A:$J,9,FALSE)*-1</f>
        <v>-125000</v>
      </c>
      <c r="K46" s="43">
        <f>VLOOKUP($F46,'Asset Master'!$A:$J,10,FALSE)*-1</f>
        <v>0</v>
      </c>
      <c r="L46" s="55">
        <f>VLOOKUP(E46,'Probabilty Distribution'!A:B,2,FALSE)</f>
        <v>0.2</v>
      </c>
      <c r="M46" s="29" t="s">
        <v>345</v>
      </c>
      <c r="N46" s="44">
        <f>VLOOKUP($F46,'Asset Master'!$A:$J,6,FALSE)*0.1</f>
        <v>50000</v>
      </c>
    </row>
    <row r="47" spans="1:14" x14ac:dyDescent="0.25">
      <c r="A47" s="29" t="s">
        <v>151</v>
      </c>
      <c r="B47" s="41" t="s">
        <v>483</v>
      </c>
      <c r="C47" s="42" t="str">
        <f t="shared" si="0"/>
        <v>Typhoon</v>
      </c>
      <c r="D47" s="29" t="s">
        <v>1</v>
      </c>
      <c r="E47" s="30" t="str">
        <f>'Risk Master'!C47&amp;"-"&amp;'Risk Master'!D47</f>
        <v>Typhoon-Mumbai</v>
      </c>
      <c r="F47" s="29" t="s">
        <v>37</v>
      </c>
      <c r="G47" s="43">
        <f>VLOOKUP($F47,'Asset Master'!$A:$J,6,FALSE)*-1</f>
        <v>-500000</v>
      </c>
      <c r="H47" s="43">
        <f>VLOOKUP($F47,'Asset Master'!$A:$J,7,FALSE)*-1</f>
        <v>-375000</v>
      </c>
      <c r="I47" s="43">
        <f>VLOOKUP($F47,'Asset Master'!$A:$J,8,FALSE)*-1</f>
        <v>-250000</v>
      </c>
      <c r="J47" s="43">
        <f>VLOOKUP($F47,'Asset Master'!$A:$J,9,FALSE)*-1</f>
        <v>-125000</v>
      </c>
      <c r="K47" s="43">
        <f>VLOOKUP($F47,'Asset Master'!$A:$J,10,FALSE)*-1</f>
        <v>0</v>
      </c>
      <c r="L47" s="55">
        <f>VLOOKUP(E47,'Probabilty Distribution'!A:B,2,FALSE)</f>
        <v>0.3</v>
      </c>
      <c r="M47" s="29" t="s">
        <v>346</v>
      </c>
      <c r="N47" s="44">
        <f>VLOOKUP($F47,'Asset Master'!$A:$J,6,FALSE)*0.1</f>
        <v>50000</v>
      </c>
    </row>
    <row r="48" spans="1:14" x14ac:dyDescent="0.25">
      <c r="A48" s="29" t="s">
        <v>152</v>
      </c>
      <c r="B48" s="41" t="s">
        <v>484</v>
      </c>
      <c r="C48" s="42" t="str">
        <f t="shared" si="0"/>
        <v>Thunderstorms, Tornados &amp; Hail</v>
      </c>
      <c r="D48" s="29" t="s">
        <v>1</v>
      </c>
      <c r="E48" s="30" t="str">
        <f>'Risk Master'!C48&amp;"-"&amp;'Risk Master'!D48</f>
        <v>Thunderstorms, Tornados &amp; Hail-Mumbai</v>
      </c>
      <c r="F48" s="29" t="s">
        <v>37</v>
      </c>
      <c r="G48" s="43">
        <f>VLOOKUP($F48,'Asset Master'!$A:$J,6,FALSE)*-1</f>
        <v>-500000</v>
      </c>
      <c r="H48" s="43">
        <f>VLOOKUP($F48,'Asset Master'!$A:$J,7,FALSE)*-1</f>
        <v>-375000</v>
      </c>
      <c r="I48" s="43">
        <f>VLOOKUP($F48,'Asset Master'!$A:$J,8,FALSE)*-1</f>
        <v>-250000</v>
      </c>
      <c r="J48" s="43">
        <f>VLOOKUP($F48,'Asset Master'!$A:$J,9,FALSE)*-1</f>
        <v>-125000</v>
      </c>
      <c r="K48" s="43">
        <f>VLOOKUP($F48,'Asset Master'!$A:$J,10,FALSE)*-1</f>
        <v>0</v>
      </c>
      <c r="L48" s="55">
        <f>VLOOKUP(E48,'Probabilty Distribution'!A:B,2,FALSE)</f>
        <v>0.15</v>
      </c>
      <c r="M48" s="29" t="s">
        <v>347</v>
      </c>
      <c r="N48" s="44">
        <f>VLOOKUP($F48,'Asset Master'!$A:$J,6,FALSE)*0.1</f>
        <v>50000</v>
      </c>
    </row>
    <row r="49" spans="1:14" x14ac:dyDescent="0.25">
      <c r="A49" s="29" t="s">
        <v>153</v>
      </c>
      <c r="B49" s="41" t="s">
        <v>785</v>
      </c>
      <c r="C49" s="42" t="str">
        <f t="shared" si="0"/>
        <v>Tsunami</v>
      </c>
      <c r="D49" s="29" t="s">
        <v>1</v>
      </c>
      <c r="E49" s="30" t="str">
        <f>'Risk Master'!C49&amp;"-"&amp;'Risk Master'!D49</f>
        <v>Tsunami-Mumbai</v>
      </c>
      <c r="F49" s="29" t="s">
        <v>37</v>
      </c>
      <c r="G49" s="43">
        <f>VLOOKUP($F49,'Asset Master'!$A:$J,6,FALSE)*-1</f>
        <v>-500000</v>
      </c>
      <c r="H49" s="43">
        <f>VLOOKUP($F49,'Asset Master'!$A:$J,7,FALSE)*-1</f>
        <v>-375000</v>
      </c>
      <c r="I49" s="43">
        <f>VLOOKUP($F49,'Asset Master'!$A:$J,8,FALSE)*-1</f>
        <v>-250000</v>
      </c>
      <c r="J49" s="43">
        <f>VLOOKUP($F49,'Asset Master'!$A:$J,9,FALSE)*-1</f>
        <v>-125000</v>
      </c>
      <c r="K49" s="43">
        <f>VLOOKUP($F49,'Asset Master'!$A:$J,10,FALSE)*-1</f>
        <v>0</v>
      </c>
      <c r="L49" s="55">
        <f>VLOOKUP(E49,'Probabilty Distribution'!A:B,2,FALSE)</f>
        <v>0.14000000000000001</v>
      </c>
      <c r="M49" s="29" t="s">
        <v>348</v>
      </c>
      <c r="N49" s="44">
        <f>VLOOKUP($F49,'Asset Master'!$A:$J,6,FALSE)*0.1</f>
        <v>50000</v>
      </c>
    </row>
    <row r="50" spans="1:14" x14ac:dyDescent="0.25">
      <c r="A50" s="29" t="s">
        <v>154</v>
      </c>
      <c r="B50" s="41" t="s">
        <v>669</v>
      </c>
      <c r="C50" s="42" t="s">
        <v>780</v>
      </c>
      <c r="D50" s="29" t="s">
        <v>1</v>
      </c>
      <c r="E50" s="30" t="str">
        <f>'Risk Master'!C50&amp;"-"&amp;'Risk Master'!D50</f>
        <v>Flood-Mumbai</v>
      </c>
      <c r="F50" s="29" t="s">
        <v>38</v>
      </c>
      <c r="G50" s="43">
        <f>VLOOKUP($F50,'Asset Master'!$A:$J,6,FALSE)*-1</f>
        <v>-200000</v>
      </c>
      <c r="H50" s="43">
        <f>VLOOKUP($F50,'Asset Master'!$A:$J,7,FALSE)*-1</f>
        <v>-160000</v>
      </c>
      <c r="I50" s="43">
        <f>VLOOKUP($F50,'Asset Master'!$A:$J,8,FALSE)*-1</f>
        <v>-120000</v>
      </c>
      <c r="J50" s="43">
        <f>VLOOKUP($F50,'Asset Master'!$A:$J,9,FALSE)*-1</f>
        <v>-80000</v>
      </c>
      <c r="K50" s="43">
        <f>VLOOKUP($F50,'Asset Master'!$A:$J,10,FALSE)*-1</f>
        <v>-40000</v>
      </c>
      <c r="L50" s="55">
        <f>VLOOKUP(E50,'Probabilty Distribution'!A:B,2,FALSE)</f>
        <v>0.17</v>
      </c>
      <c r="M50" s="29" t="s">
        <v>349</v>
      </c>
      <c r="N50" s="44">
        <f>VLOOKUP($F50,'Asset Master'!$A:$J,6,FALSE)*0.1</f>
        <v>20000</v>
      </c>
    </row>
    <row r="51" spans="1:14" x14ac:dyDescent="0.25">
      <c r="A51" s="29" t="s">
        <v>155</v>
      </c>
      <c r="B51" s="41" t="s">
        <v>481</v>
      </c>
      <c r="C51" s="42" t="str">
        <f t="shared" si="0"/>
        <v>Earthquake</v>
      </c>
      <c r="D51" s="29" t="s">
        <v>1</v>
      </c>
      <c r="E51" s="30" t="str">
        <f>'Risk Master'!C51&amp;"-"&amp;'Risk Master'!D51</f>
        <v>Earthquake-Mumbai</v>
      </c>
      <c r="F51" s="29" t="s">
        <v>38</v>
      </c>
      <c r="G51" s="43">
        <f>VLOOKUP($F51,'Asset Master'!$A:$J,6,FALSE)*-1</f>
        <v>-200000</v>
      </c>
      <c r="H51" s="43">
        <f>VLOOKUP($F51,'Asset Master'!$A:$J,7,FALSE)*-1</f>
        <v>-160000</v>
      </c>
      <c r="I51" s="43">
        <f>VLOOKUP($F51,'Asset Master'!$A:$J,8,FALSE)*-1</f>
        <v>-120000</v>
      </c>
      <c r="J51" s="43">
        <f>VLOOKUP($F51,'Asset Master'!$A:$J,9,FALSE)*-1</f>
        <v>-80000</v>
      </c>
      <c r="K51" s="43">
        <f>VLOOKUP($F51,'Asset Master'!$A:$J,10,FALSE)*-1</f>
        <v>-40000</v>
      </c>
      <c r="L51" s="55">
        <f>VLOOKUP(E51,'Probabilty Distribution'!A:B,2,FALSE)</f>
        <v>0.2</v>
      </c>
      <c r="M51" s="29" t="s">
        <v>350</v>
      </c>
      <c r="N51" s="44">
        <f>VLOOKUP($F51,'Asset Master'!$A:$J,6,FALSE)*0.1</f>
        <v>20000</v>
      </c>
    </row>
    <row r="52" spans="1:14" x14ac:dyDescent="0.25">
      <c r="A52" s="29" t="s">
        <v>156</v>
      </c>
      <c r="B52" s="41" t="s">
        <v>482</v>
      </c>
      <c r="C52" s="42" t="str">
        <f t="shared" si="0"/>
        <v>Fire</v>
      </c>
      <c r="D52" s="29" t="s">
        <v>1</v>
      </c>
      <c r="E52" s="30" t="str">
        <f>'Risk Master'!C52&amp;"-"&amp;'Risk Master'!D52</f>
        <v>Fire-Mumbai</v>
      </c>
      <c r="F52" s="29" t="s">
        <v>38</v>
      </c>
      <c r="G52" s="43">
        <f>VLOOKUP($F52,'Asset Master'!$A:$J,6,FALSE)*-1</f>
        <v>-200000</v>
      </c>
      <c r="H52" s="43">
        <f>VLOOKUP($F52,'Asset Master'!$A:$J,7,FALSE)*-1</f>
        <v>-160000</v>
      </c>
      <c r="I52" s="43">
        <f>VLOOKUP($F52,'Asset Master'!$A:$J,8,FALSE)*-1</f>
        <v>-120000</v>
      </c>
      <c r="J52" s="43">
        <f>VLOOKUP($F52,'Asset Master'!$A:$J,9,FALSE)*-1</f>
        <v>-80000</v>
      </c>
      <c r="K52" s="43">
        <f>VLOOKUP($F52,'Asset Master'!$A:$J,10,FALSE)*-1</f>
        <v>-40000</v>
      </c>
      <c r="L52" s="55">
        <f>VLOOKUP(E52,'Probabilty Distribution'!A:B,2,FALSE)</f>
        <v>0.2</v>
      </c>
      <c r="M52" s="29" t="s">
        <v>351</v>
      </c>
      <c r="N52" s="44">
        <f>VLOOKUP($F52,'Asset Master'!$A:$J,6,FALSE)*0.1</f>
        <v>20000</v>
      </c>
    </row>
    <row r="53" spans="1:14" x14ac:dyDescent="0.25">
      <c r="A53" s="29" t="s">
        <v>157</v>
      </c>
      <c r="B53" s="41" t="s">
        <v>483</v>
      </c>
      <c r="C53" s="42" t="str">
        <f t="shared" si="0"/>
        <v>Typhoon</v>
      </c>
      <c r="D53" s="29" t="s">
        <v>1</v>
      </c>
      <c r="E53" s="30" t="str">
        <f>'Risk Master'!C53&amp;"-"&amp;'Risk Master'!D53</f>
        <v>Typhoon-Mumbai</v>
      </c>
      <c r="F53" s="29" t="s">
        <v>38</v>
      </c>
      <c r="G53" s="43">
        <f>VLOOKUP($F53,'Asset Master'!$A:$J,6,FALSE)*-1</f>
        <v>-200000</v>
      </c>
      <c r="H53" s="43">
        <f>VLOOKUP($F53,'Asset Master'!$A:$J,7,FALSE)*-1</f>
        <v>-160000</v>
      </c>
      <c r="I53" s="43">
        <f>VLOOKUP($F53,'Asset Master'!$A:$J,8,FALSE)*-1</f>
        <v>-120000</v>
      </c>
      <c r="J53" s="43">
        <f>VLOOKUP($F53,'Asset Master'!$A:$J,9,FALSE)*-1</f>
        <v>-80000</v>
      </c>
      <c r="K53" s="43">
        <f>VLOOKUP($F53,'Asset Master'!$A:$J,10,FALSE)*-1</f>
        <v>-40000</v>
      </c>
      <c r="L53" s="55">
        <f>VLOOKUP(E53,'Probabilty Distribution'!A:B,2,FALSE)</f>
        <v>0.3</v>
      </c>
      <c r="M53" s="29" t="s">
        <v>352</v>
      </c>
      <c r="N53" s="44">
        <f>VLOOKUP($F53,'Asset Master'!$A:$J,6,FALSE)*0.1</f>
        <v>20000</v>
      </c>
    </row>
    <row r="54" spans="1:14" x14ac:dyDescent="0.25">
      <c r="A54" s="29" t="s">
        <v>158</v>
      </c>
      <c r="B54" s="41" t="s">
        <v>484</v>
      </c>
      <c r="C54" s="42" t="str">
        <f t="shared" si="0"/>
        <v>Thunderstorms, Tornados &amp; Hail</v>
      </c>
      <c r="D54" s="29" t="s">
        <v>1</v>
      </c>
      <c r="E54" s="30" t="str">
        <f>'Risk Master'!C54&amp;"-"&amp;'Risk Master'!D54</f>
        <v>Thunderstorms, Tornados &amp; Hail-Mumbai</v>
      </c>
      <c r="F54" s="29" t="s">
        <v>38</v>
      </c>
      <c r="G54" s="43">
        <f>VLOOKUP($F54,'Asset Master'!$A:$J,6,FALSE)*-1</f>
        <v>-200000</v>
      </c>
      <c r="H54" s="43">
        <f>VLOOKUP($F54,'Asset Master'!$A:$J,7,FALSE)*-1</f>
        <v>-160000</v>
      </c>
      <c r="I54" s="43">
        <f>VLOOKUP($F54,'Asset Master'!$A:$J,8,FALSE)*-1</f>
        <v>-120000</v>
      </c>
      <c r="J54" s="43">
        <f>VLOOKUP($F54,'Asset Master'!$A:$J,9,FALSE)*-1</f>
        <v>-80000</v>
      </c>
      <c r="K54" s="43">
        <f>VLOOKUP($F54,'Asset Master'!$A:$J,10,FALSE)*-1</f>
        <v>-40000</v>
      </c>
      <c r="L54" s="55">
        <f>VLOOKUP(E54,'Probabilty Distribution'!A:B,2,FALSE)</f>
        <v>0.15</v>
      </c>
      <c r="M54" s="29" t="s">
        <v>353</v>
      </c>
      <c r="N54" s="44">
        <f>VLOOKUP($F54,'Asset Master'!$A:$J,6,FALSE)*0.1</f>
        <v>20000</v>
      </c>
    </row>
    <row r="55" spans="1:14" x14ac:dyDescent="0.25">
      <c r="A55" s="29" t="s">
        <v>159</v>
      </c>
      <c r="B55" s="41" t="s">
        <v>785</v>
      </c>
      <c r="C55" s="42" t="str">
        <f t="shared" si="0"/>
        <v>Tsunami</v>
      </c>
      <c r="D55" s="29" t="s">
        <v>1</v>
      </c>
      <c r="E55" s="30" t="str">
        <f>'Risk Master'!C55&amp;"-"&amp;'Risk Master'!D55</f>
        <v>Tsunami-Mumbai</v>
      </c>
      <c r="F55" s="29" t="s">
        <v>38</v>
      </c>
      <c r="G55" s="43">
        <f>VLOOKUP($F55,'Asset Master'!$A:$J,6,FALSE)*-1</f>
        <v>-200000</v>
      </c>
      <c r="H55" s="43">
        <f>VLOOKUP($F55,'Asset Master'!$A:$J,7,FALSE)*-1</f>
        <v>-160000</v>
      </c>
      <c r="I55" s="43">
        <f>VLOOKUP($F55,'Asset Master'!$A:$J,8,FALSE)*-1</f>
        <v>-120000</v>
      </c>
      <c r="J55" s="43">
        <f>VLOOKUP($F55,'Asset Master'!$A:$J,9,FALSE)*-1</f>
        <v>-80000</v>
      </c>
      <c r="K55" s="43">
        <f>VLOOKUP($F55,'Asset Master'!$A:$J,10,FALSE)*-1</f>
        <v>-40000</v>
      </c>
      <c r="L55" s="55">
        <f>VLOOKUP(E55,'Probabilty Distribution'!A:B,2,FALSE)</f>
        <v>0.14000000000000001</v>
      </c>
      <c r="M55" s="29" t="s">
        <v>354</v>
      </c>
      <c r="N55" s="44">
        <f>VLOOKUP($F55,'Asset Master'!$A:$J,6,FALSE)*0.1</f>
        <v>20000</v>
      </c>
    </row>
    <row r="56" spans="1:14" x14ac:dyDescent="0.25">
      <c r="A56" s="29" t="s">
        <v>160</v>
      </c>
      <c r="B56" s="41" t="s">
        <v>669</v>
      </c>
      <c r="C56" s="42" t="s">
        <v>780</v>
      </c>
      <c r="D56" s="29" t="s">
        <v>1</v>
      </c>
      <c r="E56" s="30" t="str">
        <f>'Risk Master'!C56&amp;"-"&amp;'Risk Master'!D56</f>
        <v>Flood-Mumbai</v>
      </c>
      <c r="F56" s="29" t="s">
        <v>39</v>
      </c>
      <c r="G56" s="43">
        <f>VLOOKUP($F56,'Asset Master'!$A:$J,6,FALSE)*-1</f>
        <v>-300000</v>
      </c>
      <c r="H56" s="43">
        <f>VLOOKUP($F56,'Asset Master'!$A:$J,7,FALSE)*-1</f>
        <v>-240000</v>
      </c>
      <c r="I56" s="43">
        <f>VLOOKUP($F56,'Asset Master'!$A:$J,8,FALSE)*-1</f>
        <v>-180000</v>
      </c>
      <c r="J56" s="43">
        <f>VLOOKUP($F56,'Asset Master'!$A:$J,9,FALSE)*-1</f>
        <v>-120000</v>
      </c>
      <c r="K56" s="43">
        <f>VLOOKUP($F56,'Asset Master'!$A:$J,10,FALSE)*-1</f>
        <v>-60000</v>
      </c>
      <c r="L56" s="55">
        <f>VLOOKUP(E56,'Probabilty Distribution'!A:B,2,FALSE)</f>
        <v>0.17</v>
      </c>
      <c r="M56" s="29" t="s">
        <v>355</v>
      </c>
      <c r="N56" s="44">
        <f>VLOOKUP($F56,'Asset Master'!$A:$J,6,FALSE)*0.1</f>
        <v>30000</v>
      </c>
    </row>
    <row r="57" spans="1:14" x14ac:dyDescent="0.25">
      <c r="A57" s="29" t="s">
        <v>161</v>
      </c>
      <c r="B57" s="41" t="s">
        <v>481</v>
      </c>
      <c r="C57" s="42" t="str">
        <f t="shared" si="0"/>
        <v>Earthquake</v>
      </c>
      <c r="D57" s="29" t="s">
        <v>1</v>
      </c>
      <c r="E57" s="30" t="str">
        <f>'Risk Master'!C57&amp;"-"&amp;'Risk Master'!D57</f>
        <v>Earthquake-Mumbai</v>
      </c>
      <c r="F57" s="29" t="s">
        <v>39</v>
      </c>
      <c r="G57" s="43">
        <f>VLOOKUP($F57,'Asset Master'!$A:$J,6,FALSE)*-1</f>
        <v>-300000</v>
      </c>
      <c r="H57" s="43">
        <f>VLOOKUP($F57,'Asset Master'!$A:$J,7,FALSE)*-1</f>
        <v>-240000</v>
      </c>
      <c r="I57" s="43">
        <f>VLOOKUP($F57,'Asset Master'!$A:$J,8,FALSE)*-1</f>
        <v>-180000</v>
      </c>
      <c r="J57" s="43">
        <f>VLOOKUP($F57,'Asset Master'!$A:$J,9,FALSE)*-1</f>
        <v>-120000</v>
      </c>
      <c r="K57" s="43">
        <f>VLOOKUP($F57,'Asset Master'!$A:$J,10,FALSE)*-1</f>
        <v>-60000</v>
      </c>
      <c r="L57" s="55">
        <f>VLOOKUP(E57,'Probabilty Distribution'!A:B,2,FALSE)</f>
        <v>0.2</v>
      </c>
      <c r="M57" s="29" t="s">
        <v>356</v>
      </c>
      <c r="N57" s="44">
        <f>VLOOKUP($F57,'Asset Master'!$A:$J,6,FALSE)*0.1</f>
        <v>30000</v>
      </c>
    </row>
    <row r="58" spans="1:14" x14ac:dyDescent="0.25">
      <c r="A58" s="29" t="s">
        <v>162</v>
      </c>
      <c r="B58" s="41" t="s">
        <v>482</v>
      </c>
      <c r="C58" s="42" t="str">
        <f t="shared" si="0"/>
        <v>Fire</v>
      </c>
      <c r="D58" s="29" t="s">
        <v>1</v>
      </c>
      <c r="E58" s="30" t="str">
        <f>'Risk Master'!C58&amp;"-"&amp;'Risk Master'!D58</f>
        <v>Fire-Mumbai</v>
      </c>
      <c r="F58" s="29" t="s">
        <v>39</v>
      </c>
      <c r="G58" s="43">
        <f>VLOOKUP($F58,'Asset Master'!$A:$J,6,FALSE)*-1</f>
        <v>-300000</v>
      </c>
      <c r="H58" s="43">
        <f>VLOOKUP($F58,'Asset Master'!$A:$J,7,FALSE)*-1</f>
        <v>-240000</v>
      </c>
      <c r="I58" s="43">
        <f>VLOOKUP($F58,'Asset Master'!$A:$J,8,FALSE)*-1</f>
        <v>-180000</v>
      </c>
      <c r="J58" s="43">
        <f>VLOOKUP($F58,'Asset Master'!$A:$J,9,FALSE)*-1</f>
        <v>-120000</v>
      </c>
      <c r="K58" s="43">
        <f>VLOOKUP($F58,'Asset Master'!$A:$J,10,FALSE)*-1</f>
        <v>-60000</v>
      </c>
      <c r="L58" s="55">
        <f>VLOOKUP(E58,'Probabilty Distribution'!A:B,2,FALSE)</f>
        <v>0.2</v>
      </c>
      <c r="M58" s="29" t="s">
        <v>357</v>
      </c>
      <c r="N58" s="44">
        <f>VLOOKUP($F58,'Asset Master'!$A:$J,6,FALSE)*0.1</f>
        <v>30000</v>
      </c>
    </row>
    <row r="59" spans="1:14" x14ac:dyDescent="0.25">
      <c r="A59" s="29" t="s">
        <v>163</v>
      </c>
      <c r="B59" s="41" t="s">
        <v>483</v>
      </c>
      <c r="C59" s="42" t="str">
        <f t="shared" si="0"/>
        <v>Typhoon</v>
      </c>
      <c r="D59" s="29" t="s">
        <v>1</v>
      </c>
      <c r="E59" s="30" t="str">
        <f>'Risk Master'!C59&amp;"-"&amp;'Risk Master'!D59</f>
        <v>Typhoon-Mumbai</v>
      </c>
      <c r="F59" s="29" t="s">
        <v>39</v>
      </c>
      <c r="G59" s="43">
        <f>VLOOKUP($F59,'Asset Master'!$A:$J,6,FALSE)*-1</f>
        <v>-300000</v>
      </c>
      <c r="H59" s="43">
        <f>VLOOKUP($F59,'Asset Master'!$A:$J,7,FALSE)*-1</f>
        <v>-240000</v>
      </c>
      <c r="I59" s="43">
        <f>VLOOKUP($F59,'Asset Master'!$A:$J,8,FALSE)*-1</f>
        <v>-180000</v>
      </c>
      <c r="J59" s="43">
        <f>VLOOKUP($F59,'Asset Master'!$A:$J,9,FALSE)*-1</f>
        <v>-120000</v>
      </c>
      <c r="K59" s="43">
        <f>VLOOKUP($F59,'Asset Master'!$A:$J,10,FALSE)*-1</f>
        <v>-60000</v>
      </c>
      <c r="L59" s="55">
        <f>VLOOKUP(E59,'Probabilty Distribution'!A:B,2,FALSE)</f>
        <v>0.3</v>
      </c>
      <c r="M59" s="29" t="s">
        <v>358</v>
      </c>
      <c r="N59" s="44">
        <f>VLOOKUP($F59,'Asset Master'!$A:$J,6,FALSE)*0.1</f>
        <v>30000</v>
      </c>
    </row>
    <row r="60" spans="1:14" x14ac:dyDescent="0.25">
      <c r="A60" s="29" t="s">
        <v>164</v>
      </c>
      <c r="B60" s="41" t="s">
        <v>484</v>
      </c>
      <c r="C60" s="42" t="str">
        <f t="shared" si="0"/>
        <v>Thunderstorms, Tornados &amp; Hail</v>
      </c>
      <c r="D60" s="29" t="s">
        <v>1</v>
      </c>
      <c r="E60" s="30" t="str">
        <f>'Risk Master'!C60&amp;"-"&amp;'Risk Master'!D60</f>
        <v>Thunderstorms, Tornados &amp; Hail-Mumbai</v>
      </c>
      <c r="F60" s="29" t="s">
        <v>39</v>
      </c>
      <c r="G60" s="43">
        <f>VLOOKUP($F60,'Asset Master'!$A:$J,6,FALSE)*-1</f>
        <v>-300000</v>
      </c>
      <c r="H60" s="43">
        <f>VLOOKUP($F60,'Asset Master'!$A:$J,7,FALSE)*-1</f>
        <v>-240000</v>
      </c>
      <c r="I60" s="43">
        <f>VLOOKUP($F60,'Asset Master'!$A:$J,8,FALSE)*-1</f>
        <v>-180000</v>
      </c>
      <c r="J60" s="43">
        <f>VLOOKUP($F60,'Asset Master'!$A:$J,9,FALSE)*-1</f>
        <v>-120000</v>
      </c>
      <c r="K60" s="43">
        <f>VLOOKUP($F60,'Asset Master'!$A:$J,10,FALSE)*-1</f>
        <v>-60000</v>
      </c>
      <c r="L60" s="55">
        <f>VLOOKUP(E60,'Probabilty Distribution'!A:B,2,FALSE)</f>
        <v>0.15</v>
      </c>
      <c r="M60" s="29" t="s">
        <v>359</v>
      </c>
      <c r="N60" s="44">
        <f>VLOOKUP($F60,'Asset Master'!$A:$J,6,FALSE)*0.1</f>
        <v>30000</v>
      </c>
    </row>
    <row r="61" spans="1:14" x14ac:dyDescent="0.25">
      <c r="A61" s="29" t="s">
        <v>165</v>
      </c>
      <c r="B61" s="41" t="s">
        <v>785</v>
      </c>
      <c r="C61" s="42" t="str">
        <f t="shared" si="0"/>
        <v>Tsunami</v>
      </c>
      <c r="D61" s="29" t="s">
        <v>1</v>
      </c>
      <c r="E61" s="30" t="str">
        <f>'Risk Master'!C61&amp;"-"&amp;'Risk Master'!D61</f>
        <v>Tsunami-Mumbai</v>
      </c>
      <c r="F61" s="29" t="s">
        <v>39</v>
      </c>
      <c r="G61" s="43">
        <f>VLOOKUP($F61,'Asset Master'!$A:$J,6,FALSE)*-1</f>
        <v>-300000</v>
      </c>
      <c r="H61" s="43">
        <f>VLOOKUP($F61,'Asset Master'!$A:$J,7,FALSE)*-1</f>
        <v>-240000</v>
      </c>
      <c r="I61" s="43">
        <f>VLOOKUP($F61,'Asset Master'!$A:$J,8,FALSE)*-1</f>
        <v>-180000</v>
      </c>
      <c r="J61" s="43">
        <f>VLOOKUP($F61,'Asset Master'!$A:$J,9,FALSE)*-1</f>
        <v>-120000</v>
      </c>
      <c r="K61" s="43">
        <f>VLOOKUP($F61,'Asset Master'!$A:$J,10,FALSE)*-1</f>
        <v>-60000</v>
      </c>
      <c r="L61" s="55">
        <f>VLOOKUP(E61,'Probabilty Distribution'!A:B,2,FALSE)</f>
        <v>0.14000000000000001</v>
      </c>
      <c r="M61" s="29" t="s">
        <v>360</v>
      </c>
      <c r="N61" s="44">
        <f>VLOOKUP($F61,'Asset Master'!$A:$J,6,FALSE)*0.1</f>
        <v>30000</v>
      </c>
    </row>
    <row r="62" spans="1:14" x14ac:dyDescent="0.25">
      <c r="A62" s="29" t="s">
        <v>166</v>
      </c>
      <c r="B62" s="41" t="s">
        <v>669</v>
      </c>
      <c r="C62" s="42" t="s">
        <v>780</v>
      </c>
      <c r="D62" s="29" t="s">
        <v>1</v>
      </c>
      <c r="E62" s="30" t="str">
        <f>'Risk Master'!C62&amp;"-"&amp;'Risk Master'!D62</f>
        <v>Flood-Mumbai</v>
      </c>
      <c r="F62" s="29" t="s">
        <v>40</v>
      </c>
      <c r="G62" s="43">
        <f>VLOOKUP($F62,'Asset Master'!$A:$J,6,FALSE)*-1</f>
        <v>-200000</v>
      </c>
      <c r="H62" s="43">
        <f>VLOOKUP($F62,'Asset Master'!$A:$J,7,FALSE)*-1</f>
        <v>-150000</v>
      </c>
      <c r="I62" s="43">
        <f>VLOOKUP($F62,'Asset Master'!$A:$J,8,FALSE)*-1</f>
        <v>-100000</v>
      </c>
      <c r="J62" s="43">
        <f>VLOOKUP($F62,'Asset Master'!$A:$J,9,FALSE)*-1</f>
        <v>-50000</v>
      </c>
      <c r="K62" s="43">
        <f>VLOOKUP($F62,'Asset Master'!$A:$J,10,FALSE)*-1</f>
        <v>0</v>
      </c>
      <c r="L62" s="55">
        <f>VLOOKUP(E62,'Probabilty Distribution'!A:B,2,FALSE)</f>
        <v>0.17</v>
      </c>
      <c r="M62" s="29" t="s">
        <v>361</v>
      </c>
      <c r="N62" s="44">
        <f>VLOOKUP($F62,'Asset Master'!$A:$J,6,FALSE)*0.1</f>
        <v>20000</v>
      </c>
    </row>
    <row r="63" spans="1:14" x14ac:dyDescent="0.25">
      <c r="A63" s="29" t="s">
        <v>167</v>
      </c>
      <c r="B63" s="41" t="s">
        <v>481</v>
      </c>
      <c r="C63" s="42" t="str">
        <f t="shared" si="0"/>
        <v>Earthquake</v>
      </c>
      <c r="D63" s="29" t="s">
        <v>1</v>
      </c>
      <c r="E63" s="30" t="str">
        <f>'Risk Master'!C63&amp;"-"&amp;'Risk Master'!D63</f>
        <v>Earthquake-Mumbai</v>
      </c>
      <c r="F63" s="29" t="s">
        <v>40</v>
      </c>
      <c r="G63" s="43">
        <f>VLOOKUP($F63,'Asset Master'!$A:$J,6,FALSE)*-1</f>
        <v>-200000</v>
      </c>
      <c r="H63" s="43">
        <f>VLOOKUP($F63,'Asset Master'!$A:$J,7,FALSE)*-1</f>
        <v>-150000</v>
      </c>
      <c r="I63" s="43">
        <f>VLOOKUP($F63,'Asset Master'!$A:$J,8,FALSE)*-1</f>
        <v>-100000</v>
      </c>
      <c r="J63" s="43">
        <f>VLOOKUP($F63,'Asset Master'!$A:$J,9,FALSE)*-1</f>
        <v>-50000</v>
      </c>
      <c r="K63" s="43">
        <f>VLOOKUP($F63,'Asset Master'!$A:$J,10,FALSE)*-1</f>
        <v>0</v>
      </c>
      <c r="L63" s="55">
        <f>VLOOKUP(E63,'Probabilty Distribution'!A:B,2,FALSE)</f>
        <v>0.2</v>
      </c>
      <c r="M63" s="29" t="s">
        <v>362</v>
      </c>
      <c r="N63" s="44">
        <f>VLOOKUP($F63,'Asset Master'!$A:$J,6,FALSE)*0.1</f>
        <v>20000</v>
      </c>
    </row>
    <row r="64" spans="1:14" x14ac:dyDescent="0.25">
      <c r="A64" s="29" t="s">
        <v>168</v>
      </c>
      <c r="B64" s="41" t="s">
        <v>482</v>
      </c>
      <c r="C64" s="42" t="str">
        <f t="shared" si="0"/>
        <v>Fire</v>
      </c>
      <c r="D64" s="29" t="s">
        <v>1</v>
      </c>
      <c r="E64" s="30" t="str">
        <f>'Risk Master'!C64&amp;"-"&amp;'Risk Master'!D64</f>
        <v>Fire-Mumbai</v>
      </c>
      <c r="F64" s="29" t="s">
        <v>40</v>
      </c>
      <c r="G64" s="43">
        <f>VLOOKUP($F64,'Asset Master'!$A:$J,6,FALSE)*-1</f>
        <v>-200000</v>
      </c>
      <c r="H64" s="43">
        <f>VLOOKUP($F64,'Asset Master'!$A:$J,7,FALSE)*-1</f>
        <v>-150000</v>
      </c>
      <c r="I64" s="43">
        <f>VLOOKUP($F64,'Asset Master'!$A:$J,8,FALSE)*-1</f>
        <v>-100000</v>
      </c>
      <c r="J64" s="43">
        <f>VLOOKUP($F64,'Asset Master'!$A:$J,9,FALSE)*-1</f>
        <v>-50000</v>
      </c>
      <c r="K64" s="43">
        <f>VLOOKUP($F64,'Asset Master'!$A:$J,10,FALSE)*-1</f>
        <v>0</v>
      </c>
      <c r="L64" s="55">
        <f>VLOOKUP(E64,'Probabilty Distribution'!A:B,2,FALSE)</f>
        <v>0.2</v>
      </c>
      <c r="M64" s="29" t="s">
        <v>363</v>
      </c>
      <c r="N64" s="44">
        <f>VLOOKUP($F64,'Asset Master'!$A:$J,6,FALSE)*0.1</f>
        <v>20000</v>
      </c>
    </row>
    <row r="65" spans="1:14" x14ac:dyDescent="0.25">
      <c r="A65" s="29" t="s">
        <v>169</v>
      </c>
      <c r="B65" s="41" t="s">
        <v>483</v>
      </c>
      <c r="C65" s="42" t="str">
        <f t="shared" si="0"/>
        <v>Typhoon</v>
      </c>
      <c r="D65" s="29" t="s">
        <v>1</v>
      </c>
      <c r="E65" s="30" t="str">
        <f>'Risk Master'!C65&amp;"-"&amp;'Risk Master'!D65</f>
        <v>Typhoon-Mumbai</v>
      </c>
      <c r="F65" s="29" t="s">
        <v>40</v>
      </c>
      <c r="G65" s="43">
        <f>VLOOKUP($F65,'Asset Master'!$A:$J,6,FALSE)*-1</f>
        <v>-200000</v>
      </c>
      <c r="H65" s="43">
        <f>VLOOKUP($F65,'Asset Master'!$A:$J,7,FALSE)*-1</f>
        <v>-150000</v>
      </c>
      <c r="I65" s="43">
        <f>VLOOKUP($F65,'Asset Master'!$A:$J,8,FALSE)*-1</f>
        <v>-100000</v>
      </c>
      <c r="J65" s="43">
        <f>VLOOKUP($F65,'Asset Master'!$A:$J,9,FALSE)*-1</f>
        <v>-50000</v>
      </c>
      <c r="K65" s="43">
        <f>VLOOKUP($F65,'Asset Master'!$A:$J,10,FALSE)*-1</f>
        <v>0</v>
      </c>
      <c r="L65" s="55">
        <f>VLOOKUP(E65,'Probabilty Distribution'!A:B,2,FALSE)</f>
        <v>0.3</v>
      </c>
      <c r="M65" s="29" t="s">
        <v>364</v>
      </c>
      <c r="N65" s="44">
        <f>VLOOKUP($F65,'Asset Master'!$A:$J,6,FALSE)*0.1</f>
        <v>20000</v>
      </c>
    </row>
    <row r="66" spans="1:14" x14ac:dyDescent="0.25">
      <c r="A66" s="29" t="s">
        <v>170</v>
      </c>
      <c r="B66" s="41" t="s">
        <v>484</v>
      </c>
      <c r="C66" s="42" t="str">
        <f t="shared" si="0"/>
        <v>Thunderstorms, Tornados &amp; Hail</v>
      </c>
      <c r="D66" s="29" t="s">
        <v>1</v>
      </c>
      <c r="E66" s="30" t="str">
        <f>'Risk Master'!C66&amp;"-"&amp;'Risk Master'!D66</f>
        <v>Thunderstorms, Tornados &amp; Hail-Mumbai</v>
      </c>
      <c r="F66" s="29" t="s">
        <v>40</v>
      </c>
      <c r="G66" s="43">
        <f>VLOOKUP($F66,'Asset Master'!$A:$J,6,FALSE)*-1</f>
        <v>-200000</v>
      </c>
      <c r="H66" s="43">
        <f>VLOOKUP($F66,'Asset Master'!$A:$J,7,FALSE)*-1</f>
        <v>-150000</v>
      </c>
      <c r="I66" s="43">
        <f>VLOOKUP($F66,'Asset Master'!$A:$J,8,FALSE)*-1</f>
        <v>-100000</v>
      </c>
      <c r="J66" s="43">
        <f>VLOOKUP($F66,'Asset Master'!$A:$J,9,FALSE)*-1</f>
        <v>-50000</v>
      </c>
      <c r="K66" s="43">
        <f>VLOOKUP($F66,'Asset Master'!$A:$J,10,FALSE)*-1</f>
        <v>0</v>
      </c>
      <c r="L66" s="55">
        <f>VLOOKUP(E66,'Probabilty Distribution'!A:B,2,FALSE)</f>
        <v>0.15</v>
      </c>
      <c r="M66" s="29" t="s">
        <v>365</v>
      </c>
      <c r="N66" s="44">
        <f>VLOOKUP($F66,'Asset Master'!$A:$J,6,FALSE)*0.1</f>
        <v>20000</v>
      </c>
    </row>
    <row r="67" spans="1:14" x14ac:dyDescent="0.25">
      <c r="A67" s="29" t="s">
        <v>171</v>
      </c>
      <c r="B67" s="41" t="s">
        <v>785</v>
      </c>
      <c r="C67" s="42" t="str">
        <f t="shared" si="0"/>
        <v>Tsunami</v>
      </c>
      <c r="D67" s="29" t="s">
        <v>1</v>
      </c>
      <c r="E67" s="30" t="str">
        <f>'Risk Master'!C67&amp;"-"&amp;'Risk Master'!D67</f>
        <v>Tsunami-Mumbai</v>
      </c>
      <c r="F67" s="29" t="s">
        <v>40</v>
      </c>
      <c r="G67" s="43">
        <f>VLOOKUP($F67,'Asset Master'!$A:$J,6,FALSE)*-1</f>
        <v>-200000</v>
      </c>
      <c r="H67" s="43">
        <f>VLOOKUP($F67,'Asset Master'!$A:$J,7,FALSE)*-1</f>
        <v>-150000</v>
      </c>
      <c r="I67" s="43">
        <f>VLOOKUP($F67,'Asset Master'!$A:$J,8,FALSE)*-1</f>
        <v>-100000</v>
      </c>
      <c r="J67" s="43">
        <f>VLOOKUP($F67,'Asset Master'!$A:$J,9,FALSE)*-1</f>
        <v>-50000</v>
      </c>
      <c r="K67" s="43">
        <f>VLOOKUP($F67,'Asset Master'!$A:$J,10,FALSE)*-1</f>
        <v>0</v>
      </c>
      <c r="L67" s="55">
        <f>VLOOKUP(E67,'Probabilty Distribution'!A:B,2,FALSE)</f>
        <v>0.14000000000000001</v>
      </c>
      <c r="M67" s="29" t="s">
        <v>366</v>
      </c>
      <c r="N67" s="44">
        <f>VLOOKUP($F67,'Asset Master'!$A:$J,6,FALSE)*0.1</f>
        <v>20000</v>
      </c>
    </row>
    <row r="68" spans="1:14" x14ac:dyDescent="0.25">
      <c r="A68" s="29" t="s">
        <v>172</v>
      </c>
      <c r="B68" s="41" t="s">
        <v>848</v>
      </c>
      <c r="C68" s="42" t="str">
        <f t="shared" ref="C68:C131" si="1">B68</f>
        <v xml:space="preserve">Hurricane-Typhoon </v>
      </c>
      <c r="D68" s="29" t="s">
        <v>114</v>
      </c>
      <c r="E68" s="30" t="str">
        <f>'Risk Master'!C68&amp;"-"&amp;'Risk Master'!D68</f>
        <v>Hurricane-Typhoon -Germany</v>
      </c>
      <c r="F68" s="29" t="s">
        <v>89</v>
      </c>
      <c r="G68" s="43">
        <f>VLOOKUP($F68,'Asset Master'!$A:$J,6,FALSE)*-1</f>
        <v>-300000</v>
      </c>
      <c r="H68" s="43">
        <f>VLOOKUP($F68,'Asset Master'!$A:$J,7,FALSE)*-1</f>
        <v>-270000</v>
      </c>
      <c r="I68" s="43">
        <f>VLOOKUP($F68,'Asset Master'!$A:$J,8,FALSE)*-1</f>
        <v>-240000</v>
      </c>
      <c r="J68" s="43">
        <f>VLOOKUP($F68,'Asset Master'!$A:$J,9,FALSE)*-1</f>
        <v>-210000</v>
      </c>
      <c r="K68" s="43">
        <f>VLOOKUP($F68,'Asset Master'!$A:$J,10,FALSE)*-1</f>
        <v>-180000</v>
      </c>
      <c r="L68" s="55">
        <f>VLOOKUP(E68,'Probabilty Distribution'!A:B,2,FALSE)</f>
        <v>0.15</v>
      </c>
      <c r="M68" s="29" t="s">
        <v>367</v>
      </c>
      <c r="N68" s="44">
        <f>VLOOKUP($F68,'Asset Master'!$A:$J,6,FALSE)*0.1</f>
        <v>30000</v>
      </c>
    </row>
    <row r="69" spans="1:14" x14ac:dyDescent="0.25">
      <c r="A69" s="29" t="s">
        <v>173</v>
      </c>
      <c r="B69" s="41" t="s">
        <v>481</v>
      </c>
      <c r="C69" s="42" t="str">
        <f t="shared" si="1"/>
        <v>Earthquake</v>
      </c>
      <c r="D69" s="29" t="s">
        <v>114</v>
      </c>
      <c r="E69" s="30" t="str">
        <f>'Risk Master'!C69&amp;"-"&amp;'Risk Master'!D69</f>
        <v>Earthquake-Germany</v>
      </c>
      <c r="F69" s="29" t="s">
        <v>89</v>
      </c>
      <c r="G69" s="43">
        <f>VLOOKUP($F69,'Asset Master'!$A:$J,6,FALSE)*-1</f>
        <v>-300000</v>
      </c>
      <c r="H69" s="43">
        <f>VLOOKUP($F69,'Asset Master'!$A:$J,7,FALSE)*-1</f>
        <v>-270000</v>
      </c>
      <c r="I69" s="43">
        <f>VLOOKUP($F69,'Asset Master'!$A:$J,8,FALSE)*-1</f>
        <v>-240000</v>
      </c>
      <c r="J69" s="43">
        <f>VLOOKUP($F69,'Asset Master'!$A:$J,9,FALSE)*-1</f>
        <v>-210000</v>
      </c>
      <c r="K69" s="43">
        <f>VLOOKUP($F69,'Asset Master'!$A:$J,10,FALSE)*-1</f>
        <v>-180000</v>
      </c>
      <c r="L69" s="55">
        <f>VLOOKUP(E69,'Probabilty Distribution'!A:B,2,FALSE)</f>
        <v>0.1</v>
      </c>
      <c r="M69" s="29" t="s">
        <v>368</v>
      </c>
      <c r="N69" s="44">
        <f>VLOOKUP($F69,'Asset Master'!$A:$J,6,FALSE)*0.1</f>
        <v>30000</v>
      </c>
    </row>
    <row r="70" spans="1:14" x14ac:dyDescent="0.25">
      <c r="A70" s="29" t="s">
        <v>174</v>
      </c>
      <c r="B70" s="41" t="s">
        <v>482</v>
      </c>
      <c r="C70" s="42" t="str">
        <f t="shared" si="1"/>
        <v>Fire</v>
      </c>
      <c r="D70" s="29" t="s">
        <v>114</v>
      </c>
      <c r="E70" s="30" t="str">
        <f>'Risk Master'!C70&amp;"-"&amp;'Risk Master'!D70</f>
        <v>Fire-Germany</v>
      </c>
      <c r="F70" s="29" t="s">
        <v>89</v>
      </c>
      <c r="G70" s="43">
        <f>VLOOKUP($F70,'Asset Master'!$A:$J,6,FALSE)*-1</f>
        <v>-300000</v>
      </c>
      <c r="H70" s="43">
        <f>VLOOKUP($F70,'Asset Master'!$A:$J,7,FALSE)*-1</f>
        <v>-270000</v>
      </c>
      <c r="I70" s="43">
        <f>VLOOKUP($F70,'Asset Master'!$A:$J,8,FALSE)*-1</f>
        <v>-240000</v>
      </c>
      <c r="J70" s="43">
        <f>VLOOKUP($F70,'Asset Master'!$A:$J,9,FALSE)*-1</f>
        <v>-210000</v>
      </c>
      <c r="K70" s="43">
        <f>VLOOKUP($F70,'Asset Master'!$A:$J,10,FALSE)*-1</f>
        <v>-180000</v>
      </c>
      <c r="L70" s="55">
        <f>VLOOKUP(E70,'Probabilty Distribution'!A:B,2,FALSE)</f>
        <v>0.25</v>
      </c>
      <c r="M70" s="29" t="s">
        <v>369</v>
      </c>
      <c r="N70" s="44">
        <f>VLOOKUP($F70,'Asset Master'!$A:$J,6,FALSE)*0.1</f>
        <v>30000</v>
      </c>
    </row>
    <row r="71" spans="1:14" x14ac:dyDescent="0.25">
      <c r="A71" s="29" t="s">
        <v>175</v>
      </c>
      <c r="B71" s="41" t="s">
        <v>484</v>
      </c>
      <c r="C71" s="42" t="str">
        <f t="shared" si="1"/>
        <v>Thunderstorms, Tornados &amp; Hail</v>
      </c>
      <c r="D71" s="29" t="s">
        <v>114</v>
      </c>
      <c r="E71" s="30" t="str">
        <f>'Risk Master'!C71&amp;"-"&amp;'Risk Master'!D71</f>
        <v>Thunderstorms, Tornados &amp; Hail-Germany</v>
      </c>
      <c r="F71" s="29" t="s">
        <v>89</v>
      </c>
      <c r="G71" s="43">
        <f>VLOOKUP($F71,'Asset Master'!$A:$J,6,FALSE)*-1</f>
        <v>-300000</v>
      </c>
      <c r="H71" s="43">
        <f>VLOOKUP($F71,'Asset Master'!$A:$J,7,FALSE)*-1</f>
        <v>-270000</v>
      </c>
      <c r="I71" s="43">
        <f>VLOOKUP($F71,'Asset Master'!$A:$J,8,FALSE)*-1</f>
        <v>-240000</v>
      </c>
      <c r="J71" s="43">
        <f>VLOOKUP($F71,'Asset Master'!$A:$J,9,FALSE)*-1</f>
        <v>-210000</v>
      </c>
      <c r="K71" s="43">
        <f>VLOOKUP($F71,'Asset Master'!$A:$J,10,FALSE)*-1</f>
        <v>-180000</v>
      </c>
      <c r="L71" s="55">
        <f>VLOOKUP(E71,'Probabilty Distribution'!A:B,2,FALSE)</f>
        <v>0.3</v>
      </c>
      <c r="M71" s="29" t="s">
        <v>370</v>
      </c>
      <c r="N71" s="44">
        <f>VLOOKUP($F71,'Asset Master'!$A:$J,6,FALSE)*0.1</f>
        <v>30000</v>
      </c>
    </row>
    <row r="72" spans="1:14" x14ac:dyDescent="0.25">
      <c r="A72" s="29" t="s">
        <v>176</v>
      </c>
      <c r="B72" s="41" t="s">
        <v>848</v>
      </c>
      <c r="C72" s="42" t="str">
        <f t="shared" si="1"/>
        <v xml:space="preserve">Hurricane-Typhoon </v>
      </c>
      <c r="D72" s="29" t="s">
        <v>114</v>
      </c>
      <c r="E72" s="30" t="str">
        <f>'Risk Master'!C72&amp;"-"&amp;'Risk Master'!D72</f>
        <v>Hurricane-Typhoon -Germany</v>
      </c>
      <c r="F72" s="29" t="s">
        <v>92</v>
      </c>
      <c r="G72" s="43">
        <f>VLOOKUP($F72,'Asset Master'!$A:$J,6,FALSE)*-1</f>
        <v>-500000</v>
      </c>
      <c r="H72" s="43">
        <f>VLOOKUP($F72,'Asset Master'!$A:$J,7,FALSE)*-1</f>
        <v>-450000</v>
      </c>
      <c r="I72" s="43">
        <f>VLOOKUP($F72,'Asset Master'!$A:$J,8,FALSE)*-1</f>
        <v>-400000</v>
      </c>
      <c r="J72" s="43">
        <f>VLOOKUP($F72,'Asset Master'!$A:$J,9,FALSE)*-1</f>
        <v>-350000</v>
      </c>
      <c r="K72" s="43">
        <f>VLOOKUP($F72,'Asset Master'!$A:$J,10,FALSE)*-1</f>
        <v>-300000</v>
      </c>
      <c r="L72" s="55">
        <f>VLOOKUP(E72,'Probabilty Distribution'!A:B,2,FALSE)</f>
        <v>0.15</v>
      </c>
      <c r="M72" s="29" t="s">
        <v>371</v>
      </c>
      <c r="N72" s="44">
        <f>VLOOKUP($F72,'Asset Master'!$A:$J,6,FALSE)*0.1</f>
        <v>50000</v>
      </c>
    </row>
    <row r="73" spans="1:14" x14ac:dyDescent="0.25">
      <c r="A73" s="29" t="s">
        <v>177</v>
      </c>
      <c r="B73" s="41" t="s">
        <v>481</v>
      </c>
      <c r="C73" s="42" t="str">
        <f t="shared" si="1"/>
        <v>Earthquake</v>
      </c>
      <c r="D73" s="29" t="s">
        <v>114</v>
      </c>
      <c r="E73" s="30" t="str">
        <f>'Risk Master'!C73&amp;"-"&amp;'Risk Master'!D73</f>
        <v>Earthquake-Germany</v>
      </c>
      <c r="F73" s="29" t="s">
        <v>92</v>
      </c>
      <c r="G73" s="43">
        <f>VLOOKUP($F73,'Asset Master'!$A:$J,6,FALSE)*-1</f>
        <v>-500000</v>
      </c>
      <c r="H73" s="43">
        <f>VLOOKUP($F73,'Asset Master'!$A:$J,7,FALSE)*-1</f>
        <v>-450000</v>
      </c>
      <c r="I73" s="43">
        <f>VLOOKUP($F73,'Asset Master'!$A:$J,8,FALSE)*-1</f>
        <v>-400000</v>
      </c>
      <c r="J73" s="43">
        <f>VLOOKUP($F73,'Asset Master'!$A:$J,9,FALSE)*-1</f>
        <v>-350000</v>
      </c>
      <c r="K73" s="43">
        <f>VLOOKUP($F73,'Asset Master'!$A:$J,10,FALSE)*-1</f>
        <v>-300000</v>
      </c>
      <c r="L73" s="55">
        <f>VLOOKUP(E73,'Probabilty Distribution'!A:B,2,FALSE)</f>
        <v>0.1</v>
      </c>
      <c r="M73" s="29" t="s">
        <v>372</v>
      </c>
      <c r="N73" s="44">
        <f>VLOOKUP($F73,'Asset Master'!$A:$J,6,FALSE)*0.1</f>
        <v>50000</v>
      </c>
    </row>
    <row r="74" spans="1:14" x14ac:dyDescent="0.25">
      <c r="A74" s="29" t="s">
        <v>178</v>
      </c>
      <c r="B74" s="41" t="s">
        <v>482</v>
      </c>
      <c r="C74" s="42" t="str">
        <f t="shared" si="1"/>
        <v>Fire</v>
      </c>
      <c r="D74" s="29" t="s">
        <v>114</v>
      </c>
      <c r="E74" s="30" t="str">
        <f>'Risk Master'!C74&amp;"-"&amp;'Risk Master'!D74</f>
        <v>Fire-Germany</v>
      </c>
      <c r="F74" s="29" t="s">
        <v>92</v>
      </c>
      <c r="G74" s="43">
        <f>VLOOKUP($F74,'Asset Master'!$A:$J,6,FALSE)*-1</f>
        <v>-500000</v>
      </c>
      <c r="H74" s="43">
        <f>VLOOKUP($F74,'Asset Master'!$A:$J,7,FALSE)*-1</f>
        <v>-450000</v>
      </c>
      <c r="I74" s="43">
        <f>VLOOKUP($F74,'Asset Master'!$A:$J,8,FALSE)*-1</f>
        <v>-400000</v>
      </c>
      <c r="J74" s="43">
        <f>VLOOKUP($F74,'Asset Master'!$A:$J,9,FALSE)*-1</f>
        <v>-350000</v>
      </c>
      <c r="K74" s="43">
        <f>VLOOKUP($F74,'Asset Master'!$A:$J,10,FALSE)*-1</f>
        <v>-300000</v>
      </c>
      <c r="L74" s="55">
        <f>VLOOKUP(E74,'Probabilty Distribution'!A:B,2,FALSE)</f>
        <v>0.25</v>
      </c>
      <c r="M74" s="29" t="s">
        <v>373</v>
      </c>
      <c r="N74" s="44">
        <f>VLOOKUP($F74,'Asset Master'!$A:$J,6,FALSE)*0.1</f>
        <v>50000</v>
      </c>
    </row>
    <row r="75" spans="1:14" x14ac:dyDescent="0.25">
      <c r="A75" s="29" t="s">
        <v>179</v>
      </c>
      <c r="B75" s="41" t="s">
        <v>484</v>
      </c>
      <c r="C75" s="42" t="str">
        <f t="shared" si="1"/>
        <v>Thunderstorms, Tornados &amp; Hail</v>
      </c>
      <c r="D75" s="29" t="s">
        <v>114</v>
      </c>
      <c r="E75" s="30" t="str">
        <f>'Risk Master'!C75&amp;"-"&amp;'Risk Master'!D75</f>
        <v>Thunderstorms, Tornados &amp; Hail-Germany</v>
      </c>
      <c r="F75" s="29" t="s">
        <v>92</v>
      </c>
      <c r="G75" s="43">
        <f>VLOOKUP($F75,'Asset Master'!$A:$J,6,FALSE)*-1</f>
        <v>-500000</v>
      </c>
      <c r="H75" s="43">
        <f>VLOOKUP($F75,'Asset Master'!$A:$J,7,FALSE)*-1</f>
        <v>-450000</v>
      </c>
      <c r="I75" s="43">
        <f>VLOOKUP($F75,'Asset Master'!$A:$J,8,FALSE)*-1</f>
        <v>-400000</v>
      </c>
      <c r="J75" s="43">
        <f>VLOOKUP($F75,'Asset Master'!$A:$J,9,FALSE)*-1</f>
        <v>-350000</v>
      </c>
      <c r="K75" s="43">
        <f>VLOOKUP($F75,'Asset Master'!$A:$J,10,FALSE)*-1</f>
        <v>-300000</v>
      </c>
      <c r="L75" s="55">
        <f>VLOOKUP(E75,'Probabilty Distribution'!A:B,2,FALSE)</f>
        <v>0.3</v>
      </c>
      <c r="M75" s="29" t="s">
        <v>374</v>
      </c>
      <c r="N75" s="44">
        <f>VLOOKUP($F75,'Asset Master'!$A:$J,6,FALSE)*0.1</f>
        <v>50000</v>
      </c>
    </row>
    <row r="76" spans="1:14" x14ac:dyDescent="0.25">
      <c r="A76" s="29" t="s">
        <v>180</v>
      </c>
      <c r="B76" s="41" t="s">
        <v>848</v>
      </c>
      <c r="C76" s="42" t="str">
        <f t="shared" si="1"/>
        <v xml:space="preserve">Hurricane-Typhoon </v>
      </c>
      <c r="D76" s="29" t="s">
        <v>114</v>
      </c>
      <c r="E76" s="30" t="str">
        <f>'Risk Master'!C76&amp;"-"&amp;'Risk Master'!D76</f>
        <v>Hurricane-Typhoon -Germany</v>
      </c>
      <c r="F76" s="29" t="s">
        <v>95</v>
      </c>
      <c r="G76" s="43">
        <f>VLOOKUP($F76,'Asset Master'!$A:$J,6,FALSE)*-1</f>
        <v>-1000000</v>
      </c>
      <c r="H76" s="43">
        <f>VLOOKUP($F76,'Asset Master'!$A:$J,7,FALSE)*-1</f>
        <v>-900000</v>
      </c>
      <c r="I76" s="43">
        <f>VLOOKUP($F76,'Asset Master'!$A:$J,8,FALSE)*-1</f>
        <v>-800000</v>
      </c>
      <c r="J76" s="43">
        <f>VLOOKUP($F76,'Asset Master'!$A:$J,9,FALSE)*-1</f>
        <v>-700000</v>
      </c>
      <c r="K76" s="43">
        <f>VLOOKUP($F76,'Asset Master'!$A:$J,10,FALSE)*-1</f>
        <v>-600000</v>
      </c>
      <c r="L76" s="55">
        <f>VLOOKUP(E76,'Probabilty Distribution'!A:B,2,FALSE)</f>
        <v>0.15</v>
      </c>
      <c r="M76" s="29" t="s">
        <v>375</v>
      </c>
      <c r="N76" s="44">
        <f>VLOOKUP($F76,'Asset Master'!$A:$J,6,FALSE)*0.1</f>
        <v>100000</v>
      </c>
    </row>
    <row r="77" spans="1:14" x14ac:dyDescent="0.25">
      <c r="A77" s="29" t="s">
        <v>181</v>
      </c>
      <c r="B77" s="41" t="s">
        <v>481</v>
      </c>
      <c r="C77" s="42" t="str">
        <f t="shared" si="1"/>
        <v>Earthquake</v>
      </c>
      <c r="D77" s="29" t="s">
        <v>114</v>
      </c>
      <c r="E77" s="30" t="str">
        <f>'Risk Master'!C77&amp;"-"&amp;'Risk Master'!D77</f>
        <v>Earthquake-Germany</v>
      </c>
      <c r="F77" s="29" t="s">
        <v>95</v>
      </c>
      <c r="G77" s="43">
        <f>VLOOKUP($F77,'Asset Master'!$A:$J,6,FALSE)*-1</f>
        <v>-1000000</v>
      </c>
      <c r="H77" s="43">
        <f>VLOOKUP($F77,'Asset Master'!$A:$J,7,FALSE)*-1</f>
        <v>-900000</v>
      </c>
      <c r="I77" s="43">
        <f>VLOOKUP($F77,'Asset Master'!$A:$J,8,FALSE)*-1</f>
        <v>-800000</v>
      </c>
      <c r="J77" s="43">
        <f>VLOOKUP($F77,'Asset Master'!$A:$J,9,FALSE)*-1</f>
        <v>-700000</v>
      </c>
      <c r="K77" s="43">
        <f>VLOOKUP($F77,'Asset Master'!$A:$J,10,FALSE)*-1</f>
        <v>-600000</v>
      </c>
      <c r="L77" s="55">
        <f>VLOOKUP(E77,'Probabilty Distribution'!A:B,2,FALSE)</f>
        <v>0.1</v>
      </c>
      <c r="M77" s="29" t="s">
        <v>376</v>
      </c>
      <c r="N77" s="44">
        <f>VLOOKUP($F77,'Asset Master'!$A:$J,6,FALSE)*0.1</f>
        <v>100000</v>
      </c>
    </row>
    <row r="78" spans="1:14" x14ac:dyDescent="0.25">
      <c r="A78" s="29" t="s">
        <v>182</v>
      </c>
      <c r="B78" s="41" t="s">
        <v>482</v>
      </c>
      <c r="C78" s="42" t="str">
        <f t="shared" si="1"/>
        <v>Fire</v>
      </c>
      <c r="D78" s="29" t="s">
        <v>114</v>
      </c>
      <c r="E78" s="30" t="str">
        <f>'Risk Master'!C78&amp;"-"&amp;'Risk Master'!D78</f>
        <v>Fire-Germany</v>
      </c>
      <c r="F78" s="29" t="s">
        <v>95</v>
      </c>
      <c r="G78" s="43">
        <f>VLOOKUP($F78,'Asset Master'!$A:$J,6,FALSE)*-1</f>
        <v>-1000000</v>
      </c>
      <c r="H78" s="43">
        <f>VLOOKUP($F78,'Asset Master'!$A:$J,7,FALSE)*-1</f>
        <v>-900000</v>
      </c>
      <c r="I78" s="43">
        <f>VLOOKUP($F78,'Asset Master'!$A:$J,8,FALSE)*-1</f>
        <v>-800000</v>
      </c>
      <c r="J78" s="43">
        <f>VLOOKUP($F78,'Asset Master'!$A:$J,9,FALSE)*-1</f>
        <v>-700000</v>
      </c>
      <c r="K78" s="43">
        <f>VLOOKUP($F78,'Asset Master'!$A:$J,10,FALSE)*-1</f>
        <v>-600000</v>
      </c>
      <c r="L78" s="55">
        <f>VLOOKUP(E78,'Probabilty Distribution'!A:B,2,FALSE)</f>
        <v>0.25</v>
      </c>
      <c r="M78" s="29" t="s">
        <v>377</v>
      </c>
      <c r="N78" s="44">
        <f>VLOOKUP($F78,'Asset Master'!$A:$J,6,FALSE)*0.1</f>
        <v>100000</v>
      </c>
    </row>
    <row r="79" spans="1:14" x14ac:dyDescent="0.25">
      <c r="A79" s="29" t="s">
        <v>183</v>
      </c>
      <c r="B79" s="41" t="s">
        <v>484</v>
      </c>
      <c r="C79" s="42" t="str">
        <f t="shared" si="1"/>
        <v>Thunderstorms, Tornados &amp; Hail</v>
      </c>
      <c r="D79" s="29" t="s">
        <v>114</v>
      </c>
      <c r="E79" s="30" t="str">
        <f>'Risk Master'!C79&amp;"-"&amp;'Risk Master'!D79</f>
        <v>Thunderstorms, Tornados &amp; Hail-Germany</v>
      </c>
      <c r="F79" s="29" t="s">
        <v>95</v>
      </c>
      <c r="G79" s="43">
        <f>VLOOKUP($F79,'Asset Master'!$A:$J,6,FALSE)*-1</f>
        <v>-1000000</v>
      </c>
      <c r="H79" s="43">
        <f>VLOOKUP($F79,'Asset Master'!$A:$J,7,FALSE)*-1</f>
        <v>-900000</v>
      </c>
      <c r="I79" s="43">
        <f>VLOOKUP($F79,'Asset Master'!$A:$J,8,FALSE)*-1</f>
        <v>-800000</v>
      </c>
      <c r="J79" s="43">
        <f>VLOOKUP($F79,'Asset Master'!$A:$J,9,FALSE)*-1</f>
        <v>-700000</v>
      </c>
      <c r="K79" s="43">
        <f>VLOOKUP($F79,'Asset Master'!$A:$J,10,FALSE)*-1</f>
        <v>-600000</v>
      </c>
      <c r="L79" s="55">
        <f>VLOOKUP(E79,'Probabilty Distribution'!A:B,2,FALSE)</f>
        <v>0.3</v>
      </c>
      <c r="M79" s="29" t="s">
        <v>378</v>
      </c>
      <c r="N79" s="44">
        <f>VLOOKUP($F79,'Asset Master'!$A:$J,6,FALSE)*0.1</f>
        <v>100000</v>
      </c>
    </row>
    <row r="80" spans="1:14" x14ac:dyDescent="0.25">
      <c r="A80" s="29" t="s">
        <v>184</v>
      </c>
      <c r="B80" s="41" t="s">
        <v>848</v>
      </c>
      <c r="C80" s="42" t="str">
        <f t="shared" si="1"/>
        <v xml:space="preserve">Hurricane-Typhoon </v>
      </c>
      <c r="D80" s="29" t="s">
        <v>114</v>
      </c>
      <c r="E80" s="30" t="str">
        <f>'Risk Master'!C80&amp;"-"&amp;'Risk Master'!D80</f>
        <v>Hurricane-Typhoon -Germany</v>
      </c>
      <c r="F80" s="29" t="s">
        <v>96</v>
      </c>
      <c r="G80" s="43">
        <f>VLOOKUP($F80,'Asset Master'!$A:$J,6,FALSE)*-1</f>
        <v>-300000</v>
      </c>
      <c r="H80" s="43">
        <f>VLOOKUP($F80,'Asset Master'!$A:$J,7,FALSE)*-1</f>
        <v>-240000</v>
      </c>
      <c r="I80" s="43">
        <f>VLOOKUP($F80,'Asset Master'!$A:$J,8,FALSE)*-1</f>
        <v>-180000</v>
      </c>
      <c r="J80" s="43">
        <f>VLOOKUP($F80,'Asset Master'!$A:$J,9,FALSE)*-1</f>
        <v>-120000</v>
      </c>
      <c r="K80" s="43">
        <f>VLOOKUP($F80,'Asset Master'!$A:$J,10,FALSE)*-1</f>
        <v>-60000</v>
      </c>
      <c r="L80" s="55">
        <f>VLOOKUP(E80,'Probabilty Distribution'!A:B,2,FALSE)</f>
        <v>0.15</v>
      </c>
      <c r="M80" s="29" t="s">
        <v>379</v>
      </c>
      <c r="N80" s="44">
        <f>VLOOKUP($F80,'Asset Master'!$A:$J,6,FALSE)*0.1</f>
        <v>30000</v>
      </c>
    </row>
    <row r="81" spans="1:14" x14ac:dyDescent="0.25">
      <c r="A81" s="29" t="s">
        <v>185</v>
      </c>
      <c r="B81" s="41" t="s">
        <v>481</v>
      </c>
      <c r="C81" s="42" t="str">
        <f t="shared" si="1"/>
        <v>Earthquake</v>
      </c>
      <c r="D81" s="29" t="s">
        <v>114</v>
      </c>
      <c r="E81" s="30" t="str">
        <f>'Risk Master'!C81&amp;"-"&amp;'Risk Master'!D81</f>
        <v>Earthquake-Germany</v>
      </c>
      <c r="F81" s="29" t="s">
        <v>96</v>
      </c>
      <c r="G81" s="43">
        <f>VLOOKUP($F81,'Asset Master'!$A:$J,6,FALSE)*-1</f>
        <v>-300000</v>
      </c>
      <c r="H81" s="43">
        <f>VLOOKUP($F81,'Asset Master'!$A:$J,7,FALSE)*-1</f>
        <v>-240000</v>
      </c>
      <c r="I81" s="43">
        <f>VLOOKUP($F81,'Asset Master'!$A:$J,8,FALSE)*-1</f>
        <v>-180000</v>
      </c>
      <c r="J81" s="43">
        <f>VLOOKUP($F81,'Asset Master'!$A:$J,9,FALSE)*-1</f>
        <v>-120000</v>
      </c>
      <c r="K81" s="43">
        <f>VLOOKUP($F81,'Asset Master'!$A:$J,10,FALSE)*-1</f>
        <v>-60000</v>
      </c>
      <c r="L81" s="55">
        <f>VLOOKUP(E81,'Probabilty Distribution'!A:B,2,FALSE)</f>
        <v>0.1</v>
      </c>
      <c r="M81" s="29" t="s">
        <v>380</v>
      </c>
      <c r="N81" s="44">
        <f>VLOOKUP($F81,'Asset Master'!$A:$J,6,FALSE)*0.1</f>
        <v>30000</v>
      </c>
    </row>
    <row r="82" spans="1:14" x14ac:dyDescent="0.25">
      <c r="A82" s="29" t="s">
        <v>186</v>
      </c>
      <c r="B82" s="41" t="s">
        <v>482</v>
      </c>
      <c r="C82" s="42" t="str">
        <f t="shared" si="1"/>
        <v>Fire</v>
      </c>
      <c r="D82" s="29" t="s">
        <v>114</v>
      </c>
      <c r="E82" s="30" t="str">
        <f>'Risk Master'!C82&amp;"-"&amp;'Risk Master'!D82</f>
        <v>Fire-Germany</v>
      </c>
      <c r="F82" s="29" t="s">
        <v>96</v>
      </c>
      <c r="G82" s="43">
        <f>VLOOKUP($F82,'Asset Master'!$A:$J,6,FALSE)*-1</f>
        <v>-300000</v>
      </c>
      <c r="H82" s="43">
        <f>VLOOKUP($F82,'Asset Master'!$A:$J,7,FALSE)*-1</f>
        <v>-240000</v>
      </c>
      <c r="I82" s="43">
        <f>VLOOKUP($F82,'Asset Master'!$A:$J,8,FALSE)*-1</f>
        <v>-180000</v>
      </c>
      <c r="J82" s="43">
        <f>VLOOKUP($F82,'Asset Master'!$A:$J,9,FALSE)*-1</f>
        <v>-120000</v>
      </c>
      <c r="K82" s="43">
        <f>VLOOKUP($F82,'Asset Master'!$A:$J,10,FALSE)*-1</f>
        <v>-60000</v>
      </c>
      <c r="L82" s="55">
        <f>VLOOKUP(E82,'Probabilty Distribution'!A:B,2,FALSE)</f>
        <v>0.25</v>
      </c>
      <c r="M82" s="29" t="s">
        <v>381</v>
      </c>
      <c r="N82" s="44">
        <f>VLOOKUP($F82,'Asset Master'!$A:$J,6,FALSE)*0.1</f>
        <v>30000</v>
      </c>
    </row>
    <row r="83" spans="1:14" x14ac:dyDescent="0.25">
      <c r="A83" s="29" t="s">
        <v>187</v>
      </c>
      <c r="B83" s="41" t="s">
        <v>484</v>
      </c>
      <c r="C83" s="42" t="str">
        <f t="shared" si="1"/>
        <v>Thunderstorms, Tornados &amp; Hail</v>
      </c>
      <c r="D83" s="29" t="s">
        <v>114</v>
      </c>
      <c r="E83" s="30" t="str">
        <f>'Risk Master'!C83&amp;"-"&amp;'Risk Master'!D83</f>
        <v>Thunderstorms, Tornados &amp; Hail-Germany</v>
      </c>
      <c r="F83" s="29" t="s">
        <v>96</v>
      </c>
      <c r="G83" s="43">
        <f>VLOOKUP($F83,'Asset Master'!$A:$J,6,FALSE)*-1</f>
        <v>-300000</v>
      </c>
      <c r="H83" s="43">
        <f>VLOOKUP($F83,'Asset Master'!$A:$J,7,FALSE)*-1</f>
        <v>-240000</v>
      </c>
      <c r="I83" s="43">
        <f>VLOOKUP($F83,'Asset Master'!$A:$J,8,FALSE)*-1</f>
        <v>-180000</v>
      </c>
      <c r="J83" s="43">
        <f>VLOOKUP($F83,'Asset Master'!$A:$J,9,FALSE)*-1</f>
        <v>-120000</v>
      </c>
      <c r="K83" s="43">
        <f>VLOOKUP($F83,'Asset Master'!$A:$J,10,FALSE)*-1</f>
        <v>-60000</v>
      </c>
      <c r="L83" s="55">
        <f>VLOOKUP(E83,'Probabilty Distribution'!A:B,2,FALSE)</f>
        <v>0.3</v>
      </c>
      <c r="M83" s="29" t="s">
        <v>382</v>
      </c>
      <c r="N83" s="44">
        <f>VLOOKUP($F83,'Asset Master'!$A:$J,6,FALSE)*0.1</f>
        <v>30000</v>
      </c>
    </row>
    <row r="84" spans="1:14" x14ac:dyDescent="0.25">
      <c r="A84" s="29" t="s">
        <v>188</v>
      </c>
      <c r="B84" s="41" t="s">
        <v>848</v>
      </c>
      <c r="C84" s="42" t="str">
        <f t="shared" si="1"/>
        <v xml:space="preserve">Hurricane-Typhoon </v>
      </c>
      <c r="D84" s="29" t="s">
        <v>114</v>
      </c>
      <c r="E84" s="30" t="str">
        <f>'Risk Master'!C84&amp;"-"&amp;'Risk Master'!D84</f>
        <v>Hurricane-Typhoon -Germany</v>
      </c>
      <c r="F84" s="29" t="s">
        <v>98</v>
      </c>
      <c r="G84" s="43">
        <f>VLOOKUP($F84,'Asset Master'!$A:$J,6,FALSE)*-1</f>
        <v>-300000</v>
      </c>
      <c r="H84" s="43">
        <f>VLOOKUP($F84,'Asset Master'!$A:$J,7,FALSE)*-1</f>
        <v>-240000</v>
      </c>
      <c r="I84" s="43">
        <f>VLOOKUP($F84,'Asset Master'!$A:$J,8,FALSE)*-1</f>
        <v>-180000</v>
      </c>
      <c r="J84" s="43">
        <f>VLOOKUP($F84,'Asset Master'!$A:$J,9,FALSE)*-1</f>
        <v>-120000</v>
      </c>
      <c r="K84" s="43">
        <f>VLOOKUP($F84,'Asset Master'!$A:$J,10,FALSE)*-1</f>
        <v>-60000</v>
      </c>
      <c r="L84" s="55">
        <f>VLOOKUP(E84,'Probabilty Distribution'!A:B,2,FALSE)</f>
        <v>0.15</v>
      </c>
      <c r="M84" s="29" t="s">
        <v>383</v>
      </c>
      <c r="N84" s="44">
        <f>VLOOKUP($F84,'Asset Master'!$A:$J,6,FALSE)*0.1</f>
        <v>30000</v>
      </c>
    </row>
    <row r="85" spans="1:14" x14ac:dyDescent="0.25">
      <c r="A85" s="29" t="s">
        <v>189</v>
      </c>
      <c r="B85" s="41" t="s">
        <v>481</v>
      </c>
      <c r="C85" s="42" t="str">
        <f t="shared" si="1"/>
        <v>Earthquake</v>
      </c>
      <c r="D85" s="29" t="s">
        <v>114</v>
      </c>
      <c r="E85" s="30" t="str">
        <f>'Risk Master'!C85&amp;"-"&amp;'Risk Master'!D85</f>
        <v>Earthquake-Germany</v>
      </c>
      <c r="F85" s="29" t="s">
        <v>98</v>
      </c>
      <c r="G85" s="43">
        <f>VLOOKUP($F85,'Asset Master'!$A:$J,6,FALSE)*-1</f>
        <v>-300000</v>
      </c>
      <c r="H85" s="43">
        <f>VLOOKUP($F85,'Asset Master'!$A:$J,7,FALSE)*-1</f>
        <v>-240000</v>
      </c>
      <c r="I85" s="43">
        <f>VLOOKUP($F85,'Asset Master'!$A:$J,8,FALSE)*-1</f>
        <v>-180000</v>
      </c>
      <c r="J85" s="43">
        <f>VLOOKUP($F85,'Asset Master'!$A:$J,9,FALSE)*-1</f>
        <v>-120000</v>
      </c>
      <c r="K85" s="43">
        <f>VLOOKUP($F85,'Asset Master'!$A:$J,10,FALSE)*-1</f>
        <v>-60000</v>
      </c>
      <c r="L85" s="55">
        <f>VLOOKUP(E85,'Probabilty Distribution'!A:B,2,FALSE)</f>
        <v>0.1</v>
      </c>
      <c r="M85" s="29" t="s">
        <v>384</v>
      </c>
      <c r="N85" s="44">
        <f>VLOOKUP($F85,'Asset Master'!$A:$J,6,FALSE)*0.1</f>
        <v>30000</v>
      </c>
    </row>
    <row r="86" spans="1:14" x14ac:dyDescent="0.25">
      <c r="A86" s="29" t="s">
        <v>190</v>
      </c>
      <c r="B86" s="41" t="s">
        <v>482</v>
      </c>
      <c r="C86" s="42" t="str">
        <f t="shared" si="1"/>
        <v>Fire</v>
      </c>
      <c r="D86" s="29" t="s">
        <v>114</v>
      </c>
      <c r="E86" s="30" t="str">
        <f>'Risk Master'!C86&amp;"-"&amp;'Risk Master'!D86</f>
        <v>Fire-Germany</v>
      </c>
      <c r="F86" s="29" t="s">
        <v>98</v>
      </c>
      <c r="G86" s="43">
        <f>VLOOKUP($F86,'Asset Master'!$A:$J,6,FALSE)*-1</f>
        <v>-300000</v>
      </c>
      <c r="H86" s="43">
        <f>VLOOKUP($F86,'Asset Master'!$A:$J,7,FALSE)*-1</f>
        <v>-240000</v>
      </c>
      <c r="I86" s="43">
        <f>VLOOKUP($F86,'Asset Master'!$A:$J,8,FALSE)*-1</f>
        <v>-180000</v>
      </c>
      <c r="J86" s="43">
        <f>VLOOKUP($F86,'Asset Master'!$A:$J,9,FALSE)*-1</f>
        <v>-120000</v>
      </c>
      <c r="K86" s="43">
        <f>VLOOKUP($F86,'Asset Master'!$A:$J,10,FALSE)*-1</f>
        <v>-60000</v>
      </c>
      <c r="L86" s="55">
        <f>VLOOKUP(E86,'Probabilty Distribution'!A:B,2,FALSE)</f>
        <v>0.25</v>
      </c>
      <c r="M86" s="29" t="s">
        <v>385</v>
      </c>
      <c r="N86" s="44">
        <f>VLOOKUP($F86,'Asset Master'!$A:$J,6,FALSE)*0.1</f>
        <v>30000</v>
      </c>
    </row>
    <row r="87" spans="1:14" x14ac:dyDescent="0.25">
      <c r="A87" s="29" t="s">
        <v>191</v>
      </c>
      <c r="B87" s="41" t="s">
        <v>484</v>
      </c>
      <c r="C87" s="42" t="str">
        <f t="shared" si="1"/>
        <v>Thunderstorms, Tornados &amp; Hail</v>
      </c>
      <c r="D87" s="29" t="s">
        <v>114</v>
      </c>
      <c r="E87" s="30" t="str">
        <f>'Risk Master'!C87&amp;"-"&amp;'Risk Master'!D87</f>
        <v>Thunderstorms, Tornados &amp; Hail-Germany</v>
      </c>
      <c r="F87" s="29" t="s">
        <v>98</v>
      </c>
      <c r="G87" s="43">
        <f>VLOOKUP($F87,'Asset Master'!$A:$J,6,FALSE)*-1</f>
        <v>-300000</v>
      </c>
      <c r="H87" s="43">
        <f>VLOOKUP($F87,'Asset Master'!$A:$J,7,FALSE)*-1</f>
        <v>-240000</v>
      </c>
      <c r="I87" s="43">
        <f>VLOOKUP($F87,'Asset Master'!$A:$J,8,FALSE)*-1</f>
        <v>-180000</v>
      </c>
      <c r="J87" s="43">
        <f>VLOOKUP($F87,'Asset Master'!$A:$J,9,FALSE)*-1</f>
        <v>-120000</v>
      </c>
      <c r="K87" s="43">
        <f>VLOOKUP($F87,'Asset Master'!$A:$J,10,FALSE)*-1</f>
        <v>-60000</v>
      </c>
      <c r="L87" s="55">
        <f>VLOOKUP(E87,'Probabilty Distribution'!A:B,2,FALSE)</f>
        <v>0.3</v>
      </c>
      <c r="M87" s="29" t="s">
        <v>386</v>
      </c>
      <c r="N87" s="44">
        <f>VLOOKUP($F87,'Asset Master'!$A:$J,6,FALSE)*0.1</f>
        <v>30000</v>
      </c>
    </row>
    <row r="88" spans="1:14" x14ac:dyDescent="0.25">
      <c r="A88" s="29" t="s">
        <v>192</v>
      </c>
      <c r="B88" s="41" t="s">
        <v>848</v>
      </c>
      <c r="C88" s="42" t="str">
        <f t="shared" si="1"/>
        <v xml:space="preserve">Hurricane-Typhoon </v>
      </c>
      <c r="D88" s="29" t="s">
        <v>114</v>
      </c>
      <c r="E88" s="30" t="str">
        <f>'Risk Master'!C88&amp;"-"&amp;'Risk Master'!D88</f>
        <v>Hurricane-Typhoon -Germany</v>
      </c>
      <c r="F88" s="29" t="s">
        <v>101</v>
      </c>
      <c r="G88" s="43">
        <f>VLOOKUP($F88,'Asset Master'!$A:$J,6,FALSE)*-1</f>
        <v>-400000</v>
      </c>
      <c r="H88" s="43">
        <f>VLOOKUP($F88,'Asset Master'!$A:$J,7,FALSE)*-1</f>
        <v>-320000</v>
      </c>
      <c r="I88" s="43">
        <f>VLOOKUP($F88,'Asset Master'!$A:$J,8,FALSE)*-1</f>
        <v>-240000</v>
      </c>
      <c r="J88" s="43">
        <f>VLOOKUP($F88,'Asset Master'!$A:$J,9,FALSE)*-1</f>
        <v>-160000</v>
      </c>
      <c r="K88" s="43">
        <f>VLOOKUP($F88,'Asset Master'!$A:$J,10,FALSE)*-1</f>
        <v>-80000</v>
      </c>
      <c r="L88" s="55">
        <f>VLOOKUP(E88,'Probabilty Distribution'!A:B,2,FALSE)</f>
        <v>0.15</v>
      </c>
      <c r="M88" s="29" t="s">
        <v>387</v>
      </c>
      <c r="N88" s="44">
        <f>VLOOKUP($F88,'Asset Master'!$A:$J,6,FALSE)*0.1</f>
        <v>40000</v>
      </c>
    </row>
    <row r="89" spans="1:14" x14ac:dyDescent="0.25">
      <c r="A89" s="29" t="s">
        <v>193</v>
      </c>
      <c r="B89" s="41" t="s">
        <v>481</v>
      </c>
      <c r="C89" s="42" t="str">
        <f t="shared" si="1"/>
        <v>Earthquake</v>
      </c>
      <c r="D89" s="29" t="s">
        <v>114</v>
      </c>
      <c r="E89" s="30" t="str">
        <f>'Risk Master'!C89&amp;"-"&amp;'Risk Master'!D89</f>
        <v>Earthquake-Germany</v>
      </c>
      <c r="F89" s="29" t="s">
        <v>101</v>
      </c>
      <c r="G89" s="43">
        <f>VLOOKUP($F89,'Asset Master'!$A:$J,6,FALSE)*-1</f>
        <v>-400000</v>
      </c>
      <c r="H89" s="43">
        <f>VLOOKUP($F89,'Asset Master'!$A:$J,7,FALSE)*-1</f>
        <v>-320000</v>
      </c>
      <c r="I89" s="43">
        <f>VLOOKUP($F89,'Asset Master'!$A:$J,8,FALSE)*-1</f>
        <v>-240000</v>
      </c>
      <c r="J89" s="43">
        <f>VLOOKUP($F89,'Asset Master'!$A:$J,9,FALSE)*-1</f>
        <v>-160000</v>
      </c>
      <c r="K89" s="43">
        <f>VLOOKUP($F89,'Asset Master'!$A:$J,10,FALSE)*-1</f>
        <v>-80000</v>
      </c>
      <c r="L89" s="55">
        <f>VLOOKUP(E89,'Probabilty Distribution'!A:B,2,FALSE)</f>
        <v>0.1</v>
      </c>
      <c r="M89" s="29" t="s">
        <v>388</v>
      </c>
      <c r="N89" s="44">
        <f>VLOOKUP($F89,'Asset Master'!$A:$J,6,FALSE)*0.1</f>
        <v>40000</v>
      </c>
    </row>
    <row r="90" spans="1:14" x14ac:dyDescent="0.25">
      <c r="A90" s="29" t="s">
        <v>194</v>
      </c>
      <c r="B90" s="41" t="s">
        <v>482</v>
      </c>
      <c r="C90" s="42" t="str">
        <f t="shared" si="1"/>
        <v>Fire</v>
      </c>
      <c r="D90" s="29" t="s">
        <v>114</v>
      </c>
      <c r="E90" s="30" t="str">
        <f>'Risk Master'!C90&amp;"-"&amp;'Risk Master'!D90</f>
        <v>Fire-Germany</v>
      </c>
      <c r="F90" s="29" t="s">
        <v>101</v>
      </c>
      <c r="G90" s="43">
        <f>VLOOKUP($F90,'Asset Master'!$A:$J,6,FALSE)*-1</f>
        <v>-400000</v>
      </c>
      <c r="H90" s="43">
        <f>VLOOKUP($F90,'Asset Master'!$A:$J,7,FALSE)*-1</f>
        <v>-320000</v>
      </c>
      <c r="I90" s="43">
        <f>VLOOKUP($F90,'Asset Master'!$A:$J,8,FALSE)*-1</f>
        <v>-240000</v>
      </c>
      <c r="J90" s="43">
        <f>VLOOKUP($F90,'Asset Master'!$A:$J,9,FALSE)*-1</f>
        <v>-160000</v>
      </c>
      <c r="K90" s="43">
        <f>VLOOKUP($F90,'Asset Master'!$A:$J,10,FALSE)*-1</f>
        <v>-80000</v>
      </c>
      <c r="L90" s="55">
        <f>VLOOKUP(E90,'Probabilty Distribution'!A:B,2,FALSE)</f>
        <v>0.25</v>
      </c>
      <c r="M90" s="29" t="s">
        <v>389</v>
      </c>
      <c r="N90" s="44">
        <f>VLOOKUP($F90,'Asset Master'!$A:$J,6,FALSE)*0.1</f>
        <v>40000</v>
      </c>
    </row>
    <row r="91" spans="1:14" x14ac:dyDescent="0.25">
      <c r="A91" s="29" t="s">
        <v>195</v>
      </c>
      <c r="B91" s="41" t="s">
        <v>484</v>
      </c>
      <c r="C91" s="42" t="str">
        <f t="shared" si="1"/>
        <v>Thunderstorms, Tornados &amp; Hail</v>
      </c>
      <c r="D91" s="29" t="s">
        <v>114</v>
      </c>
      <c r="E91" s="30" t="str">
        <f>'Risk Master'!C91&amp;"-"&amp;'Risk Master'!D91</f>
        <v>Thunderstorms, Tornados &amp; Hail-Germany</v>
      </c>
      <c r="F91" s="29" t="s">
        <v>101</v>
      </c>
      <c r="G91" s="43">
        <f>VLOOKUP($F91,'Asset Master'!$A:$J,6,FALSE)*-1</f>
        <v>-400000</v>
      </c>
      <c r="H91" s="43">
        <f>VLOOKUP($F91,'Asset Master'!$A:$J,7,FALSE)*-1</f>
        <v>-320000</v>
      </c>
      <c r="I91" s="43">
        <f>VLOOKUP($F91,'Asset Master'!$A:$J,8,FALSE)*-1</f>
        <v>-240000</v>
      </c>
      <c r="J91" s="43">
        <f>VLOOKUP($F91,'Asset Master'!$A:$J,9,FALSE)*-1</f>
        <v>-160000</v>
      </c>
      <c r="K91" s="43">
        <f>VLOOKUP($F91,'Asset Master'!$A:$J,10,FALSE)*-1</f>
        <v>-80000</v>
      </c>
      <c r="L91" s="55">
        <f>VLOOKUP(E91,'Probabilty Distribution'!A:B,2,FALSE)</f>
        <v>0.3</v>
      </c>
      <c r="M91" s="29" t="s">
        <v>390</v>
      </c>
      <c r="N91" s="44">
        <f>VLOOKUP($F91,'Asset Master'!$A:$J,6,FALSE)*0.1</f>
        <v>40000</v>
      </c>
    </row>
    <row r="92" spans="1:14" x14ac:dyDescent="0.25">
      <c r="A92" s="29" t="s">
        <v>196</v>
      </c>
      <c r="B92" s="41" t="s">
        <v>848</v>
      </c>
      <c r="C92" s="42" t="str">
        <f t="shared" si="1"/>
        <v xml:space="preserve">Hurricane-Typhoon </v>
      </c>
      <c r="D92" s="29" t="s">
        <v>114</v>
      </c>
      <c r="E92" s="30" t="str">
        <f>'Risk Master'!C92&amp;"-"&amp;'Risk Master'!D92</f>
        <v>Hurricane-Typhoon -Germany</v>
      </c>
      <c r="F92" s="29" t="s">
        <v>103</v>
      </c>
      <c r="G92" s="43">
        <f>VLOOKUP($F92,'Asset Master'!$A:$J,6,FALSE)*-1</f>
        <v>-200000</v>
      </c>
      <c r="H92" s="43">
        <f>VLOOKUP($F92,'Asset Master'!$A:$J,7,FALSE)*-1</f>
        <v>-150000</v>
      </c>
      <c r="I92" s="43">
        <f>VLOOKUP($F92,'Asset Master'!$A:$J,8,FALSE)*-1</f>
        <v>-100000</v>
      </c>
      <c r="J92" s="43">
        <f>VLOOKUP($F92,'Asset Master'!$A:$J,9,FALSE)*-1</f>
        <v>-50000</v>
      </c>
      <c r="K92" s="43">
        <f>VLOOKUP($F92,'Asset Master'!$A:$J,10,FALSE)*-1</f>
        <v>0</v>
      </c>
      <c r="L92" s="55">
        <f>VLOOKUP(E92,'Probabilty Distribution'!A:B,2,FALSE)</f>
        <v>0.15</v>
      </c>
      <c r="M92" s="29" t="s">
        <v>391</v>
      </c>
      <c r="N92" s="44">
        <f>VLOOKUP($F92,'Asset Master'!$A:$J,6,FALSE)*0.1</f>
        <v>20000</v>
      </c>
    </row>
    <row r="93" spans="1:14" x14ac:dyDescent="0.25">
      <c r="A93" s="29" t="s">
        <v>197</v>
      </c>
      <c r="B93" s="41" t="s">
        <v>481</v>
      </c>
      <c r="C93" s="42" t="str">
        <f t="shared" si="1"/>
        <v>Earthquake</v>
      </c>
      <c r="D93" s="29" t="s">
        <v>114</v>
      </c>
      <c r="E93" s="30" t="str">
        <f>'Risk Master'!C93&amp;"-"&amp;'Risk Master'!D93</f>
        <v>Earthquake-Germany</v>
      </c>
      <c r="F93" s="29" t="s">
        <v>103</v>
      </c>
      <c r="G93" s="43">
        <f>VLOOKUP($F93,'Asset Master'!$A:$J,6,FALSE)*-1</f>
        <v>-200000</v>
      </c>
      <c r="H93" s="43">
        <f>VLOOKUP($F93,'Asset Master'!$A:$J,7,FALSE)*-1</f>
        <v>-150000</v>
      </c>
      <c r="I93" s="43">
        <f>VLOOKUP($F93,'Asset Master'!$A:$J,8,FALSE)*-1</f>
        <v>-100000</v>
      </c>
      <c r="J93" s="43">
        <f>VLOOKUP($F93,'Asset Master'!$A:$J,9,FALSE)*-1</f>
        <v>-50000</v>
      </c>
      <c r="K93" s="43">
        <f>VLOOKUP($F93,'Asset Master'!$A:$J,10,FALSE)*-1</f>
        <v>0</v>
      </c>
      <c r="L93" s="55">
        <f>VLOOKUP(E93,'Probabilty Distribution'!A:B,2,FALSE)</f>
        <v>0.1</v>
      </c>
      <c r="M93" s="29" t="s">
        <v>392</v>
      </c>
      <c r="N93" s="44">
        <f>VLOOKUP($F93,'Asset Master'!$A:$J,6,FALSE)*0.1</f>
        <v>20000</v>
      </c>
    </row>
    <row r="94" spans="1:14" x14ac:dyDescent="0.25">
      <c r="A94" s="29" t="s">
        <v>198</v>
      </c>
      <c r="B94" s="41" t="s">
        <v>482</v>
      </c>
      <c r="C94" s="42" t="str">
        <f t="shared" si="1"/>
        <v>Fire</v>
      </c>
      <c r="D94" s="29" t="s">
        <v>114</v>
      </c>
      <c r="E94" s="30" t="str">
        <f>'Risk Master'!C94&amp;"-"&amp;'Risk Master'!D94</f>
        <v>Fire-Germany</v>
      </c>
      <c r="F94" s="29" t="s">
        <v>103</v>
      </c>
      <c r="G94" s="43">
        <f>VLOOKUP($F94,'Asset Master'!$A:$J,6,FALSE)*-1</f>
        <v>-200000</v>
      </c>
      <c r="H94" s="43">
        <f>VLOOKUP($F94,'Asset Master'!$A:$J,7,FALSE)*-1</f>
        <v>-150000</v>
      </c>
      <c r="I94" s="43">
        <f>VLOOKUP($F94,'Asset Master'!$A:$J,8,FALSE)*-1</f>
        <v>-100000</v>
      </c>
      <c r="J94" s="43">
        <f>VLOOKUP($F94,'Asset Master'!$A:$J,9,FALSE)*-1</f>
        <v>-50000</v>
      </c>
      <c r="K94" s="43">
        <f>VLOOKUP($F94,'Asset Master'!$A:$J,10,FALSE)*-1</f>
        <v>0</v>
      </c>
      <c r="L94" s="55">
        <f>VLOOKUP(E94,'Probabilty Distribution'!A:B,2,FALSE)</f>
        <v>0.25</v>
      </c>
      <c r="M94" s="29" t="s">
        <v>393</v>
      </c>
      <c r="N94" s="44">
        <f>VLOOKUP($F94,'Asset Master'!$A:$J,6,FALSE)*0.1</f>
        <v>20000</v>
      </c>
    </row>
    <row r="95" spans="1:14" x14ac:dyDescent="0.25">
      <c r="A95" s="29" t="s">
        <v>199</v>
      </c>
      <c r="B95" s="41" t="s">
        <v>484</v>
      </c>
      <c r="C95" s="42" t="str">
        <f t="shared" si="1"/>
        <v>Thunderstorms, Tornados &amp; Hail</v>
      </c>
      <c r="D95" s="29" t="s">
        <v>114</v>
      </c>
      <c r="E95" s="30" t="str">
        <f>'Risk Master'!C95&amp;"-"&amp;'Risk Master'!D95</f>
        <v>Thunderstorms, Tornados &amp; Hail-Germany</v>
      </c>
      <c r="F95" s="29" t="s">
        <v>103</v>
      </c>
      <c r="G95" s="43">
        <f>VLOOKUP($F95,'Asset Master'!$A:$J,6,FALSE)*-1</f>
        <v>-200000</v>
      </c>
      <c r="H95" s="43">
        <f>VLOOKUP($F95,'Asset Master'!$A:$J,7,FALSE)*-1</f>
        <v>-150000</v>
      </c>
      <c r="I95" s="43">
        <f>VLOOKUP($F95,'Asset Master'!$A:$J,8,FALSE)*-1</f>
        <v>-100000</v>
      </c>
      <c r="J95" s="43">
        <f>VLOOKUP($F95,'Asset Master'!$A:$J,9,FALSE)*-1</f>
        <v>-50000</v>
      </c>
      <c r="K95" s="43">
        <f>VLOOKUP($F95,'Asset Master'!$A:$J,10,FALSE)*-1</f>
        <v>0</v>
      </c>
      <c r="L95" s="55">
        <f>VLOOKUP(E95,'Probabilty Distribution'!A:B,2,FALSE)</f>
        <v>0.3</v>
      </c>
      <c r="M95" s="29" t="s">
        <v>394</v>
      </c>
      <c r="N95" s="44">
        <f>VLOOKUP($F95,'Asset Master'!$A:$J,6,FALSE)*0.1</f>
        <v>20000</v>
      </c>
    </row>
    <row r="96" spans="1:14" ht="25.5" x14ac:dyDescent="0.25">
      <c r="A96" s="29" t="s">
        <v>200</v>
      </c>
      <c r="B96" s="41" t="s">
        <v>697</v>
      </c>
      <c r="C96" s="42" t="s">
        <v>848</v>
      </c>
      <c r="D96" s="29" t="s">
        <v>115</v>
      </c>
      <c r="E96" s="30" t="str">
        <f>'Risk Master'!C96&amp;"-"&amp;'Risk Master'!D96</f>
        <v>Hurricane-Typhoon -Manila</v>
      </c>
      <c r="F96" s="29" t="s">
        <v>107</v>
      </c>
      <c r="G96" s="43">
        <f>VLOOKUP($F96,'Asset Master'!$A:$J,6,FALSE)*-1</f>
        <v>-400000</v>
      </c>
      <c r="H96" s="43">
        <f>VLOOKUP($F96,'Asset Master'!$A:$J,7,FALSE)*-1</f>
        <v>-360000</v>
      </c>
      <c r="I96" s="43">
        <f>VLOOKUP($F96,'Asset Master'!$A:$J,8,FALSE)*-1</f>
        <v>-320000</v>
      </c>
      <c r="J96" s="43">
        <f>VLOOKUP($F96,'Asset Master'!$A:$J,9,FALSE)*-1</f>
        <v>-280000</v>
      </c>
      <c r="K96" s="43">
        <f>VLOOKUP($F96,'Asset Master'!$A:$J,10,FALSE)*-1</f>
        <v>-240000</v>
      </c>
      <c r="L96" s="55">
        <f>VLOOKUP(E96,'Probabilty Distribution'!A:B,2,FALSE)</f>
        <v>0.2</v>
      </c>
      <c r="M96" s="29" t="s">
        <v>395</v>
      </c>
      <c r="N96" s="44">
        <f>VLOOKUP($F96,'Asset Master'!$A:$J,6,FALSE)*0.1</f>
        <v>40000</v>
      </c>
    </row>
    <row r="97" spans="1:14" x14ac:dyDescent="0.25">
      <c r="A97" s="29" t="s">
        <v>201</v>
      </c>
      <c r="B97" s="41" t="s">
        <v>481</v>
      </c>
      <c r="C97" s="42" t="str">
        <f t="shared" si="1"/>
        <v>Earthquake</v>
      </c>
      <c r="D97" s="29" t="s">
        <v>115</v>
      </c>
      <c r="E97" s="30" t="str">
        <f>'Risk Master'!C97&amp;"-"&amp;'Risk Master'!D97</f>
        <v>Earthquake-Manila</v>
      </c>
      <c r="F97" s="29" t="s">
        <v>107</v>
      </c>
      <c r="G97" s="43">
        <f>VLOOKUP($F97,'Asset Master'!$A:$J,6,FALSE)*-1</f>
        <v>-400000</v>
      </c>
      <c r="H97" s="43">
        <f>VLOOKUP($F97,'Asset Master'!$A:$J,7,FALSE)*-1</f>
        <v>-360000</v>
      </c>
      <c r="I97" s="43">
        <f>VLOOKUP($F97,'Asset Master'!$A:$J,8,FALSE)*-1</f>
        <v>-320000</v>
      </c>
      <c r="J97" s="43">
        <f>VLOOKUP($F97,'Asset Master'!$A:$J,9,FALSE)*-1</f>
        <v>-280000</v>
      </c>
      <c r="K97" s="43">
        <f>VLOOKUP($F97,'Asset Master'!$A:$J,10,FALSE)*-1</f>
        <v>-240000</v>
      </c>
      <c r="L97" s="55">
        <f>VLOOKUP(E97,'Probabilty Distribution'!A:B,2,FALSE)</f>
        <v>0.1</v>
      </c>
      <c r="M97" s="29" t="s">
        <v>396</v>
      </c>
      <c r="N97" s="44">
        <f>VLOOKUP($F97,'Asset Master'!$A:$J,6,FALSE)*0.1</f>
        <v>40000</v>
      </c>
    </row>
    <row r="98" spans="1:14" x14ac:dyDescent="0.25">
      <c r="A98" s="29" t="s">
        <v>202</v>
      </c>
      <c r="B98" s="41" t="s">
        <v>482</v>
      </c>
      <c r="C98" s="42" t="str">
        <f t="shared" si="1"/>
        <v>Fire</v>
      </c>
      <c r="D98" s="29" t="s">
        <v>115</v>
      </c>
      <c r="E98" s="30" t="str">
        <f>'Risk Master'!C98&amp;"-"&amp;'Risk Master'!D98</f>
        <v>Fire-Manila</v>
      </c>
      <c r="F98" s="29" t="s">
        <v>107</v>
      </c>
      <c r="G98" s="43">
        <f>VLOOKUP($F98,'Asset Master'!$A:$J,6,FALSE)*-1</f>
        <v>-400000</v>
      </c>
      <c r="H98" s="43">
        <f>VLOOKUP($F98,'Asset Master'!$A:$J,7,FALSE)*-1</f>
        <v>-360000</v>
      </c>
      <c r="I98" s="43">
        <f>VLOOKUP($F98,'Asset Master'!$A:$J,8,FALSE)*-1</f>
        <v>-320000</v>
      </c>
      <c r="J98" s="43">
        <f>VLOOKUP($F98,'Asset Master'!$A:$J,9,FALSE)*-1</f>
        <v>-280000</v>
      </c>
      <c r="K98" s="43">
        <f>VLOOKUP($F98,'Asset Master'!$A:$J,10,FALSE)*-1</f>
        <v>-240000</v>
      </c>
      <c r="L98" s="55">
        <f>VLOOKUP(E98,'Probabilty Distribution'!A:B,2,FALSE)</f>
        <v>0.4</v>
      </c>
      <c r="M98" s="29" t="s">
        <v>397</v>
      </c>
      <c r="N98" s="44">
        <f>VLOOKUP($F98,'Asset Master'!$A:$J,6,FALSE)*0.1</f>
        <v>40000</v>
      </c>
    </row>
    <row r="99" spans="1:14" x14ac:dyDescent="0.25">
      <c r="A99" s="29" t="s">
        <v>203</v>
      </c>
      <c r="B99" s="41" t="s">
        <v>481</v>
      </c>
      <c r="C99" s="42" t="str">
        <f t="shared" si="1"/>
        <v>Earthquake</v>
      </c>
      <c r="D99" s="29" t="s">
        <v>115</v>
      </c>
      <c r="E99" s="30" t="str">
        <f>'Risk Master'!C99&amp;"-"&amp;'Risk Master'!D99</f>
        <v>Earthquake-Manila</v>
      </c>
      <c r="F99" s="29" t="s">
        <v>106</v>
      </c>
      <c r="G99" s="43">
        <f>VLOOKUP($F99,'Asset Master'!$A:$J,6,FALSE)*-1</f>
        <v>-400000</v>
      </c>
      <c r="H99" s="43">
        <f>VLOOKUP($F99,'Asset Master'!$A:$J,7,FALSE)*-1</f>
        <v>-360000</v>
      </c>
      <c r="I99" s="43">
        <f>VLOOKUP($F99,'Asset Master'!$A:$J,8,FALSE)*-1</f>
        <v>-320000</v>
      </c>
      <c r="J99" s="43">
        <f>VLOOKUP($F99,'Asset Master'!$A:$J,9,FALSE)*-1</f>
        <v>-280000</v>
      </c>
      <c r="K99" s="43">
        <f>VLOOKUP($F99,'Asset Master'!$A:$J,10,FALSE)*-1</f>
        <v>-240000</v>
      </c>
      <c r="L99" s="55">
        <f>VLOOKUP(E99,'Probabilty Distribution'!A:B,2,FALSE)</f>
        <v>0.1</v>
      </c>
      <c r="M99" s="29" t="s">
        <v>398</v>
      </c>
      <c r="N99" s="44">
        <f>VLOOKUP($F99,'Asset Master'!$A:$J,6,FALSE)*0.1</f>
        <v>40000</v>
      </c>
    </row>
    <row r="100" spans="1:14" x14ac:dyDescent="0.25">
      <c r="A100" s="29" t="s">
        <v>204</v>
      </c>
      <c r="B100" s="41" t="s">
        <v>482</v>
      </c>
      <c r="C100" s="42" t="str">
        <f t="shared" si="1"/>
        <v>Fire</v>
      </c>
      <c r="D100" s="29" t="s">
        <v>115</v>
      </c>
      <c r="E100" s="30" t="str">
        <f>'Risk Master'!C100&amp;"-"&amp;'Risk Master'!D100</f>
        <v>Fire-Manila</v>
      </c>
      <c r="F100" s="29" t="s">
        <v>106</v>
      </c>
      <c r="G100" s="43">
        <f>VLOOKUP($F100,'Asset Master'!$A:$J,6,FALSE)*-1</f>
        <v>-400000</v>
      </c>
      <c r="H100" s="43">
        <f>VLOOKUP($F100,'Asset Master'!$A:$J,7,FALSE)*-1</f>
        <v>-360000</v>
      </c>
      <c r="I100" s="43">
        <f>VLOOKUP($F100,'Asset Master'!$A:$J,8,FALSE)*-1</f>
        <v>-320000</v>
      </c>
      <c r="J100" s="43">
        <f>VLOOKUP($F100,'Asset Master'!$A:$J,9,FALSE)*-1</f>
        <v>-280000</v>
      </c>
      <c r="K100" s="43">
        <f>VLOOKUP($F100,'Asset Master'!$A:$J,10,FALSE)*-1</f>
        <v>-240000</v>
      </c>
      <c r="L100" s="55">
        <f>VLOOKUP(E100,'Probabilty Distribution'!A:B,2,FALSE)</f>
        <v>0.4</v>
      </c>
      <c r="M100" s="29" t="s">
        <v>399</v>
      </c>
      <c r="N100" s="44">
        <f>VLOOKUP($F100,'Asset Master'!$A:$J,6,FALSE)*0.1</f>
        <v>40000</v>
      </c>
    </row>
    <row r="101" spans="1:14" x14ac:dyDescent="0.25">
      <c r="A101" s="29" t="s">
        <v>300</v>
      </c>
      <c r="B101" s="41" t="s">
        <v>698</v>
      </c>
      <c r="C101" s="42" t="s">
        <v>848</v>
      </c>
      <c r="D101" s="29" t="s">
        <v>115</v>
      </c>
      <c r="E101" s="30" t="str">
        <f>'Risk Master'!C101&amp;"-"&amp;'Risk Master'!D101</f>
        <v>Hurricane-Typhoon -Manila</v>
      </c>
      <c r="F101" s="29" t="s">
        <v>109</v>
      </c>
      <c r="G101" s="43">
        <f>VLOOKUP($F101,'Asset Master'!$A:$J,6,FALSE)*-1</f>
        <v>-300000</v>
      </c>
      <c r="H101" s="43">
        <f>VLOOKUP($F101,'Asset Master'!$A:$J,7,FALSE)*-1</f>
        <v>-240000</v>
      </c>
      <c r="I101" s="43">
        <f>VLOOKUP($F101,'Asset Master'!$A:$J,8,FALSE)*-1</f>
        <v>-180000</v>
      </c>
      <c r="J101" s="43">
        <f>VLOOKUP($F101,'Asset Master'!$A:$J,9,FALSE)*-1</f>
        <v>-120000</v>
      </c>
      <c r="K101" s="43">
        <f>VLOOKUP($F101,'Asset Master'!$A:$J,10,FALSE)*-1</f>
        <v>-60000</v>
      </c>
      <c r="L101" s="55">
        <f>VLOOKUP(E101,'Probabilty Distribution'!A:B,2,FALSE)</f>
        <v>0.2</v>
      </c>
      <c r="M101" s="29" t="s">
        <v>400</v>
      </c>
      <c r="N101" s="44">
        <f>VLOOKUP($F101,'Asset Master'!$A:$J,6,FALSE)*0.1</f>
        <v>30000</v>
      </c>
    </row>
    <row r="102" spans="1:14" x14ac:dyDescent="0.25">
      <c r="A102" s="29" t="s">
        <v>403</v>
      </c>
      <c r="B102" s="41" t="s">
        <v>481</v>
      </c>
      <c r="C102" s="42" t="str">
        <f t="shared" si="1"/>
        <v>Earthquake</v>
      </c>
      <c r="D102" s="29" t="s">
        <v>115</v>
      </c>
      <c r="E102" s="30" t="str">
        <f>'Risk Master'!C102&amp;"-"&amp;'Risk Master'!D102</f>
        <v>Earthquake-Manila</v>
      </c>
      <c r="F102" s="29" t="s">
        <v>111</v>
      </c>
      <c r="G102" s="43">
        <f>VLOOKUP($F102,'Asset Master'!$A:$J,6,FALSE)*-1</f>
        <v>-500000</v>
      </c>
      <c r="H102" s="43">
        <f>VLOOKUP($F102,'Asset Master'!$A:$J,7,FALSE)*-1</f>
        <v>-400000</v>
      </c>
      <c r="I102" s="43">
        <f>VLOOKUP($F102,'Asset Master'!$A:$J,8,FALSE)*-1</f>
        <v>-300000</v>
      </c>
      <c r="J102" s="43">
        <f>VLOOKUP($F102,'Asset Master'!$A:$J,9,FALSE)*-1</f>
        <v>-200000</v>
      </c>
      <c r="K102" s="43">
        <f>VLOOKUP($F102,'Asset Master'!$A:$J,10,FALSE)*-1</f>
        <v>-100000</v>
      </c>
      <c r="L102" s="55">
        <f>VLOOKUP(E102,'Probabilty Distribution'!A:B,2,FALSE)</f>
        <v>0.1</v>
      </c>
      <c r="M102" s="29" t="s">
        <v>404</v>
      </c>
      <c r="N102" s="44">
        <f>VLOOKUP($F102,'Asset Master'!$A:$J,6,FALSE)*0.1</f>
        <v>50000</v>
      </c>
    </row>
    <row r="103" spans="1:14" x14ac:dyDescent="0.25">
      <c r="A103" s="29" t="s">
        <v>405</v>
      </c>
      <c r="B103" s="41" t="s">
        <v>482</v>
      </c>
      <c r="C103" s="42" t="str">
        <f t="shared" si="1"/>
        <v>Fire</v>
      </c>
      <c r="D103" s="29" t="s">
        <v>115</v>
      </c>
      <c r="E103" s="30" t="str">
        <f>'Risk Master'!C103&amp;"-"&amp;'Risk Master'!D103</f>
        <v>Fire-Manila</v>
      </c>
      <c r="F103" s="29" t="s">
        <v>113</v>
      </c>
      <c r="G103" s="43">
        <f>VLOOKUP($F103,'Asset Master'!$A:$J,6,FALSE)*-1</f>
        <v>-300000</v>
      </c>
      <c r="H103" s="43">
        <f>VLOOKUP($F103,'Asset Master'!$A:$J,7,FALSE)*-1</f>
        <v>-240000</v>
      </c>
      <c r="I103" s="43">
        <f>VLOOKUP($F103,'Asset Master'!$A:$J,8,FALSE)*-1</f>
        <v>-180000</v>
      </c>
      <c r="J103" s="43">
        <f>VLOOKUP($F103,'Asset Master'!$A:$J,9,FALSE)*-1</f>
        <v>-120000</v>
      </c>
      <c r="K103" s="43">
        <f>VLOOKUP($F103,'Asset Master'!$A:$J,10,FALSE)*-1</f>
        <v>-60000</v>
      </c>
      <c r="L103" s="55">
        <f>VLOOKUP(E103,'Probabilty Distribution'!A:B,2,FALSE)</f>
        <v>0.4</v>
      </c>
      <c r="M103" s="29" t="s">
        <v>406</v>
      </c>
      <c r="N103" s="44">
        <f>VLOOKUP($F103,'Asset Master'!$A:$J,6,FALSE)*0.1</f>
        <v>30000</v>
      </c>
    </row>
    <row r="104" spans="1:14" x14ac:dyDescent="0.25">
      <c r="A104" s="29" t="s">
        <v>407</v>
      </c>
      <c r="B104" s="41" t="s">
        <v>772</v>
      </c>
      <c r="C104" s="42" t="s">
        <v>848</v>
      </c>
      <c r="D104" s="29" t="s">
        <v>115</v>
      </c>
      <c r="E104" s="30" t="str">
        <f>'Risk Master'!C104&amp;"-"&amp;'Risk Master'!D104</f>
        <v>Hurricane-Typhoon -Manila</v>
      </c>
      <c r="F104" s="29" t="s">
        <v>207</v>
      </c>
      <c r="G104" s="43">
        <f>VLOOKUP($F104,'Asset Master'!$A:$J,6,FALSE)*-1</f>
        <v>-500000</v>
      </c>
      <c r="H104" s="43">
        <f>VLOOKUP($F104,'Asset Master'!$A:$J,7,FALSE)*-1</f>
        <v>-400000</v>
      </c>
      <c r="I104" s="43">
        <f>VLOOKUP($F104,'Asset Master'!$A:$J,8,FALSE)*-1</f>
        <v>-300000</v>
      </c>
      <c r="J104" s="43">
        <f>VLOOKUP($F104,'Asset Master'!$A:$J,9,FALSE)*-1</f>
        <v>-200000</v>
      </c>
      <c r="K104" s="43">
        <f>VLOOKUP($F104,'Asset Master'!$A:$J,10,FALSE)*-1</f>
        <v>-100000</v>
      </c>
      <c r="L104" s="55">
        <f>VLOOKUP(E104,'Probabilty Distribution'!A:B,2,FALSE)</f>
        <v>0.2</v>
      </c>
      <c r="M104" s="29" t="s">
        <v>408</v>
      </c>
      <c r="N104" s="44">
        <f>VLOOKUP($F104,'Asset Master'!$A:$J,6,FALSE)*0.1</f>
        <v>50000</v>
      </c>
    </row>
    <row r="105" spans="1:14" x14ac:dyDescent="0.25">
      <c r="A105" s="29" t="s">
        <v>409</v>
      </c>
      <c r="B105" s="41" t="s">
        <v>481</v>
      </c>
      <c r="C105" s="42" t="str">
        <f t="shared" si="1"/>
        <v>Earthquake</v>
      </c>
      <c r="D105" s="29" t="s">
        <v>115</v>
      </c>
      <c r="E105" s="30" t="str">
        <f>'Risk Master'!C105&amp;"-"&amp;'Risk Master'!D105</f>
        <v>Earthquake-Manila</v>
      </c>
      <c r="F105" s="29" t="s">
        <v>207</v>
      </c>
      <c r="G105" s="43">
        <f>VLOOKUP($F105,'Asset Master'!$A:$J,6,FALSE)*-1</f>
        <v>-500000</v>
      </c>
      <c r="H105" s="43">
        <f>VLOOKUP($F105,'Asset Master'!$A:$J,7,FALSE)*-1</f>
        <v>-400000</v>
      </c>
      <c r="I105" s="43">
        <f>VLOOKUP($F105,'Asset Master'!$A:$J,8,FALSE)*-1</f>
        <v>-300000</v>
      </c>
      <c r="J105" s="43">
        <f>VLOOKUP($F105,'Asset Master'!$A:$J,9,FALSE)*-1</f>
        <v>-200000</v>
      </c>
      <c r="K105" s="43">
        <f>VLOOKUP($F105,'Asset Master'!$A:$J,10,FALSE)*-1</f>
        <v>-100000</v>
      </c>
      <c r="L105" s="55">
        <f>VLOOKUP(E105,'Probabilty Distribution'!A:B,2,FALSE)</f>
        <v>0.1</v>
      </c>
      <c r="M105" s="29" t="s">
        <v>410</v>
      </c>
      <c r="N105" s="44">
        <f>VLOOKUP($F105,'Asset Master'!$A:$J,6,FALSE)*0.1</f>
        <v>50000</v>
      </c>
    </row>
    <row r="106" spans="1:14" x14ac:dyDescent="0.25">
      <c r="A106" s="29" t="s">
        <v>411</v>
      </c>
      <c r="B106" s="41" t="s">
        <v>482</v>
      </c>
      <c r="C106" s="42" t="str">
        <f t="shared" si="1"/>
        <v>Fire</v>
      </c>
      <c r="D106" s="29" t="s">
        <v>115</v>
      </c>
      <c r="E106" s="30" t="str">
        <f>'Risk Master'!C106&amp;"-"&amp;'Risk Master'!D106</f>
        <v>Fire-Manila</v>
      </c>
      <c r="F106" s="29" t="s">
        <v>207</v>
      </c>
      <c r="G106" s="43">
        <f>VLOOKUP($F106,'Asset Master'!$A:$J,6,FALSE)*-1</f>
        <v>-500000</v>
      </c>
      <c r="H106" s="43">
        <f>VLOOKUP($F106,'Asset Master'!$A:$J,7,FALSE)*-1</f>
        <v>-400000</v>
      </c>
      <c r="I106" s="43">
        <f>VLOOKUP($F106,'Asset Master'!$A:$J,8,FALSE)*-1</f>
        <v>-300000</v>
      </c>
      <c r="J106" s="43">
        <f>VLOOKUP($F106,'Asset Master'!$A:$J,9,FALSE)*-1</f>
        <v>-200000</v>
      </c>
      <c r="K106" s="43">
        <f>VLOOKUP($F106,'Asset Master'!$A:$J,10,FALSE)*-1</f>
        <v>-100000</v>
      </c>
      <c r="L106" s="55">
        <f>VLOOKUP(E106,'Probabilty Distribution'!A:B,2,FALSE)</f>
        <v>0.4</v>
      </c>
      <c r="M106" s="29" t="s">
        <v>412</v>
      </c>
      <c r="N106" s="44">
        <f>VLOOKUP($F106,'Asset Master'!$A:$J,6,FALSE)*0.1</f>
        <v>50000</v>
      </c>
    </row>
    <row r="107" spans="1:14" x14ac:dyDescent="0.25">
      <c r="A107" s="29" t="s">
        <v>413</v>
      </c>
      <c r="B107" s="41" t="s">
        <v>766</v>
      </c>
      <c r="C107" s="42" t="s">
        <v>848</v>
      </c>
      <c r="D107" s="29" t="s">
        <v>115</v>
      </c>
      <c r="E107" s="30" t="str">
        <f>'Risk Master'!C107&amp;"-"&amp;'Risk Master'!D107</f>
        <v>Hurricane-Typhoon -Manila</v>
      </c>
      <c r="F107" s="29" t="s">
        <v>209</v>
      </c>
      <c r="G107" s="43">
        <f>VLOOKUP($F107,'Asset Master'!$A:$J,6,FALSE)*-1</f>
        <v>-300000</v>
      </c>
      <c r="H107" s="43">
        <f>VLOOKUP($F107,'Asset Master'!$A:$J,7,FALSE)*-1</f>
        <v>-225000</v>
      </c>
      <c r="I107" s="43">
        <f>VLOOKUP($F107,'Asset Master'!$A:$J,8,FALSE)*-1</f>
        <v>-150000</v>
      </c>
      <c r="J107" s="43">
        <f>VLOOKUP($F107,'Asset Master'!$A:$J,9,FALSE)*-1</f>
        <v>-75000</v>
      </c>
      <c r="K107" s="43">
        <f>VLOOKUP($F107,'Asset Master'!$A:$J,10,FALSE)*-1</f>
        <v>0</v>
      </c>
      <c r="L107" s="55">
        <f>VLOOKUP(E107,'Probabilty Distribution'!A:B,2,FALSE)</f>
        <v>0.2</v>
      </c>
      <c r="M107" s="29" t="s">
        <v>414</v>
      </c>
      <c r="N107" s="44">
        <f>VLOOKUP($F107,'Asset Master'!$A:$J,6,FALSE)*0.1</f>
        <v>30000</v>
      </c>
    </row>
    <row r="108" spans="1:14" x14ac:dyDescent="0.25">
      <c r="A108" s="29" t="s">
        <v>415</v>
      </c>
      <c r="B108" s="41" t="s">
        <v>484</v>
      </c>
      <c r="C108" s="42" t="str">
        <f t="shared" si="1"/>
        <v>Thunderstorms, Tornados &amp; Hail</v>
      </c>
      <c r="D108" s="29" t="s">
        <v>480</v>
      </c>
      <c r="E108" s="30" t="str">
        <f>'Risk Master'!C108&amp;"-"&amp;'Risk Master'!D108</f>
        <v>Thunderstorms, Tornados &amp; Hail-San Francisco</v>
      </c>
      <c r="F108" s="29" t="s">
        <v>211</v>
      </c>
      <c r="G108" s="43">
        <f>VLOOKUP($F108,'Asset Master'!$A:$J,6,FALSE)*-1</f>
        <v>-600000</v>
      </c>
      <c r="H108" s="43">
        <f>VLOOKUP($F108,'Asset Master'!$A:$J,7,FALSE)*-1</f>
        <v>-480000</v>
      </c>
      <c r="I108" s="43">
        <f>VLOOKUP($F108,'Asset Master'!$A:$J,8,FALSE)*-1</f>
        <v>-360000</v>
      </c>
      <c r="J108" s="43">
        <f>VLOOKUP($F108,'Asset Master'!$A:$J,9,FALSE)*-1</f>
        <v>-240000</v>
      </c>
      <c r="K108" s="43">
        <f>VLOOKUP($F108,'Asset Master'!$A:$J,10,FALSE)*-1</f>
        <v>-120000</v>
      </c>
      <c r="L108" s="55">
        <f>VLOOKUP(E108,'Probabilty Distribution'!A:B,2,FALSE)</f>
        <v>0.18</v>
      </c>
      <c r="M108" s="29" t="s">
        <v>416</v>
      </c>
      <c r="N108" s="44">
        <f>VLOOKUP($F108,'Asset Master'!$A:$J,6,FALSE)*0.1</f>
        <v>60000</v>
      </c>
    </row>
    <row r="109" spans="1:14" x14ac:dyDescent="0.25">
      <c r="A109" s="29" t="s">
        <v>417</v>
      </c>
      <c r="B109" s="41" t="s">
        <v>848</v>
      </c>
      <c r="C109" s="42" t="str">
        <f t="shared" si="1"/>
        <v xml:space="preserve">Hurricane-Typhoon </v>
      </c>
      <c r="D109" s="29" t="s">
        <v>480</v>
      </c>
      <c r="E109" s="30" t="str">
        <f>'Risk Master'!C109&amp;"-"&amp;'Risk Master'!D109</f>
        <v>Hurricane-Typhoon -San Francisco</v>
      </c>
      <c r="F109" s="29" t="s">
        <v>211</v>
      </c>
      <c r="G109" s="43">
        <f>VLOOKUP($F109,'Asset Master'!$A:$J,6,FALSE)*-1</f>
        <v>-600000</v>
      </c>
      <c r="H109" s="43">
        <f>VLOOKUP($F109,'Asset Master'!$A:$J,7,FALSE)*-1</f>
        <v>-480000</v>
      </c>
      <c r="I109" s="43">
        <f>VLOOKUP($F109,'Asset Master'!$A:$J,8,FALSE)*-1</f>
        <v>-360000</v>
      </c>
      <c r="J109" s="43">
        <f>VLOOKUP($F109,'Asset Master'!$A:$J,9,FALSE)*-1</f>
        <v>-240000</v>
      </c>
      <c r="K109" s="43">
        <f>VLOOKUP($F109,'Asset Master'!$A:$J,10,FALSE)*-1</f>
        <v>-120000</v>
      </c>
      <c r="L109" s="55">
        <f>VLOOKUP(E109,'Probabilty Distribution'!A:B,2,FALSE)</f>
        <v>0.26</v>
      </c>
      <c r="M109" s="29" t="s">
        <v>418</v>
      </c>
      <c r="N109" s="44">
        <f>VLOOKUP($F109,'Asset Master'!$A:$J,6,FALSE)*0.1</f>
        <v>60000</v>
      </c>
    </row>
    <row r="110" spans="1:14" x14ac:dyDescent="0.25">
      <c r="A110" s="29" t="s">
        <v>419</v>
      </c>
      <c r="B110" s="41" t="s">
        <v>481</v>
      </c>
      <c r="C110" s="42" t="str">
        <f t="shared" si="1"/>
        <v>Earthquake</v>
      </c>
      <c r="D110" s="29" t="s">
        <v>480</v>
      </c>
      <c r="E110" s="30" t="str">
        <f>'Risk Master'!C110&amp;"-"&amp;'Risk Master'!D110</f>
        <v>Earthquake-San Francisco</v>
      </c>
      <c r="F110" s="29" t="s">
        <v>211</v>
      </c>
      <c r="G110" s="43">
        <f>VLOOKUP($F110,'Asset Master'!$A:$J,6,FALSE)*-1</f>
        <v>-600000</v>
      </c>
      <c r="H110" s="43">
        <f>VLOOKUP($F110,'Asset Master'!$A:$J,7,FALSE)*-1</f>
        <v>-480000</v>
      </c>
      <c r="I110" s="43">
        <f>VLOOKUP($F110,'Asset Master'!$A:$J,8,FALSE)*-1</f>
        <v>-360000</v>
      </c>
      <c r="J110" s="43">
        <f>VLOOKUP($F110,'Asset Master'!$A:$J,9,FALSE)*-1</f>
        <v>-240000</v>
      </c>
      <c r="K110" s="43">
        <f>VLOOKUP($F110,'Asset Master'!$A:$J,10,FALSE)*-1</f>
        <v>-120000</v>
      </c>
      <c r="L110" s="55">
        <f>VLOOKUP(E110,'Probabilty Distribution'!A:B,2,FALSE)</f>
        <v>0.15</v>
      </c>
      <c r="M110" s="29" t="s">
        <v>420</v>
      </c>
      <c r="N110" s="44">
        <f>VLOOKUP($F110,'Asset Master'!$A:$J,6,FALSE)*0.1</f>
        <v>60000</v>
      </c>
    </row>
    <row r="111" spans="1:14" x14ac:dyDescent="0.25">
      <c r="A111" s="29" t="s">
        <v>421</v>
      </c>
      <c r="B111" s="41" t="s">
        <v>484</v>
      </c>
      <c r="C111" s="42" t="str">
        <f t="shared" si="1"/>
        <v>Thunderstorms, Tornados &amp; Hail</v>
      </c>
      <c r="D111" s="29" t="s">
        <v>480</v>
      </c>
      <c r="E111" s="30" t="str">
        <f>'Risk Master'!C111&amp;"-"&amp;'Risk Master'!D111</f>
        <v>Thunderstorms, Tornados &amp; Hail-San Francisco</v>
      </c>
      <c r="F111" s="29" t="s">
        <v>213</v>
      </c>
      <c r="G111" s="43">
        <f>VLOOKUP($F111,'Asset Master'!$A:$J,6,FALSE)*-1</f>
        <v>-800000</v>
      </c>
      <c r="H111" s="43">
        <f>VLOOKUP($F111,'Asset Master'!$A:$J,7,FALSE)*-1</f>
        <v>-720000</v>
      </c>
      <c r="I111" s="43">
        <f>VLOOKUP($F111,'Asset Master'!$A:$J,8,FALSE)*-1</f>
        <v>-640000</v>
      </c>
      <c r="J111" s="43">
        <f>VLOOKUP($F111,'Asset Master'!$A:$J,9,FALSE)*-1</f>
        <v>-560000</v>
      </c>
      <c r="K111" s="43">
        <f>VLOOKUP($F111,'Asset Master'!$A:$J,10,FALSE)*-1</f>
        <v>-480000</v>
      </c>
      <c r="L111" s="55">
        <f>VLOOKUP(E111,'Probabilty Distribution'!A:B,2,FALSE)</f>
        <v>0.18</v>
      </c>
      <c r="M111" s="29" t="s">
        <v>422</v>
      </c>
      <c r="N111" s="44">
        <f>VLOOKUP($F111,'Asset Master'!$A:$J,6,FALSE)*0.1</f>
        <v>80000</v>
      </c>
    </row>
    <row r="112" spans="1:14" x14ac:dyDescent="0.25">
      <c r="A112" s="29" t="s">
        <v>423</v>
      </c>
      <c r="B112" s="41" t="s">
        <v>848</v>
      </c>
      <c r="C112" s="42" t="str">
        <f t="shared" si="1"/>
        <v xml:space="preserve">Hurricane-Typhoon </v>
      </c>
      <c r="D112" s="29" t="s">
        <v>480</v>
      </c>
      <c r="E112" s="30" t="str">
        <f>'Risk Master'!C112&amp;"-"&amp;'Risk Master'!D112</f>
        <v>Hurricane-Typhoon -San Francisco</v>
      </c>
      <c r="F112" s="29" t="s">
        <v>213</v>
      </c>
      <c r="G112" s="43">
        <f>VLOOKUP($F112,'Asset Master'!$A:$J,6,FALSE)*-1</f>
        <v>-800000</v>
      </c>
      <c r="H112" s="43">
        <f>VLOOKUP($F112,'Asset Master'!$A:$J,7,FALSE)*-1</f>
        <v>-720000</v>
      </c>
      <c r="I112" s="43">
        <f>VLOOKUP($F112,'Asset Master'!$A:$J,8,FALSE)*-1</f>
        <v>-640000</v>
      </c>
      <c r="J112" s="43">
        <f>VLOOKUP($F112,'Asset Master'!$A:$J,9,FALSE)*-1</f>
        <v>-560000</v>
      </c>
      <c r="K112" s="43">
        <f>VLOOKUP($F112,'Asset Master'!$A:$J,10,FALSE)*-1</f>
        <v>-480000</v>
      </c>
      <c r="L112" s="55">
        <f>VLOOKUP(E112,'Probabilty Distribution'!A:B,2,FALSE)</f>
        <v>0.26</v>
      </c>
      <c r="M112" s="29" t="s">
        <v>424</v>
      </c>
      <c r="N112" s="44">
        <f>VLOOKUP($F112,'Asset Master'!$A:$J,6,FALSE)*0.1</f>
        <v>80000</v>
      </c>
    </row>
    <row r="113" spans="1:14" x14ac:dyDescent="0.25">
      <c r="A113" s="29" t="s">
        <v>425</v>
      </c>
      <c r="B113" s="41" t="s">
        <v>481</v>
      </c>
      <c r="C113" s="42" t="str">
        <f t="shared" si="1"/>
        <v>Earthquake</v>
      </c>
      <c r="D113" s="29" t="s">
        <v>480</v>
      </c>
      <c r="E113" s="30" t="str">
        <f>'Risk Master'!C113&amp;"-"&amp;'Risk Master'!D113</f>
        <v>Earthquake-San Francisco</v>
      </c>
      <c r="F113" s="29" t="s">
        <v>213</v>
      </c>
      <c r="G113" s="43">
        <f>VLOOKUP($F113,'Asset Master'!$A:$J,6,FALSE)*-1</f>
        <v>-800000</v>
      </c>
      <c r="H113" s="43">
        <f>VLOOKUP($F113,'Asset Master'!$A:$J,7,FALSE)*-1</f>
        <v>-720000</v>
      </c>
      <c r="I113" s="43">
        <f>VLOOKUP($F113,'Asset Master'!$A:$J,8,FALSE)*-1</f>
        <v>-640000</v>
      </c>
      <c r="J113" s="43">
        <f>VLOOKUP($F113,'Asset Master'!$A:$J,9,FALSE)*-1</f>
        <v>-560000</v>
      </c>
      <c r="K113" s="43">
        <f>VLOOKUP($F113,'Asset Master'!$A:$J,10,FALSE)*-1</f>
        <v>-480000</v>
      </c>
      <c r="L113" s="55">
        <f>VLOOKUP(E113,'Probabilty Distribution'!A:B,2,FALSE)</f>
        <v>0.15</v>
      </c>
      <c r="M113" s="29" t="s">
        <v>426</v>
      </c>
      <c r="N113" s="44">
        <f>VLOOKUP($F113,'Asset Master'!$A:$J,6,FALSE)*0.1</f>
        <v>80000</v>
      </c>
    </row>
    <row r="114" spans="1:14" x14ac:dyDescent="0.25">
      <c r="A114" s="29" t="s">
        <v>427</v>
      </c>
      <c r="B114" s="41" t="s">
        <v>484</v>
      </c>
      <c r="C114" s="42" t="str">
        <f t="shared" si="1"/>
        <v>Thunderstorms, Tornados &amp; Hail</v>
      </c>
      <c r="D114" s="29" t="s">
        <v>480</v>
      </c>
      <c r="E114" s="30" t="str">
        <f>'Risk Master'!C114&amp;"-"&amp;'Risk Master'!D114</f>
        <v>Thunderstorms, Tornados &amp; Hail-San Francisco</v>
      </c>
      <c r="F114" s="29" t="s">
        <v>217</v>
      </c>
      <c r="G114" s="43">
        <f>VLOOKUP($F114,'Asset Master'!$A:$J,6,FALSE)*-1</f>
        <v>-500000</v>
      </c>
      <c r="H114" s="43">
        <f>VLOOKUP($F114,'Asset Master'!$A:$J,7,FALSE)*-1</f>
        <v>-400000</v>
      </c>
      <c r="I114" s="43">
        <f>VLOOKUP($F114,'Asset Master'!$A:$J,8,FALSE)*-1</f>
        <v>-300000</v>
      </c>
      <c r="J114" s="43">
        <f>VLOOKUP($F114,'Asset Master'!$A:$J,9,FALSE)*-1</f>
        <v>-200000</v>
      </c>
      <c r="K114" s="43">
        <f>VLOOKUP($F114,'Asset Master'!$A:$J,10,FALSE)*-1</f>
        <v>-100000</v>
      </c>
      <c r="L114" s="55">
        <f>VLOOKUP(E114,'Probabilty Distribution'!A:B,2,FALSE)</f>
        <v>0.18</v>
      </c>
      <c r="M114" s="29" t="s">
        <v>428</v>
      </c>
      <c r="N114" s="44">
        <f>VLOOKUP($F114,'Asset Master'!$A:$J,6,FALSE)*0.1</f>
        <v>50000</v>
      </c>
    </row>
    <row r="115" spans="1:14" x14ac:dyDescent="0.25">
      <c r="A115" s="29" t="s">
        <v>429</v>
      </c>
      <c r="B115" s="41" t="s">
        <v>848</v>
      </c>
      <c r="C115" s="42" t="str">
        <f t="shared" si="1"/>
        <v xml:space="preserve">Hurricane-Typhoon </v>
      </c>
      <c r="D115" s="29" t="s">
        <v>480</v>
      </c>
      <c r="E115" s="30" t="str">
        <f>'Risk Master'!C115&amp;"-"&amp;'Risk Master'!D115</f>
        <v>Hurricane-Typhoon -San Francisco</v>
      </c>
      <c r="F115" s="29" t="s">
        <v>217</v>
      </c>
      <c r="G115" s="43">
        <f>VLOOKUP($F115,'Asset Master'!$A:$J,6,FALSE)*-1</f>
        <v>-500000</v>
      </c>
      <c r="H115" s="43">
        <f>VLOOKUP($F115,'Asset Master'!$A:$J,7,FALSE)*-1</f>
        <v>-400000</v>
      </c>
      <c r="I115" s="43">
        <f>VLOOKUP($F115,'Asset Master'!$A:$J,8,FALSE)*-1</f>
        <v>-300000</v>
      </c>
      <c r="J115" s="43">
        <f>VLOOKUP($F115,'Asset Master'!$A:$J,9,FALSE)*-1</f>
        <v>-200000</v>
      </c>
      <c r="K115" s="43">
        <f>VLOOKUP($F115,'Asset Master'!$A:$J,10,FALSE)*-1</f>
        <v>-100000</v>
      </c>
      <c r="L115" s="55">
        <f>VLOOKUP(E115,'Probabilty Distribution'!A:B,2,FALSE)</f>
        <v>0.26</v>
      </c>
      <c r="M115" s="29" t="s">
        <v>430</v>
      </c>
      <c r="N115" s="44">
        <f>VLOOKUP($F115,'Asset Master'!$A:$J,6,FALSE)*0.1</f>
        <v>50000</v>
      </c>
    </row>
    <row r="116" spans="1:14" x14ac:dyDescent="0.25">
      <c r="A116" s="29" t="s">
        <v>431</v>
      </c>
      <c r="B116" s="41" t="s">
        <v>481</v>
      </c>
      <c r="C116" s="42" t="str">
        <f t="shared" si="1"/>
        <v>Earthquake</v>
      </c>
      <c r="D116" s="29" t="s">
        <v>480</v>
      </c>
      <c r="E116" s="30" t="str">
        <f>'Risk Master'!C116&amp;"-"&amp;'Risk Master'!D116</f>
        <v>Earthquake-San Francisco</v>
      </c>
      <c r="F116" s="29" t="s">
        <v>217</v>
      </c>
      <c r="G116" s="43">
        <f>VLOOKUP($F116,'Asset Master'!$A:$J,6,FALSE)*-1</f>
        <v>-500000</v>
      </c>
      <c r="H116" s="43">
        <f>VLOOKUP($F116,'Asset Master'!$A:$J,7,FALSE)*-1</f>
        <v>-400000</v>
      </c>
      <c r="I116" s="43">
        <f>VLOOKUP($F116,'Asset Master'!$A:$J,8,FALSE)*-1</f>
        <v>-300000</v>
      </c>
      <c r="J116" s="43">
        <f>VLOOKUP($F116,'Asset Master'!$A:$J,9,FALSE)*-1</f>
        <v>-200000</v>
      </c>
      <c r="K116" s="43">
        <f>VLOOKUP($F116,'Asset Master'!$A:$J,10,FALSE)*-1</f>
        <v>-100000</v>
      </c>
      <c r="L116" s="55">
        <f>VLOOKUP(E116,'Probabilty Distribution'!A:B,2,FALSE)</f>
        <v>0.15</v>
      </c>
      <c r="M116" s="29" t="s">
        <v>432</v>
      </c>
      <c r="N116" s="44">
        <f>VLOOKUP($F116,'Asset Master'!$A:$J,6,FALSE)*0.1</f>
        <v>50000</v>
      </c>
    </row>
    <row r="117" spans="1:14" x14ac:dyDescent="0.25">
      <c r="A117" s="29" t="s">
        <v>433</v>
      </c>
      <c r="B117" s="41" t="s">
        <v>484</v>
      </c>
      <c r="C117" s="42" t="str">
        <f t="shared" si="1"/>
        <v>Thunderstorms, Tornados &amp; Hail</v>
      </c>
      <c r="D117" s="29" t="s">
        <v>480</v>
      </c>
      <c r="E117" s="30" t="str">
        <f>'Risk Master'!C117&amp;"-"&amp;'Risk Master'!D117</f>
        <v>Thunderstorms, Tornados &amp; Hail-San Francisco</v>
      </c>
      <c r="F117" s="29" t="s">
        <v>218</v>
      </c>
      <c r="G117" s="43">
        <f>VLOOKUP($F117,'Asset Master'!$A:$J,6,FALSE)*-1</f>
        <v>-300000</v>
      </c>
      <c r="H117" s="43">
        <f>VLOOKUP($F117,'Asset Master'!$A:$J,7,FALSE)*-1</f>
        <v>-270000</v>
      </c>
      <c r="I117" s="43">
        <f>VLOOKUP($F117,'Asset Master'!$A:$J,8,FALSE)*-1</f>
        <v>-240000</v>
      </c>
      <c r="J117" s="43">
        <f>VLOOKUP($F117,'Asset Master'!$A:$J,9,FALSE)*-1</f>
        <v>-210000</v>
      </c>
      <c r="K117" s="43">
        <f>VLOOKUP($F117,'Asset Master'!$A:$J,10,FALSE)*-1</f>
        <v>-180000</v>
      </c>
      <c r="L117" s="55">
        <f>VLOOKUP(E117,'Probabilty Distribution'!A:B,2,FALSE)</f>
        <v>0.18</v>
      </c>
      <c r="M117" s="29" t="s">
        <v>434</v>
      </c>
      <c r="N117" s="44">
        <f>VLOOKUP($F117,'Asset Master'!$A:$J,6,FALSE)*0.1</f>
        <v>30000</v>
      </c>
    </row>
    <row r="118" spans="1:14" x14ac:dyDescent="0.25">
      <c r="A118" s="29" t="s">
        <v>435</v>
      </c>
      <c r="B118" s="41" t="s">
        <v>848</v>
      </c>
      <c r="C118" s="42" t="str">
        <f t="shared" si="1"/>
        <v xml:space="preserve">Hurricane-Typhoon </v>
      </c>
      <c r="D118" s="29" t="s">
        <v>480</v>
      </c>
      <c r="E118" s="30" t="str">
        <f>'Risk Master'!C118&amp;"-"&amp;'Risk Master'!D118</f>
        <v>Hurricane-Typhoon -San Francisco</v>
      </c>
      <c r="F118" s="29" t="s">
        <v>219</v>
      </c>
      <c r="G118" s="43">
        <f>VLOOKUP($F118,'Asset Master'!$A:$J,6,FALSE)*-1</f>
        <v>-500000</v>
      </c>
      <c r="H118" s="43">
        <f>VLOOKUP($F118,'Asset Master'!$A:$J,7,FALSE)*-1</f>
        <v>-400000</v>
      </c>
      <c r="I118" s="43">
        <f>VLOOKUP($F118,'Asset Master'!$A:$J,8,FALSE)*-1</f>
        <v>-300000</v>
      </c>
      <c r="J118" s="43">
        <f>VLOOKUP($F118,'Asset Master'!$A:$J,9,FALSE)*-1</f>
        <v>-200000</v>
      </c>
      <c r="K118" s="43">
        <f>VLOOKUP($F118,'Asset Master'!$A:$J,10,FALSE)*-1</f>
        <v>-100000</v>
      </c>
      <c r="L118" s="55">
        <f>VLOOKUP(E118,'Probabilty Distribution'!A:B,2,FALSE)</f>
        <v>0.26</v>
      </c>
      <c r="M118" s="29" t="s">
        <v>436</v>
      </c>
      <c r="N118" s="44">
        <f>VLOOKUP($F118,'Asset Master'!$A:$J,6,FALSE)*0.1</f>
        <v>50000</v>
      </c>
    </row>
    <row r="119" spans="1:14" x14ac:dyDescent="0.25">
      <c r="A119" s="29" t="s">
        <v>437</v>
      </c>
      <c r="B119" s="41" t="s">
        <v>481</v>
      </c>
      <c r="C119" s="42" t="str">
        <f t="shared" si="1"/>
        <v>Earthquake</v>
      </c>
      <c r="D119" s="29" t="s">
        <v>480</v>
      </c>
      <c r="E119" s="30" t="str">
        <f>'Risk Master'!C119&amp;"-"&amp;'Risk Master'!D119</f>
        <v>Earthquake-San Francisco</v>
      </c>
      <c r="F119" s="29" t="s">
        <v>224</v>
      </c>
      <c r="G119" s="43">
        <f>VLOOKUP($F119,'Asset Master'!$A:$J,6,FALSE)*-1</f>
        <v>-400000</v>
      </c>
      <c r="H119" s="43">
        <f>VLOOKUP($F119,'Asset Master'!$A:$J,7,FALSE)*-1</f>
        <v>-300000</v>
      </c>
      <c r="I119" s="43">
        <f>VLOOKUP($F119,'Asset Master'!$A:$J,8,FALSE)*-1</f>
        <v>-200000</v>
      </c>
      <c r="J119" s="43">
        <f>VLOOKUP($F119,'Asset Master'!$A:$J,9,FALSE)*-1</f>
        <v>-100000</v>
      </c>
      <c r="K119" s="43">
        <f>VLOOKUP($F119,'Asset Master'!$A:$J,10,FALSE)*-1</f>
        <v>0</v>
      </c>
      <c r="L119" s="55">
        <f>VLOOKUP(E119,'Probabilty Distribution'!A:B,2,FALSE)</f>
        <v>0.15</v>
      </c>
      <c r="M119" s="29" t="s">
        <v>438</v>
      </c>
      <c r="N119" s="44">
        <f>VLOOKUP($F119,'Asset Master'!$A:$J,6,FALSE)*0.1</f>
        <v>40000</v>
      </c>
    </row>
    <row r="120" spans="1:14" x14ac:dyDescent="0.25">
      <c r="A120" s="29" t="s">
        <v>439</v>
      </c>
      <c r="B120" s="41" t="s">
        <v>848</v>
      </c>
      <c r="C120" s="42" t="str">
        <f t="shared" si="1"/>
        <v xml:space="preserve">Hurricane-Typhoon </v>
      </c>
      <c r="D120" s="29" t="s">
        <v>480</v>
      </c>
      <c r="E120" s="30" t="str">
        <f>'Risk Master'!C120&amp;"-"&amp;'Risk Master'!D120</f>
        <v>Hurricane-Typhoon -San Francisco</v>
      </c>
      <c r="F120" s="29" t="s">
        <v>222</v>
      </c>
      <c r="G120" s="43">
        <f>VLOOKUP($F120,'Asset Master'!$A:$J,6,FALSE)*-1</f>
        <v>-200000</v>
      </c>
      <c r="H120" s="43">
        <f>VLOOKUP($F120,'Asset Master'!$A:$J,7,FALSE)*-1</f>
        <v>-160000</v>
      </c>
      <c r="I120" s="43">
        <f>VLOOKUP($F120,'Asset Master'!$A:$J,8,FALSE)*-1</f>
        <v>-120000</v>
      </c>
      <c r="J120" s="43">
        <f>VLOOKUP($F120,'Asset Master'!$A:$J,9,FALSE)*-1</f>
        <v>-80000</v>
      </c>
      <c r="K120" s="43">
        <f>VLOOKUP($F120,'Asset Master'!$A:$J,10,FALSE)*-1</f>
        <v>-40000</v>
      </c>
      <c r="L120" s="55">
        <f>VLOOKUP(E120,'Probabilty Distribution'!A:B,2,FALSE)</f>
        <v>0.26</v>
      </c>
      <c r="M120" s="29" t="s">
        <v>440</v>
      </c>
      <c r="N120" s="44">
        <f>VLOOKUP($F120,'Asset Master'!$A:$J,6,FALSE)*0.1</f>
        <v>20000</v>
      </c>
    </row>
    <row r="121" spans="1:14" x14ac:dyDescent="0.25">
      <c r="A121" s="29" t="s">
        <v>441</v>
      </c>
      <c r="B121" s="41" t="s">
        <v>484</v>
      </c>
      <c r="C121" s="42" t="str">
        <f t="shared" si="1"/>
        <v>Thunderstorms, Tornados &amp; Hail</v>
      </c>
      <c r="D121" s="29" t="s">
        <v>402</v>
      </c>
      <c r="E121" s="30" t="str">
        <f>'Risk Master'!C121&amp;"-"&amp;'Risk Master'!D121</f>
        <v>Thunderstorms, Tornados &amp; Hail-Calgary</v>
      </c>
      <c r="F121" s="29" t="s">
        <v>228</v>
      </c>
      <c r="G121" s="43">
        <f>VLOOKUP($F121,'Asset Master'!$A:$J,6,FALSE)*-1</f>
        <v>-1000000</v>
      </c>
      <c r="H121" s="43">
        <f>VLOOKUP($F121,'Asset Master'!$A:$J,7,FALSE)*-1</f>
        <v>-900000</v>
      </c>
      <c r="I121" s="43">
        <f>VLOOKUP($F121,'Asset Master'!$A:$J,8,FALSE)*-1</f>
        <v>-800000</v>
      </c>
      <c r="J121" s="43">
        <f>VLOOKUP($F121,'Asset Master'!$A:$J,9,FALSE)*-1</f>
        <v>-700000</v>
      </c>
      <c r="K121" s="43">
        <f>VLOOKUP($F121,'Asset Master'!$A:$J,10,FALSE)*-1</f>
        <v>-600000</v>
      </c>
      <c r="L121" s="55">
        <f>VLOOKUP(E121,'Probabilty Distribution'!A:B,2,FALSE)</f>
        <v>0.25</v>
      </c>
      <c r="M121" s="29" t="s">
        <v>442</v>
      </c>
      <c r="N121" s="44">
        <f>VLOOKUP($F121,'Asset Master'!$A:$J,6,FALSE)*0.1</f>
        <v>100000</v>
      </c>
    </row>
    <row r="122" spans="1:14" x14ac:dyDescent="0.25">
      <c r="A122" s="29" t="s">
        <v>443</v>
      </c>
      <c r="B122" s="41" t="s">
        <v>848</v>
      </c>
      <c r="C122" s="42" t="str">
        <f t="shared" si="1"/>
        <v xml:space="preserve">Hurricane-Typhoon </v>
      </c>
      <c r="D122" s="29" t="s">
        <v>402</v>
      </c>
      <c r="E122" s="30" t="str">
        <f>'Risk Master'!C122&amp;"-"&amp;'Risk Master'!D122</f>
        <v>Hurricane-Typhoon -Calgary</v>
      </c>
      <c r="F122" s="29" t="s">
        <v>228</v>
      </c>
      <c r="G122" s="43">
        <f>VLOOKUP($F122,'Asset Master'!$A:$J,6,FALSE)*-1</f>
        <v>-1000000</v>
      </c>
      <c r="H122" s="43">
        <f>VLOOKUP($F122,'Asset Master'!$A:$J,7,FALSE)*-1</f>
        <v>-900000</v>
      </c>
      <c r="I122" s="43">
        <f>VLOOKUP($F122,'Asset Master'!$A:$J,8,FALSE)*-1</f>
        <v>-800000</v>
      </c>
      <c r="J122" s="43">
        <f>VLOOKUP($F122,'Asset Master'!$A:$J,9,FALSE)*-1</f>
        <v>-700000</v>
      </c>
      <c r="K122" s="43">
        <f>VLOOKUP($F122,'Asset Master'!$A:$J,10,FALSE)*-1</f>
        <v>-600000</v>
      </c>
      <c r="L122" s="55">
        <f>VLOOKUP(E122,'Probabilty Distribution'!A:B,2,FALSE)</f>
        <v>0.2</v>
      </c>
      <c r="M122" s="29" t="s">
        <v>444</v>
      </c>
      <c r="N122" s="44">
        <f>VLOOKUP($F122,'Asset Master'!$A:$J,6,FALSE)*0.1</f>
        <v>100000</v>
      </c>
    </row>
    <row r="123" spans="1:14" x14ac:dyDescent="0.25">
      <c r="A123" s="29" t="s">
        <v>445</v>
      </c>
      <c r="B123" s="41" t="s">
        <v>481</v>
      </c>
      <c r="C123" s="42" t="str">
        <f t="shared" si="1"/>
        <v>Earthquake</v>
      </c>
      <c r="D123" s="29" t="s">
        <v>402</v>
      </c>
      <c r="E123" s="30" t="str">
        <f>'Risk Master'!C123&amp;"-"&amp;'Risk Master'!D123</f>
        <v>Earthquake-Calgary</v>
      </c>
      <c r="F123" s="29" t="s">
        <v>228</v>
      </c>
      <c r="G123" s="43">
        <f>VLOOKUP($F123,'Asset Master'!$A:$J,6,FALSE)*-1</f>
        <v>-1000000</v>
      </c>
      <c r="H123" s="43">
        <f>VLOOKUP($F123,'Asset Master'!$A:$J,7,FALSE)*-1</f>
        <v>-900000</v>
      </c>
      <c r="I123" s="43">
        <f>VLOOKUP($F123,'Asset Master'!$A:$J,8,FALSE)*-1</f>
        <v>-800000</v>
      </c>
      <c r="J123" s="43">
        <f>VLOOKUP($F123,'Asset Master'!$A:$J,9,FALSE)*-1</f>
        <v>-700000</v>
      </c>
      <c r="K123" s="43">
        <f>VLOOKUP($F123,'Asset Master'!$A:$J,10,FALSE)*-1</f>
        <v>-600000</v>
      </c>
      <c r="L123" s="55">
        <f>VLOOKUP(E123,'Probabilty Distribution'!A:B,2,FALSE)</f>
        <v>0.1</v>
      </c>
      <c r="M123" s="29" t="s">
        <v>446</v>
      </c>
      <c r="N123" s="44">
        <f>VLOOKUP($F123,'Asset Master'!$A:$J,6,FALSE)*0.1</f>
        <v>100000</v>
      </c>
    </row>
    <row r="124" spans="1:14" x14ac:dyDescent="0.25">
      <c r="A124" s="29" t="s">
        <v>447</v>
      </c>
      <c r="B124" s="41" t="s">
        <v>484</v>
      </c>
      <c r="C124" s="42" t="str">
        <f t="shared" si="1"/>
        <v>Thunderstorms, Tornados &amp; Hail</v>
      </c>
      <c r="D124" s="29" t="s">
        <v>402</v>
      </c>
      <c r="E124" s="30" t="str">
        <f>'Risk Master'!C124&amp;"-"&amp;'Risk Master'!D124</f>
        <v>Thunderstorms, Tornados &amp; Hail-Calgary</v>
      </c>
      <c r="F124" s="29" t="s">
        <v>231</v>
      </c>
      <c r="G124" s="43">
        <f>VLOOKUP($F124,'Asset Master'!$A:$J,6,FALSE)*-1</f>
        <v>-1100000</v>
      </c>
      <c r="H124" s="43">
        <f>VLOOKUP($F124,'Asset Master'!$A:$J,7,FALSE)*-1</f>
        <v>-990000</v>
      </c>
      <c r="I124" s="43">
        <f>VLOOKUP($F124,'Asset Master'!$A:$J,8,FALSE)*-1</f>
        <v>-880000</v>
      </c>
      <c r="J124" s="43">
        <f>VLOOKUP($F124,'Asset Master'!$A:$J,9,FALSE)*-1</f>
        <v>-770000</v>
      </c>
      <c r="K124" s="43">
        <f>VLOOKUP($F124,'Asset Master'!$A:$J,10,FALSE)*-1</f>
        <v>-660000</v>
      </c>
      <c r="L124" s="55">
        <f>VLOOKUP(E124,'Probabilty Distribution'!A:B,2,FALSE)</f>
        <v>0.25</v>
      </c>
      <c r="M124" s="29" t="s">
        <v>448</v>
      </c>
      <c r="N124" s="44">
        <f>VLOOKUP($F124,'Asset Master'!$A:$J,6,FALSE)*0.1</f>
        <v>110000</v>
      </c>
    </row>
    <row r="125" spans="1:14" x14ac:dyDescent="0.25">
      <c r="A125" s="29" t="s">
        <v>449</v>
      </c>
      <c r="B125" s="41" t="s">
        <v>848</v>
      </c>
      <c r="C125" s="42" t="str">
        <f t="shared" si="1"/>
        <v xml:space="preserve">Hurricane-Typhoon </v>
      </c>
      <c r="D125" s="29" t="s">
        <v>402</v>
      </c>
      <c r="E125" s="30" t="str">
        <f>'Risk Master'!C125&amp;"-"&amp;'Risk Master'!D125</f>
        <v>Hurricane-Typhoon -Calgary</v>
      </c>
      <c r="F125" s="29" t="s">
        <v>232</v>
      </c>
      <c r="G125" s="43">
        <f>VLOOKUP($F125,'Asset Master'!$A:$J,6,FALSE)*-1</f>
        <v>-300000</v>
      </c>
      <c r="H125" s="43">
        <f>VLOOKUP($F125,'Asset Master'!$A:$J,7,FALSE)*-1</f>
        <v>-240000</v>
      </c>
      <c r="I125" s="43">
        <f>VLOOKUP($F125,'Asset Master'!$A:$J,8,FALSE)*-1</f>
        <v>-180000</v>
      </c>
      <c r="J125" s="43">
        <f>VLOOKUP($F125,'Asset Master'!$A:$J,9,FALSE)*-1</f>
        <v>-120000</v>
      </c>
      <c r="K125" s="43">
        <f>VLOOKUP($F125,'Asset Master'!$A:$J,10,FALSE)*-1</f>
        <v>-60000</v>
      </c>
      <c r="L125" s="55">
        <f>VLOOKUP(E125,'Probabilty Distribution'!A:B,2,FALSE)</f>
        <v>0.2</v>
      </c>
      <c r="M125" s="29" t="s">
        <v>450</v>
      </c>
      <c r="N125" s="44">
        <f>VLOOKUP($F125,'Asset Master'!$A:$J,6,FALSE)*0.1</f>
        <v>30000</v>
      </c>
    </row>
    <row r="126" spans="1:14" x14ac:dyDescent="0.25">
      <c r="A126" s="29" t="s">
        <v>451</v>
      </c>
      <c r="B126" s="41" t="s">
        <v>481</v>
      </c>
      <c r="C126" s="42" t="str">
        <f t="shared" si="1"/>
        <v>Earthquake</v>
      </c>
      <c r="D126" s="29" t="s">
        <v>402</v>
      </c>
      <c r="E126" s="30" t="str">
        <f>'Risk Master'!C126&amp;"-"&amp;'Risk Master'!D126</f>
        <v>Earthquake-Calgary</v>
      </c>
      <c r="F126" s="29" t="s">
        <v>233</v>
      </c>
      <c r="G126" s="43">
        <f>VLOOKUP($F126,'Asset Master'!$A:$J,6,FALSE)*-1</f>
        <v>-300000</v>
      </c>
      <c r="H126" s="43">
        <f>VLOOKUP($F126,'Asset Master'!$A:$J,7,FALSE)*-1</f>
        <v>-270000</v>
      </c>
      <c r="I126" s="43">
        <f>VLOOKUP($F126,'Asset Master'!$A:$J,8,FALSE)*-1</f>
        <v>-240000</v>
      </c>
      <c r="J126" s="43">
        <f>VLOOKUP($F126,'Asset Master'!$A:$J,9,FALSE)*-1</f>
        <v>-210000</v>
      </c>
      <c r="K126" s="43">
        <f>VLOOKUP($F126,'Asset Master'!$A:$J,10,FALSE)*-1</f>
        <v>-180000</v>
      </c>
      <c r="L126" s="55">
        <f>VLOOKUP(E126,'Probabilty Distribution'!A:B,2,FALSE)</f>
        <v>0.1</v>
      </c>
      <c r="M126" s="29" t="s">
        <v>452</v>
      </c>
      <c r="N126" s="44">
        <f>VLOOKUP($F126,'Asset Master'!$A:$J,6,FALSE)*0.1</f>
        <v>30000</v>
      </c>
    </row>
    <row r="127" spans="1:14" x14ac:dyDescent="0.25">
      <c r="A127" s="29" t="s">
        <v>453</v>
      </c>
      <c r="B127" s="41" t="s">
        <v>484</v>
      </c>
      <c r="C127" s="42" t="str">
        <f t="shared" si="1"/>
        <v>Thunderstorms, Tornados &amp; Hail</v>
      </c>
      <c r="D127" s="29" t="s">
        <v>402</v>
      </c>
      <c r="E127" s="30" t="str">
        <f>'Risk Master'!C127&amp;"-"&amp;'Risk Master'!D127</f>
        <v>Thunderstorms, Tornados &amp; Hail-Calgary</v>
      </c>
      <c r="F127" s="29" t="s">
        <v>235</v>
      </c>
      <c r="G127" s="43">
        <f>VLOOKUP($F127,'Asset Master'!$A:$J,6,FALSE)*-1</f>
        <v>-1000000</v>
      </c>
      <c r="H127" s="43">
        <f>VLOOKUP($F127,'Asset Master'!$A:$J,7,FALSE)*-1</f>
        <v>-900000</v>
      </c>
      <c r="I127" s="43">
        <f>VLOOKUP($F127,'Asset Master'!$A:$J,8,FALSE)*-1</f>
        <v>-800000</v>
      </c>
      <c r="J127" s="43">
        <f>VLOOKUP($F127,'Asset Master'!$A:$J,9,FALSE)*-1</f>
        <v>-700000</v>
      </c>
      <c r="K127" s="43">
        <f>VLOOKUP($F127,'Asset Master'!$A:$J,10,FALSE)*-1</f>
        <v>-600000</v>
      </c>
      <c r="L127" s="55">
        <f>VLOOKUP(E127,'Probabilty Distribution'!A:B,2,FALSE)</f>
        <v>0.25</v>
      </c>
      <c r="M127" s="29" t="s">
        <v>454</v>
      </c>
      <c r="N127" s="44">
        <f>VLOOKUP($F127,'Asset Master'!$A:$J,6,FALSE)*0.1</f>
        <v>100000</v>
      </c>
    </row>
    <row r="128" spans="1:14" x14ac:dyDescent="0.25">
      <c r="A128" s="29" t="s">
        <v>455</v>
      </c>
      <c r="B128" s="41" t="s">
        <v>848</v>
      </c>
      <c r="C128" s="42" t="str">
        <f t="shared" si="1"/>
        <v xml:space="preserve">Hurricane-Typhoon </v>
      </c>
      <c r="D128" s="29" t="s">
        <v>402</v>
      </c>
      <c r="E128" s="30" t="str">
        <f>'Risk Master'!C128&amp;"-"&amp;'Risk Master'!D128</f>
        <v>Hurricane-Typhoon -Calgary</v>
      </c>
      <c r="F128" s="29" t="s">
        <v>236</v>
      </c>
      <c r="G128" s="43">
        <f>VLOOKUP($F128,'Asset Master'!$A:$J,6,FALSE)*-1</f>
        <v>-500000</v>
      </c>
      <c r="H128" s="43">
        <f>VLOOKUP($F128,'Asset Master'!$A:$J,7,FALSE)*-1</f>
        <v>-375000</v>
      </c>
      <c r="I128" s="43">
        <f>VLOOKUP($F128,'Asset Master'!$A:$J,8,FALSE)*-1</f>
        <v>-250000</v>
      </c>
      <c r="J128" s="43">
        <f>VLOOKUP($F128,'Asset Master'!$A:$J,9,FALSE)*-1</f>
        <v>-125000</v>
      </c>
      <c r="K128" s="43">
        <f>VLOOKUP($F128,'Asset Master'!$A:$J,10,FALSE)*-1</f>
        <v>0</v>
      </c>
      <c r="L128" s="55">
        <f>VLOOKUP(E128,'Probabilty Distribution'!A:B,2,FALSE)</f>
        <v>0.2</v>
      </c>
      <c r="M128" s="29" t="s">
        <v>456</v>
      </c>
      <c r="N128" s="44">
        <f>VLOOKUP($F128,'Asset Master'!$A:$J,6,FALSE)*0.1</f>
        <v>50000</v>
      </c>
    </row>
    <row r="129" spans="1:14" x14ac:dyDescent="0.25">
      <c r="A129" s="29" t="s">
        <v>457</v>
      </c>
      <c r="B129" s="41" t="s">
        <v>481</v>
      </c>
      <c r="C129" s="42" t="str">
        <f t="shared" si="1"/>
        <v>Earthquake</v>
      </c>
      <c r="D129" s="29" t="s">
        <v>402</v>
      </c>
      <c r="E129" s="30" t="str">
        <f>'Risk Master'!C129&amp;"-"&amp;'Risk Master'!D129</f>
        <v>Earthquake-Calgary</v>
      </c>
      <c r="F129" s="29" t="s">
        <v>237</v>
      </c>
      <c r="G129" s="43">
        <f>VLOOKUP($F129,'Asset Master'!$A:$J,6,FALSE)*-1</f>
        <v>-200000</v>
      </c>
      <c r="H129" s="43">
        <f>VLOOKUP($F129,'Asset Master'!$A:$J,7,FALSE)*-1</f>
        <v>-160000</v>
      </c>
      <c r="I129" s="43">
        <f>VLOOKUP($F129,'Asset Master'!$A:$J,8,FALSE)*-1</f>
        <v>-120000</v>
      </c>
      <c r="J129" s="43">
        <f>VLOOKUP($F129,'Asset Master'!$A:$J,9,FALSE)*-1</f>
        <v>-80000</v>
      </c>
      <c r="K129" s="43">
        <f>VLOOKUP($F129,'Asset Master'!$A:$J,10,FALSE)*-1</f>
        <v>-40000</v>
      </c>
      <c r="L129" s="55">
        <f>VLOOKUP(E129,'Probabilty Distribution'!A:B,2,FALSE)</f>
        <v>0.1</v>
      </c>
      <c r="M129" s="29" t="s">
        <v>458</v>
      </c>
      <c r="N129" s="44">
        <f>VLOOKUP($F129,'Asset Master'!$A:$J,6,FALSE)*0.1</f>
        <v>20000</v>
      </c>
    </row>
    <row r="130" spans="1:14" x14ac:dyDescent="0.25">
      <c r="A130" s="29" t="s">
        <v>459</v>
      </c>
      <c r="B130" s="41" t="s">
        <v>484</v>
      </c>
      <c r="C130" s="42" t="str">
        <f t="shared" si="1"/>
        <v>Thunderstorms, Tornados &amp; Hail</v>
      </c>
      <c r="D130" s="29" t="s">
        <v>402</v>
      </c>
      <c r="E130" s="30" t="str">
        <f>'Risk Master'!C130&amp;"-"&amp;'Risk Master'!D130</f>
        <v>Thunderstorms, Tornados &amp; Hail-Calgary</v>
      </c>
      <c r="F130" s="29" t="s">
        <v>239</v>
      </c>
      <c r="G130" s="43">
        <f>VLOOKUP($F130,'Asset Master'!$A:$J,6,FALSE)*-1</f>
        <v>-200000</v>
      </c>
      <c r="H130" s="43">
        <f>VLOOKUP($F130,'Asset Master'!$A:$J,7,FALSE)*-1</f>
        <v>-150000</v>
      </c>
      <c r="I130" s="43">
        <f>VLOOKUP($F130,'Asset Master'!$A:$J,8,FALSE)*-1</f>
        <v>-100000</v>
      </c>
      <c r="J130" s="43">
        <f>VLOOKUP($F130,'Asset Master'!$A:$J,9,FALSE)*-1</f>
        <v>-50000</v>
      </c>
      <c r="K130" s="43">
        <f>VLOOKUP($F130,'Asset Master'!$A:$J,10,FALSE)*-1</f>
        <v>0</v>
      </c>
      <c r="L130" s="55">
        <f>VLOOKUP(E130,'Probabilty Distribution'!A:B,2,FALSE)</f>
        <v>0.25</v>
      </c>
      <c r="M130" s="29" t="s">
        <v>460</v>
      </c>
      <c r="N130" s="44">
        <f>VLOOKUP($F130,'Asset Master'!$A:$J,6,FALSE)*0.1</f>
        <v>20000</v>
      </c>
    </row>
    <row r="131" spans="1:14" x14ac:dyDescent="0.25">
      <c r="A131" s="29" t="s">
        <v>461</v>
      </c>
      <c r="B131" s="41" t="s">
        <v>848</v>
      </c>
      <c r="C131" s="42" t="str">
        <f t="shared" si="1"/>
        <v xml:space="preserve">Hurricane-Typhoon </v>
      </c>
      <c r="D131" s="29" t="s">
        <v>402</v>
      </c>
      <c r="E131" s="30" t="str">
        <f>'Risk Master'!C131&amp;"-"&amp;'Risk Master'!D131</f>
        <v>Hurricane-Typhoon -Calgary</v>
      </c>
      <c r="F131" s="29" t="s">
        <v>231</v>
      </c>
      <c r="G131" s="43">
        <f>VLOOKUP($F131,'Asset Master'!$A:$J,6,FALSE)*-1</f>
        <v>-1100000</v>
      </c>
      <c r="H131" s="43">
        <f>VLOOKUP($F131,'Asset Master'!$A:$J,7,FALSE)*-1</f>
        <v>-990000</v>
      </c>
      <c r="I131" s="43">
        <f>VLOOKUP($F131,'Asset Master'!$A:$J,8,FALSE)*-1</f>
        <v>-880000</v>
      </c>
      <c r="J131" s="43">
        <f>VLOOKUP($F131,'Asset Master'!$A:$J,9,FALSE)*-1</f>
        <v>-770000</v>
      </c>
      <c r="K131" s="43">
        <f>VLOOKUP($F131,'Asset Master'!$A:$J,10,FALSE)*-1</f>
        <v>-660000</v>
      </c>
      <c r="L131" s="55">
        <f>VLOOKUP(E131,'Probabilty Distribution'!A:B,2,FALSE)</f>
        <v>0.2</v>
      </c>
      <c r="M131" s="29" t="s">
        <v>462</v>
      </c>
      <c r="N131" s="44">
        <f>VLOOKUP($F131,'Asset Master'!$A:$J,6,FALSE)*0.1</f>
        <v>110000</v>
      </c>
    </row>
    <row r="132" spans="1:14" x14ac:dyDescent="0.25">
      <c r="A132" s="29" t="s">
        <v>463</v>
      </c>
      <c r="B132" s="41" t="s">
        <v>481</v>
      </c>
      <c r="C132" s="42" t="str">
        <f t="shared" ref="C132:C183" si="2">B132</f>
        <v>Earthquake</v>
      </c>
      <c r="D132" s="29" t="s">
        <v>402</v>
      </c>
      <c r="E132" s="30" t="str">
        <f>'Risk Master'!C132&amp;"-"&amp;'Risk Master'!D132</f>
        <v>Earthquake-Calgary</v>
      </c>
      <c r="F132" s="29" t="s">
        <v>232</v>
      </c>
      <c r="G132" s="43">
        <f>VLOOKUP($F132,'Asset Master'!$A:$J,6,FALSE)*-1</f>
        <v>-300000</v>
      </c>
      <c r="H132" s="43">
        <f>VLOOKUP($F132,'Asset Master'!$A:$J,7,FALSE)*-1</f>
        <v>-240000</v>
      </c>
      <c r="I132" s="43">
        <f>VLOOKUP($F132,'Asset Master'!$A:$J,8,FALSE)*-1</f>
        <v>-180000</v>
      </c>
      <c r="J132" s="43">
        <f>VLOOKUP($F132,'Asset Master'!$A:$J,9,FALSE)*-1</f>
        <v>-120000</v>
      </c>
      <c r="K132" s="43">
        <f>VLOOKUP($F132,'Asset Master'!$A:$J,10,FALSE)*-1</f>
        <v>-60000</v>
      </c>
      <c r="L132" s="55">
        <f>VLOOKUP(E132,'Probabilty Distribution'!A:B,2,FALSE)</f>
        <v>0.1</v>
      </c>
      <c r="M132" s="29" t="s">
        <v>464</v>
      </c>
      <c r="N132" s="44">
        <f>VLOOKUP($F132,'Asset Master'!$A:$J,6,FALSE)*0.1</f>
        <v>30000</v>
      </c>
    </row>
    <row r="133" spans="1:14" x14ac:dyDescent="0.25">
      <c r="A133" s="29" t="s">
        <v>465</v>
      </c>
      <c r="B133" s="41" t="s">
        <v>848</v>
      </c>
      <c r="C133" s="42" t="str">
        <f t="shared" si="2"/>
        <v xml:space="preserve">Hurricane-Typhoon </v>
      </c>
      <c r="D133" s="29" t="s">
        <v>402</v>
      </c>
      <c r="E133" s="30" t="str">
        <f>'Risk Master'!C133&amp;"-"&amp;'Risk Master'!D133</f>
        <v>Hurricane-Typhoon -Calgary</v>
      </c>
      <c r="F133" s="29" t="s">
        <v>237</v>
      </c>
      <c r="G133" s="43">
        <f>VLOOKUP($F133,'Asset Master'!$A:$J,6,FALSE)*-1</f>
        <v>-200000</v>
      </c>
      <c r="H133" s="43">
        <f>VLOOKUP($F133,'Asset Master'!$A:$J,7,FALSE)*-1</f>
        <v>-160000</v>
      </c>
      <c r="I133" s="43">
        <f>VLOOKUP($F133,'Asset Master'!$A:$J,8,FALSE)*-1</f>
        <v>-120000</v>
      </c>
      <c r="J133" s="43">
        <f>VLOOKUP($F133,'Asset Master'!$A:$J,9,FALSE)*-1</f>
        <v>-80000</v>
      </c>
      <c r="K133" s="43">
        <f>VLOOKUP($F133,'Asset Master'!$A:$J,10,FALSE)*-1</f>
        <v>-40000</v>
      </c>
      <c r="L133" s="55">
        <f>VLOOKUP(E133,'Probabilty Distribution'!A:B,2,FALSE)</f>
        <v>0.2</v>
      </c>
      <c r="M133" s="29" t="s">
        <v>466</v>
      </c>
      <c r="N133" s="44">
        <f>VLOOKUP($F133,'Asset Master'!$A:$J,6,FALSE)*0.1</f>
        <v>20000</v>
      </c>
    </row>
    <row r="134" spans="1:14" x14ac:dyDescent="0.25">
      <c r="A134" s="29" t="s">
        <v>467</v>
      </c>
      <c r="B134" s="41" t="s">
        <v>767</v>
      </c>
      <c r="C134" s="42" t="s">
        <v>781</v>
      </c>
      <c r="D134" s="29" t="s">
        <v>486</v>
      </c>
      <c r="E134" s="30" t="str">
        <f>'Risk Master'!C134&amp;"-"&amp;'Risk Master'!D134</f>
        <v>Thunderstorms, Tornados &amp; Tropical storms-Gulf of Mexico</v>
      </c>
      <c r="F134" s="29" t="s">
        <v>242</v>
      </c>
      <c r="G134" s="43">
        <f>VLOOKUP($F134,'Asset Master'!$A:$J,6,FALSE)*-1</f>
        <v>-400000</v>
      </c>
      <c r="H134" s="43">
        <f>VLOOKUP($F134,'Asset Master'!$A:$J,7,FALSE)*-1</f>
        <v>-360000</v>
      </c>
      <c r="I134" s="43">
        <f>VLOOKUP($F134,'Asset Master'!$A:$J,8,FALSE)*-1</f>
        <v>-320000</v>
      </c>
      <c r="J134" s="43">
        <f>VLOOKUP($F134,'Asset Master'!$A:$J,9,FALSE)*-1</f>
        <v>-280000</v>
      </c>
      <c r="K134" s="43">
        <f>VLOOKUP($F134,'Asset Master'!$A:$J,10,FALSE)*-1</f>
        <v>-240000</v>
      </c>
      <c r="L134" s="55">
        <f>VLOOKUP(E134,'Probabilty Distribution'!A:B,2,FALSE)</f>
        <v>0.17</v>
      </c>
      <c r="M134" s="29" t="s">
        <v>468</v>
      </c>
      <c r="N134" s="44">
        <f>VLOOKUP($F134,'Asset Master'!$A:$J,6,FALSE)*0.1</f>
        <v>40000</v>
      </c>
    </row>
    <row r="135" spans="1:14" x14ac:dyDescent="0.25">
      <c r="A135" s="29" t="s">
        <v>469</v>
      </c>
      <c r="B135" s="41" t="s">
        <v>768</v>
      </c>
      <c r="C135" s="42" t="s">
        <v>848</v>
      </c>
      <c r="D135" s="29" t="s">
        <v>486</v>
      </c>
      <c r="E135" s="30" t="str">
        <f>'Risk Master'!C135&amp;"-"&amp;'Risk Master'!D135</f>
        <v>Hurricane-Typhoon -Gulf of Mexico</v>
      </c>
      <c r="F135" s="29" t="s">
        <v>243</v>
      </c>
      <c r="G135" s="43">
        <f>VLOOKUP($F135,'Asset Master'!$A:$J,6,FALSE)*-1</f>
        <v>-500000</v>
      </c>
      <c r="H135" s="43">
        <f>VLOOKUP($F135,'Asset Master'!$A:$J,7,FALSE)*-1</f>
        <v>-450000</v>
      </c>
      <c r="I135" s="43">
        <f>VLOOKUP($F135,'Asset Master'!$A:$J,8,FALSE)*-1</f>
        <v>-400000</v>
      </c>
      <c r="J135" s="43">
        <f>VLOOKUP($F135,'Asset Master'!$A:$J,9,FALSE)*-1</f>
        <v>-350000</v>
      </c>
      <c r="K135" s="43">
        <f>VLOOKUP($F135,'Asset Master'!$A:$J,10,FALSE)*-1</f>
        <v>-300000</v>
      </c>
      <c r="L135" s="55">
        <f>VLOOKUP(E135,'Probabilty Distribution'!A:B,2,FALSE)</f>
        <v>0.24</v>
      </c>
      <c r="M135" s="29" t="s">
        <v>470</v>
      </c>
      <c r="N135" s="44">
        <f>VLOOKUP($F135,'Asset Master'!$A:$J,6,FALSE)*0.1</f>
        <v>50000</v>
      </c>
    </row>
    <row r="136" spans="1:14" x14ac:dyDescent="0.25">
      <c r="A136" s="29" t="s">
        <v>471</v>
      </c>
      <c r="B136" s="41" t="s">
        <v>769</v>
      </c>
      <c r="C136" s="42" t="s">
        <v>781</v>
      </c>
      <c r="D136" s="29" t="s">
        <v>486</v>
      </c>
      <c r="E136" s="30" t="str">
        <f>'Risk Master'!C136&amp;"-"&amp;'Risk Master'!D136</f>
        <v>Thunderstorms, Tornados &amp; Tropical storms-Gulf of Mexico</v>
      </c>
      <c r="F136" s="29" t="s">
        <v>245</v>
      </c>
      <c r="G136" s="43">
        <f>VLOOKUP($F136,'Asset Master'!$A:$J,6,FALSE)*-1</f>
        <v>-200000</v>
      </c>
      <c r="H136" s="43">
        <f>VLOOKUP($F136,'Asset Master'!$A:$J,7,FALSE)*-1</f>
        <v>-160000</v>
      </c>
      <c r="I136" s="43">
        <f>VLOOKUP($F136,'Asset Master'!$A:$J,8,FALSE)*-1</f>
        <v>-120000</v>
      </c>
      <c r="J136" s="43">
        <f>VLOOKUP($F136,'Asset Master'!$A:$J,9,FALSE)*-1</f>
        <v>-80000</v>
      </c>
      <c r="K136" s="43">
        <f>VLOOKUP($F136,'Asset Master'!$A:$J,10,FALSE)*-1</f>
        <v>-40000</v>
      </c>
      <c r="L136" s="55">
        <f>VLOOKUP(E136,'Probabilty Distribution'!A:B,2,FALSE)</f>
        <v>0.17</v>
      </c>
      <c r="M136" s="29" t="s">
        <v>472</v>
      </c>
      <c r="N136" s="44">
        <f>VLOOKUP($F136,'Asset Master'!$A:$J,6,FALSE)*0.1</f>
        <v>20000</v>
      </c>
    </row>
    <row r="137" spans="1:14" x14ac:dyDescent="0.25">
      <c r="A137" s="29" t="s">
        <v>473</v>
      </c>
      <c r="B137" s="41" t="s">
        <v>770</v>
      </c>
      <c r="C137" s="42" t="s">
        <v>781</v>
      </c>
      <c r="D137" s="29" t="s">
        <v>486</v>
      </c>
      <c r="E137" s="30" t="str">
        <f>'Risk Master'!C137&amp;"-"&amp;'Risk Master'!D137</f>
        <v>Thunderstorms, Tornados &amp; Tropical storms-Gulf of Mexico</v>
      </c>
      <c r="F137" s="29" t="s">
        <v>247</v>
      </c>
      <c r="G137" s="43">
        <f>VLOOKUP($F137,'Asset Master'!$A:$J,6,FALSE)*-1</f>
        <v>-300000</v>
      </c>
      <c r="H137" s="43">
        <f>VLOOKUP($F137,'Asset Master'!$A:$J,7,FALSE)*-1</f>
        <v>-240000</v>
      </c>
      <c r="I137" s="43">
        <f>VLOOKUP($F137,'Asset Master'!$A:$J,8,FALSE)*-1</f>
        <v>-180000</v>
      </c>
      <c r="J137" s="43">
        <f>VLOOKUP($F137,'Asset Master'!$A:$J,9,FALSE)*-1</f>
        <v>-120000</v>
      </c>
      <c r="K137" s="43">
        <f>VLOOKUP($F137,'Asset Master'!$A:$J,10,FALSE)*-1</f>
        <v>-60000</v>
      </c>
      <c r="L137" s="55">
        <f>VLOOKUP(E137,'Probabilty Distribution'!A:B,2,FALSE)</f>
        <v>0.17</v>
      </c>
      <c r="M137" s="29" t="s">
        <v>474</v>
      </c>
      <c r="N137" s="44">
        <f>VLOOKUP($F137,'Asset Master'!$A:$J,6,FALSE)*0.1</f>
        <v>30000</v>
      </c>
    </row>
    <row r="138" spans="1:14" x14ac:dyDescent="0.25">
      <c r="A138" s="29" t="s">
        <v>475</v>
      </c>
      <c r="B138" s="41" t="s">
        <v>771</v>
      </c>
      <c r="C138" s="42" t="s">
        <v>781</v>
      </c>
      <c r="D138" s="29" t="s">
        <v>486</v>
      </c>
      <c r="E138" s="30" t="str">
        <f>'Risk Master'!C138&amp;"-"&amp;'Risk Master'!D138</f>
        <v>Thunderstorms, Tornados &amp; Tropical storms-Gulf of Mexico</v>
      </c>
      <c r="F138" s="29" t="s">
        <v>252</v>
      </c>
      <c r="G138" s="43">
        <f>VLOOKUP($F138,'Asset Master'!$A:$J,6,FALSE)*-1</f>
        <v>-500000</v>
      </c>
      <c r="H138" s="43">
        <f>VLOOKUP($F138,'Asset Master'!$A:$J,7,FALSE)*-1</f>
        <v>-400000</v>
      </c>
      <c r="I138" s="43">
        <f>VLOOKUP($F138,'Asset Master'!$A:$J,8,FALSE)*-1</f>
        <v>-300000</v>
      </c>
      <c r="J138" s="43">
        <f>VLOOKUP($F138,'Asset Master'!$A:$J,9,FALSE)*-1</f>
        <v>-200000</v>
      </c>
      <c r="K138" s="43">
        <f>VLOOKUP($F138,'Asset Master'!$A:$J,10,FALSE)*-1</f>
        <v>-100000</v>
      </c>
      <c r="L138" s="55">
        <f>VLOOKUP(E138,'Probabilty Distribution'!A:B,2,FALSE)</f>
        <v>0.17</v>
      </c>
      <c r="M138" s="29" t="s">
        <v>476</v>
      </c>
      <c r="N138" s="44">
        <f>VLOOKUP($F138,'Asset Master'!$A:$J,6,FALSE)*0.1</f>
        <v>50000</v>
      </c>
    </row>
    <row r="139" spans="1:14" x14ac:dyDescent="0.25">
      <c r="A139" s="29" t="s">
        <v>699</v>
      </c>
      <c r="B139" s="41" t="s">
        <v>481</v>
      </c>
      <c r="C139" s="42" t="str">
        <f t="shared" si="2"/>
        <v>Earthquake</v>
      </c>
      <c r="D139" s="29" t="s">
        <v>486</v>
      </c>
      <c r="E139" s="30" t="str">
        <f>'Risk Master'!C139&amp;"-"&amp;'Risk Master'!D139</f>
        <v>Earthquake-Gulf of Mexico</v>
      </c>
      <c r="F139" s="29" t="s">
        <v>254</v>
      </c>
      <c r="G139" s="43">
        <f>VLOOKUP($F139,'Asset Master'!$A:$J,6,FALSE)*-1</f>
        <v>-600000</v>
      </c>
      <c r="H139" s="43">
        <f>VLOOKUP($F139,'Asset Master'!$A:$J,7,FALSE)*-1</f>
        <v>-450000</v>
      </c>
      <c r="I139" s="43">
        <f>VLOOKUP($F139,'Asset Master'!$A:$J,8,FALSE)*-1</f>
        <v>-300000</v>
      </c>
      <c r="J139" s="43">
        <f>VLOOKUP($F139,'Asset Master'!$A:$J,9,FALSE)*-1</f>
        <v>-150000</v>
      </c>
      <c r="K139" s="43">
        <f>VLOOKUP($F139,'Asset Master'!$A:$J,10,FALSE)*-1</f>
        <v>0</v>
      </c>
      <c r="L139" s="55">
        <f>VLOOKUP(E139,'Probabilty Distribution'!A:B,2,FALSE)</f>
        <v>0.1</v>
      </c>
      <c r="M139" s="29" t="s">
        <v>671</v>
      </c>
      <c r="N139" s="44">
        <f>VLOOKUP($F139,'Asset Master'!$A:$J,6,FALSE)*0.1</f>
        <v>60000</v>
      </c>
    </row>
    <row r="140" spans="1:14" x14ac:dyDescent="0.25">
      <c r="A140" s="29" t="s">
        <v>700</v>
      </c>
      <c r="B140" s="41" t="s">
        <v>484</v>
      </c>
      <c r="C140" s="42" t="str">
        <f t="shared" si="2"/>
        <v>Thunderstorms, Tornados &amp; Hail</v>
      </c>
      <c r="D140" s="29" t="s">
        <v>670</v>
      </c>
      <c r="E140" s="30" t="str">
        <f>'Risk Master'!C140&amp;"-"&amp;'Risk Master'!D140</f>
        <v>Thunderstorms, Tornados &amp; Hail-Tokyo</v>
      </c>
      <c r="F140" s="29" t="s">
        <v>257</v>
      </c>
      <c r="G140" s="43">
        <f>VLOOKUP($F140,'Asset Master'!$A:$J,6,FALSE)*-1</f>
        <v>-400000</v>
      </c>
      <c r="H140" s="43">
        <f>VLOOKUP($F140,'Asset Master'!$A:$J,7,FALSE)*-1</f>
        <v>-360000</v>
      </c>
      <c r="I140" s="43">
        <f>VLOOKUP($F140,'Asset Master'!$A:$J,8,FALSE)*-1</f>
        <v>-320000</v>
      </c>
      <c r="J140" s="43">
        <f>VLOOKUP($F140,'Asset Master'!$A:$J,9,FALSE)*-1</f>
        <v>-280000</v>
      </c>
      <c r="K140" s="43">
        <f>VLOOKUP($F140,'Asset Master'!$A:$J,10,FALSE)*-1</f>
        <v>-240000</v>
      </c>
      <c r="L140" s="55">
        <f>VLOOKUP(E140,'Probabilty Distribution'!A:B,2,FALSE)</f>
        <v>0.25</v>
      </c>
      <c r="M140" s="29" t="s">
        <v>672</v>
      </c>
      <c r="N140" s="44">
        <f>VLOOKUP($F140,'Asset Master'!$A:$J,6,FALSE)*0.1</f>
        <v>40000</v>
      </c>
    </row>
    <row r="141" spans="1:14" x14ac:dyDescent="0.25">
      <c r="A141" s="29" t="s">
        <v>701</v>
      </c>
      <c r="B141" s="41" t="s">
        <v>848</v>
      </c>
      <c r="C141" s="42" t="str">
        <f t="shared" si="2"/>
        <v xml:space="preserve">Hurricane-Typhoon </v>
      </c>
      <c r="D141" s="29" t="s">
        <v>670</v>
      </c>
      <c r="E141" s="30" t="str">
        <f>'Risk Master'!C141&amp;"-"&amp;'Risk Master'!D141</f>
        <v>Hurricane-Typhoon -Tokyo</v>
      </c>
      <c r="F141" s="29" t="s">
        <v>257</v>
      </c>
      <c r="G141" s="43">
        <f>VLOOKUP($F141,'Asset Master'!$A:$J,6,FALSE)*-1</f>
        <v>-400000</v>
      </c>
      <c r="H141" s="43">
        <f>VLOOKUP($F141,'Asset Master'!$A:$J,7,FALSE)*-1</f>
        <v>-360000</v>
      </c>
      <c r="I141" s="43">
        <f>VLOOKUP($F141,'Asset Master'!$A:$J,8,FALSE)*-1</f>
        <v>-320000</v>
      </c>
      <c r="J141" s="43">
        <f>VLOOKUP($F141,'Asset Master'!$A:$J,9,FALSE)*-1</f>
        <v>-280000</v>
      </c>
      <c r="K141" s="43">
        <f>VLOOKUP($F141,'Asset Master'!$A:$J,10,FALSE)*-1</f>
        <v>-240000</v>
      </c>
      <c r="L141" s="55">
        <f>VLOOKUP(E141,'Probabilty Distribution'!A:B,2,FALSE)</f>
        <v>0.2</v>
      </c>
      <c r="M141" s="29" t="s">
        <v>673</v>
      </c>
      <c r="N141" s="44">
        <f>VLOOKUP($F141,'Asset Master'!$A:$J,6,FALSE)*0.1</f>
        <v>40000</v>
      </c>
    </row>
    <row r="142" spans="1:14" x14ac:dyDescent="0.25">
      <c r="A142" s="29" t="s">
        <v>702</v>
      </c>
      <c r="B142" s="41" t="s">
        <v>481</v>
      </c>
      <c r="C142" s="42" t="str">
        <f t="shared" si="2"/>
        <v>Earthquake</v>
      </c>
      <c r="D142" s="29" t="s">
        <v>670</v>
      </c>
      <c r="E142" s="30" t="str">
        <f>'Risk Master'!C142&amp;"-"&amp;'Risk Master'!D142</f>
        <v>Earthquake-Tokyo</v>
      </c>
      <c r="F142" s="29" t="s">
        <v>257</v>
      </c>
      <c r="G142" s="43">
        <f>VLOOKUP($F142,'Asset Master'!$A:$J,6,FALSE)*-1</f>
        <v>-400000</v>
      </c>
      <c r="H142" s="43">
        <f>VLOOKUP($F142,'Asset Master'!$A:$J,7,FALSE)*-1</f>
        <v>-360000</v>
      </c>
      <c r="I142" s="43">
        <f>VLOOKUP($F142,'Asset Master'!$A:$J,8,FALSE)*-1</f>
        <v>-320000</v>
      </c>
      <c r="J142" s="43">
        <f>VLOOKUP($F142,'Asset Master'!$A:$J,9,FALSE)*-1</f>
        <v>-280000</v>
      </c>
      <c r="K142" s="43">
        <f>VLOOKUP($F142,'Asset Master'!$A:$J,10,FALSE)*-1</f>
        <v>-240000</v>
      </c>
      <c r="L142" s="55">
        <f>VLOOKUP(E142,'Probabilty Distribution'!A:B,2,FALSE)</f>
        <v>0.3</v>
      </c>
      <c r="M142" s="29" t="s">
        <v>674</v>
      </c>
      <c r="N142" s="44">
        <f>VLOOKUP($F142,'Asset Master'!$A:$J,6,FALSE)*0.1</f>
        <v>40000</v>
      </c>
    </row>
    <row r="143" spans="1:14" x14ac:dyDescent="0.25">
      <c r="A143" s="29" t="s">
        <v>703</v>
      </c>
      <c r="B143" s="41" t="s">
        <v>484</v>
      </c>
      <c r="C143" s="42" t="str">
        <f t="shared" si="2"/>
        <v>Thunderstorms, Tornados &amp; Hail</v>
      </c>
      <c r="D143" s="29" t="s">
        <v>670</v>
      </c>
      <c r="E143" s="30" t="str">
        <f>'Risk Master'!C143&amp;"-"&amp;'Risk Master'!D143</f>
        <v>Thunderstorms, Tornados &amp; Hail-Tokyo</v>
      </c>
      <c r="F143" s="29" t="s">
        <v>258</v>
      </c>
      <c r="G143" s="43">
        <f>VLOOKUP($F143,'Asset Master'!$A:$J,6,FALSE)*-1</f>
        <v>-300000</v>
      </c>
      <c r="H143" s="43">
        <f>VLOOKUP($F143,'Asset Master'!$A:$J,7,FALSE)*-1</f>
        <v>-270000</v>
      </c>
      <c r="I143" s="43">
        <f>VLOOKUP($F143,'Asset Master'!$A:$J,8,FALSE)*-1</f>
        <v>-240000</v>
      </c>
      <c r="J143" s="43">
        <f>VLOOKUP($F143,'Asset Master'!$A:$J,9,FALSE)*-1</f>
        <v>-210000</v>
      </c>
      <c r="K143" s="43">
        <f>VLOOKUP($F143,'Asset Master'!$A:$J,10,FALSE)*-1</f>
        <v>-180000</v>
      </c>
      <c r="L143" s="55">
        <f>VLOOKUP(E143,'Probabilty Distribution'!A:B,2,FALSE)</f>
        <v>0.25</v>
      </c>
      <c r="M143" s="29" t="s">
        <v>675</v>
      </c>
      <c r="N143" s="44">
        <f>VLOOKUP($F143,'Asset Master'!$A:$J,6,FALSE)*0.1</f>
        <v>30000</v>
      </c>
    </row>
    <row r="144" spans="1:14" x14ac:dyDescent="0.25">
      <c r="A144" s="29" t="s">
        <v>704</v>
      </c>
      <c r="B144" s="41" t="s">
        <v>848</v>
      </c>
      <c r="C144" s="42" t="str">
        <f t="shared" si="2"/>
        <v xml:space="preserve">Hurricane-Typhoon </v>
      </c>
      <c r="D144" s="29" t="s">
        <v>670</v>
      </c>
      <c r="E144" s="30" t="str">
        <f>'Risk Master'!C144&amp;"-"&amp;'Risk Master'!D144</f>
        <v>Hurricane-Typhoon -Tokyo</v>
      </c>
      <c r="F144" s="29" t="s">
        <v>258</v>
      </c>
      <c r="G144" s="43">
        <f>VLOOKUP($F144,'Asset Master'!$A:$J,6,FALSE)*-1</f>
        <v>-300000</v>
      </c>
      <c r="H144" s="43">
        <f>VLOOKUP($F144,'Asset Master'!$A:$J,7,FALSE)*-1</f>
        <v>-270000</v>
      </c>
      <c r="I144" s="43">
        <f>VLOOKUP($F144,'Asset Master'!$A:$J,8,FALSE)*-1</f>
        <v>-240000</v>
      </c>
      <c r="J144" s="43">
        <f>VLOOKUP($F144,'Asset Master'!$A:$J,9,FALSE)*-1</f>
        <v>-210000</v>
      </c>
      <c r="K144" s="43">
        <f>VLOOKUP($F144,'Asset Master'!$A:$J,10,FALSE)*-1</f>
        <v>-180000</v>
      </c>
      <c r="L144" s="55">
        <f>VLOOKUP(E144,'Probabilty Distribution'!A:B,2,FALSE)</f>
        <v>0.2</v>
      </c>
      <c r="M144" s="29" t="s">
        <v>676</v>
      </c>
      <c r="N144" s="44">
        <f>VLOOKUP($F144,'Asset Master'!$A:$J,6,FALSE)*0.1</f>
        <v>30000</v>
      </c>
    </row>
    <row r="145" spans="1:14" x14ac:dyDescent="0.25">
      <c r="A145" s="29" t="s">
        <v>705</v>
      </c>
      <c r="B145" s="41" t="s">
        <v>481</v>
      </c>
      <c r="C145" s="42" t="str">
        <f t="shared" si="2"/>
        <v>Earthquake</v>
      </c>
      <c r="D145" s="29" t="s">
        <v>670</v>
      </c>
      <c r="E145" s="30" t="str">
        <f>'Risk Master'!C145&amp;"-"&amp;'Risk Master'!D145</f>
        <v>Earthquake-Tokyo</v>
      </c>
      <c r="F145" s="29" t="s">
        <v>262</v>
      </c>
      <c r="G145" s="43">
        <f>VLOOKUP($F145,'Asset Master'!$A:$J,6,FALSE)*-1</f>
        <v>-300000</v>
      </c>
      <c r="H145" s="43">
        <f>VLOOKUP($F145,'Asset Master'!$A:$J,7,FALSE)*-1</f>
        <v>-240000</v>
      </c>
      <c r="I145" s="43">
        <f>VLOOKUP($F145,'Asset Master'!$A:$J,8,FALSE)*-1</f>
        <v>-180000</v>
      </c>
      <c r="J145" s="43">
        <f>VLOOKUP($F145,'Asset Master'!$A:$J,9,FALSE)*-1</f>
        <v>-120000</v>
      </c>
      <c r="K145" s="43">
        <f>VLOOKUP($F145,'Asset Master'!$A:$J,10,FALSE)*-1</f>
        <v>-60000</v>
      </c>
      <c r="L145" s="55">
        <f>VLOOKUP(E145,'Probabilty Distribution'!A:B,2,FALSE)</f>
        <v>0.3</v>
      </c>
      <c r="M145" s="29" t="s">
        <v>677</v>
      </c>
      <c r="N145" s="44">
        <f>VLOOKUP($F145,'Asset Master'!$A:$J,6,FALSE)*0.1</f>
        <v>30000</v>
      </c>
    </row>
    <row r="146" spans="1:14" x14ac:dyDescent="0.25">
      <c r="A146" s="29" t="s">
        <v>706</v>
      </c>
      <c r="B146" s="41" t="s">
        <v>484</v>
      </c>
      <c r="C146" s="42" t="str">
        <f t="shared" si="2"/>
        <v>Thunderstorms, Tornados &amp; Hail</v>
      </c>
      <c r="D146" s="29" t="s">
        <v>670</v>
      </c>
      <c r="E146" s="30" t="str">
        <f>'Risk Master'!C146&amp;"-"&amp;'Risk Master'!D146</f>
        <v>Thunderstorms, Tornados &amp; Hail-Tokyo</v>
      </c>
      <c r="F146" s="29" t="s">
        <v>263</v>
      </c>
      <c r="G146" s="43">
        <f>VLOOKUP($F146,'Asset Master'!$A:$J,6,FALSE)*-1</f>
        <v>-300000</v>
      </c>
      <c r="H146" s="43">
        <f>VLOOKUP($F146,'Asset Master'!$A:$J,7,FALSE)*-1</f>
        <v>-270000</v>
      </c>
      <c r="I146" s="43">
        <f>VLOOKUP($F146,'Asset Master'!$A:$J,8,FALSE)*-1</f>
        <v>-240000</v>
      </c>
      <c r="J146" s="43">
        <f>VLOOKUP($F146,'Asset Master'!$A:$J,9,FALSE)*-1</f>
        <v>-210000</v>
      </c>
      <c r="K146" s="43">
        <f>VLOOKUP($F146,'Asset Master'!$A:$J,10,FALSE)*-1</f>
        <v>-180000</v>
      </c>
      <c r="L146" s="55">
        <f>VLOOKUP(E146,'Probabilty Distribution'!A:B,2,FALSE)</f>
        <v>0.25</v>
      </c>
      <c r="M146" s="29" t="s">
        <v>678</v>
      </c>
      <c r="N146" s="44">
        <f>VLOOKUP($F146,'Asset Master'!$A:$J,6,FALSE)*0.1</f>
        <v>30000</v>
      </c>
    </row>
    <row r="147" spans="1:14" x14ac:dyDescent="0.25">
      <c r="A147" s="29" t="s">
        <v>707</v>
      </c>
      <c r="B147" s="41" t="s">
        <v>482</v>
      </c>
      <c r="C147" s="42" t="str">
        <f t="shared" si="2"/>
        <v>Fire</v>
      </c>
      <c r="D147" s="29" t="s">
        <v>670</v>
      </c>
      <c r="E147" s="30" t="str">
        <f>'Risk Master'!C147&amp;"-"&amp;'Risk Master'!D147</f>
        <v>Fire-Tokyo</v>
      </c>
      <c r="F147" s="29" t="s">
        <v>267</v>
      </c>
      <c r="G147" s="43">
        <f>VLOOKUP($F147,'Asset Master'!$A:$J,6,FALSE)*-1</f>
        <v>-200000</v>
      </c>
      <c r="H147" s="43">
        <f>VLOOKUP($F147,'Asset Master'!$A:$J,7,FALSE)*-1</f>
        <v>-160000</v>
      </c>
      <c r="I147" s="43">
        <f>VLOOKUP($F147,'Asset Master'!$A:$J,8,FALSE)*-1</f>
        <v>-120000</v>
      </c>
      <c r="J147" s="43">
        <f>VLOOKUP($F147,'Asset Master'!$A:$J,9,FALSE)*-1</f>
        <v>-80000</v>
      </c>
      <c r="K147" s="43">
        <f>VLOOKUP($F147,'Asset Master'!$A:$J,10,FALSE)*-1</f>
        <v>-40000</v>
      </c>
      <c r="L147" s="55">
        <f>VLOOKUP(E147,'Probabilty Distribution'!A:B,2,FALSE)</f>
        <v>0.22</v>
      </c>
      <c r="M147" s="29" t="s">
        <v>679</v>
      </c>
      <c r="N147" s="44">
        <f>VLOOKUP($F147,'Asset Master'!$A:$J,6,FALSE)*0.1</f>
        <v>20000</v>
      </c>
    </row>
    <row r="148" spans="1:14" x14ac:dyDescent="0.25">
      <c r="A148" s="29" t="s">
        <v>708</v>
      </c>
      <c r="B148" s="41" t="s">
        <v>481</v>
      </c>
      <c r="C148" s="42" t="str">
        <f t="shared" si="2"/>
        <v>Earthquake</v>
      </c>
      <c r="D148" s="29" t="s">
        <v>670</v>
      </c>
      <c r="E148" s="30" t="str">
        <f>'Risk Master'!C148&amp;"-"&amp;'Risk Master'!D148</f>
        <v>Earthquake-Tokyo</v>
      </c>
      <c r="F148" s="29" t="s">
        <v>267</v>
      </c>
      <c r="G148" s="43">
        <f>VLOOKUP($F148,'Asset Master'!$A:$J,6,FALSE)*-1</f>
        <v>-200000</v>
      </c>
      <c r="H148" s="43">
        <f>VLOOKUP($F148,'Asset Master'!$A:$J,7,FALSE)*-1</f>
        <v>-160000</v>
      </c>
      <c r="I148" s="43">
        <f>VLOOKUP($F148,'Asset Master'!$A:$J,8,FALSE)*-1</f>
        <v>-120000</v>
      </c>
      <c r="J148" s="43">
        <f>VLOOKUP($F148,'Asset Master'!$A:$J,9,FALSE)*-1</f>
        <v>-80000</v>
      </c>
      <c r="K148" s="43">
        <f>VLOOKUP($F148,'Asset Master'!$A:$J,10,FALSE)*-1</f>
        <v>-40000</v>
      </c>
      <c r="L148" s="55">
        <f>VLOOKUP(E148,'Probabilty Distribution'!A:B,2,FALSE)</f>
        <v>0.3</v>
      </c>
      <c r="M148" s="29" t="s">
        <v>680</v>
      </c>
      <c r="N148" s="44">
        <f>VLOOKUP($F148,'Asset Master'!$A:$J,6,FALSE)*0.1</f>
        <v>20000</v>
      </c>
    </row>
    <row r="149" spans="1:14" x14ac:dyDescent="0.25">
      <c r="A149" s="29" t="s">
        <v>709</v>
      </c>
      <c r="B149" s="41" t="s">
        <v>484</v>
      </c>
      <c r="C149" s="42" t="str">
        <f t="shared" si="2"/>
        <v>Thunderstorms, Tornados &amp; Hail</v>
      </c>
      <c r="D149" s="29" t="s">
        <v>670</v>
      </c>
      <c r="E149" s="30" t="str">
        <f>'Risk Master'!C149&amp;"-"&amp;'Risk Master'!D149</f>
        <v>Thunderstorms, Tornados &amp; Hail-Tokyo</v>
      </c>
      <c r="F149" s="29" t="s">
        <v>269</v>
      </c>
      <c r="G149" s="43">
        <f>VLOOKUP($F149,'Asset Master'!$A:$J,6,FALSE)*-1</f>
        <v>-400000</v>
      </c>
      <c r="H149" s="43">
        <f>VLOOKUP($F149,'Asset Master'!$A:$J,7,FALSE)*-1</f>
        <v>-300000</v>
      </c>
      <c r="I149" s="43">
        <f>VLOOKUP($F149,'Asset Master'!$A:$J,8,FALSE)*-1</f>
        <v>-200000</v>
      </c>
      <c r="J149" s="43">
        <f>VLOOKUP($F149,'Asset Master'!$A:$J,9,FALSE)*-1</f>
        <v>-100000</v>
      </c>
      <c r="K149" s="43">
        <f>VLOOKUP($F149,'Asset Master'!$A:$J,10,FALSE)*-1</f>
        <v>0</v>
      </c>
      <c r="L149" s="55">
        <f>VLOOKUP(E149,'Probabilty Distribution'!A:B,2,FALSE)</f>
        <v>0.25</v>
      </c>
      <c r="M149" s="29" t="s">
        <v>681</v>
      </c>
      <c r="N149" s="44">
        <f>VLOOKUP($F149,'Asset Master'!$A:$J,6,FALSE)*0.1</f>
        <v>40000</v>
      </c>
    </row>
    <row r="150" spans="1:14" x14ac:dyDescent="0.25">
      <c r="A150" s="29" t="s">
        <v>710</v>
      </c>
      <c r="B150" s="41" t="s">
        <v>848</v>
      </c>
      <c r="C150" s="42" t="str">
        <f t="shared" si="2"/>
        <v xml:space="preserve">Hurricane-Typhoon </v>
      </c>
      <c r="D150" s="29" t="s">
        <v>670</v>
      </c>
      <c r="E150" s="30" t="str">
        <f>'Risk Master'!C150&amp;"-"&amp;'Risk Master'!D150</f>
        <v>Hurricane-Typhoon -Tokyo</v>
      </c>
      <c r="F150" s="29" t="s">
        <v>269</v>
      </c>
      <c r="G150" s="43">
        <f>VLOOKUP($F150,'Asset Master'!$A:$J,6,FALSE)*-1</f>
        <v>-400000</v>
      </c>
      <c r="H150" s="43">
        <f>VLOOKUP($F150,'Asset Master'!$A:$J,7,FALSE)*-1</f>
        <v>-300000</v>
      </c>
      <c r="I150" s="43">
        <f>VLOOKUP($F150,'Asset Master'!$A:$J,8,FALSE)*-1</f>
        <v>-200000</v>
      </c>
      <c r="J150" s="43">
        <f>VLOOKUP($F150,'Asset Master'!$A:$J,9,FALSE)*-1</f>
        <v>-100000</v>
      </c>
      <c r="K150" s="43">
        <f>VLOOKUP($F150,'Asset Master'!$A:$J,10,FALSE)*-1</f>
        <v>0</v>
      </c>
      <c r="L150" s="55">
        <f>VLOOKUP(E150,'Probabilty Distribution'!A:B,2,FALSE)</f>
        <v>0.2</v>
      </c>
      <c r="M150" s="29" t="s">
        <v>682</v>
      </c>
      <c r="N150" s="44">
        <f>VLOOKUP($F150,'Asset Master'!$A:$J,6,FALSE)*0.1</f>
        <v>40000</v>
      </c>
    </row>
    <row r="151" spans="1:14" x14ac:dyDescent="0.25">
      <c r="A151" s="29" t="s">
        <v>711</v>
      </c>
      <c r="B151" s="41" t="s">
        <v>481</v>
      </c>
      <c r="C151" s="42" t="str">
        <f t="shared" si="2"/>
        <v>Earthquake</v>
      </c>
      <c r="D151" s="29" t="s">
        <v>670</v>
      </c>
      <c r="E151" s="30" t="str">
        <f>'Risk Master'!C151&amp;"-"&amp;'Risk Master'!D151</f>
        <v>Earthquake-Tokyo</v>
      </c>
      <c r="F151" s="29" t="s">
        <v>269</v>
      </c>
      <c r="G151" s="43">
        <f>VLOOKUP($F151,'Asset Master'!$A:$J,6,FALSE)*-1</f>
        <v>-400000</v>
      </c>
      <c r="H151" s="43">
        <f>VLOOKUP($F151,'Asset Master'!$A:$J,7,FALSE)*-1</f>
        <v>-300000</v>
      </c>
      <c r="I151" s="43">
        <f>VLOOKUP($F151,'Asset Master'!$A:$J,8,FALSE)*-1</f>
        <v>-200000</v>
      </c>
      <c r="J151" s="43">
        <f>VLOOKUP($F151,'Asset Master'!$A:$J,9,FALSE)*-1</f>
        <v>-100000</v>
      </c>
      <c r="K151" s="43">
        <f>VLOOKUP($F151,'Asset Master'!$A:$J,10,FALSE)*-1</f>
        <v>0</v>
      </c>
      <c r="L151" s="55">
        <f>VLOOKUP(E151,'Probabilty Distribution'!A:B,2,FALSE)</f>
        <v>0.3</v>
      </c>
      <c r="M151" s="29" t="s">
        <v>683</v>
      </c>
      <c r="N151" s="44">
        <f>VLOOKUP($F151,'Asset Master'!$A:$J,6,FALSE)*0.1</f>
        <v>40000</v>
      </c>
    </row>
    <row r="152" spans="1:14" x14ac:dyDescent="0.25">
      <c r="A152" s="29" t="s">
        <v>712</v>
      </c>
      <c r="B152" s="41" t="s">
        <v>482</v>
      </c>
      <c r="C152" s="42" t="str">
        <f t="shared" si="2"/>
        <v>Fire</v>
      </c>
      <c r="D152" s="29" t="s">
        <v>670</v>
      </c>
      <c r="E152" s="30" t="str">
        <f>'Risk Master'!C152&amp;"-"&amp;'Risk Master'!D152</f>
        <v>Fire-Tokyo</v>
      </c>
      <c r="F152" s="29" t="s">
        <v>258</v>
      </c>
      <c r="G152" s="43">
        <f>VLOOKUP($F152,'Asset Master'!$A:$J,6,FALSE)*-1</f>
        <v>-300000</v>
      </c>
      <c r="H152" s="43">
        <f>VLOOKUP($F152,'Asset Master'!$A:$J,7,FALSE)*-1</f>
        <v>-270000</v>
      </c>
      <c r="I152" s="43">
        <f>VLOOKUP($F152,'Asset Master'!$A:$J,8,FALSE)*-1</f>
        <v>-240000</v>
      </c>
      <c r="J152" s="43">
        <f>VLOOKUP($F152,'Asset Master'!$A:$J,9,FALSE)*-1</f>
        <v>-210000</v>
      </c>
      <c r="K152" s="43">
        <f>VLOOKUP($F152,'Asset Master'!$A:$J,10,FALSE)*-1</f>
        <v>-180000</v>
      </c>
      <c r="L152" s="55">
        <f>VLOOKUP(E152,'Probabilty Distribution'!A:B,2,FALSE)</f>
        <v>0.22</v>
      </c>
      <c r="M152" s="29" t="s">
        <v>684</v>
      </c>
      <c r="N152" s="44">
        <f>VLOOKUP($F152,'Asset Master'!$A:$J,6,FALSE)*0.1</f>
        <v>30000</v>
      </c>
    </row>
    <row r="153" spans="1:14" x14ac:dyDescent="0.25">
      <c r="A153" s="29" t="s">
        <v>713</v>
      </c>
      <c r="B153" s="41" t="s">
        <v>484</v>
      </c>
      <c r="C153" s="42" t="str">
        <f t="shared" si="2"/>
        <v>Thunderstorms, Tornados &amp; Hail</v>
      </c>
      <c r="D153" s="29" t="s">
        <v>670</v>
      </c>
      <c r="E153" s="30" t="str">
        <f>'Risk Master'!C153&amp;"-"&amp;'Risk Master'!D153</f>
        <v>Thunderstorms, Tornados &amp; Hail-Tokyo</v>
      </c>
      <c r="F153" s="29" t="s">
        <v>262</v>
      </c>
      <c r="G153" s="43">
        <f>VLOOKUP($F153,'Asset Master'!$A:$J,6,FALSE)*-1</f>
        <v>-300000</v>
      </c>
      <c r="H153" s="43">
        <f>VLOOKUP($F153,'Asset Master'!$A:$J,7,FALSE)*-1</f>
        <v>-240000</v>
      </c>
      <c r="I153" s="43">
        <f>VLOOKUP($F153,'Asset Master'!$A:$J,8,FALSE)*-1</f>
        <v>-180000</v>
      </c>
      <c r="J153" s="43">
        <f>VLOOKUP($F153,'Asset Master'!$A:$J,9,FALSE)*-1</f>
        <v>-120000</v>
      </c>
      <c r="K153" s="43">
        <f>VLOOKUP($F153,'Asset Master'!$A:$J,10,FALSE)*-1</f>
        <v>-60000</v>
      </c>
      <c r="L153" s="55">
        <f>VLOOKUP(E153,'Probabilty Distribution'!A:B,2,FALSE)</f>
        <v>0.25</v>
      </c>
      <c r="M153" s="29" t="s">
        <v>685</v>
      </c>
      <c r="N153" s="44">
        <f>VLOOKUP($F153,'Asset Master'!$A:$J,6,FALSE)*0.1</f>
        <v>30000</v>
      </c>
    </row>
    <row r="154" spans="1:14" x14ac:dyDescent="0.25">
      <c r="A154" s="29" t="s">
        <v>714</v>
      </c>
      <c r="B154" s="41" t="s">
        <v>775</v>
      </c>
      <c r="C154" s="42" t="s">
        <v>794</v>
      </c>
      <c r="D154" s="29" t="s">
        <v>670</v>
      </c>
      <c r="E154" s="30" t="str">
        <f>'Risk Master'!C154&amp;"-"&amp;'Risk Master'!D154</f>
        <v>Tropical Storm-Tokyo</v>
      </c>
      <c r="F154" s="29" t="s">
        <v>263</v>
      </c>
      <c r="G154" s="43">
        <f>VLOOKUP($F154,'Asset Master'!$A:$J,6,FALSE)*-1</f>
        <v>-300000</v>
      </c>
      <c r="H154" s="43">
        <f>VLOOKUP($F154,'Asset Master'!$A:$J,7,FALSE)*-1</f>
        <v>-270000</v>
      </c>
      <c r="I154" s="43">
        <f>VLOOKUP($F154,'Asset Master'!$A:$J,8,FALSE)*-1</f>
        <v>-240000</v>
      </c>
      <c r="J154" s="43">
        <f>VLOOKUP($F154,'Asset Master'!$A:$J,9,FALSE)*-1</f>
        <v>-210000</v>
      </c>
      <c r="K154" s="43">
        <f>VLOOKUP($F154,'Asset Master'!$A:$J,10,FALSE)*-1</f>
        <v>-180000</v>
      </c>
      <c r="L154" s="55">
        <f>VLOOKUP(E154,'Probabilty Distribution'!A:B,2,FALSE)</f>
        <v>0.1</v>
      </c>
      <c r="M154" s="29" t="s">
        <v>686</v>
      </c>
      <c r="N154" s="44">
        <f>VLOOKUP($F154,'Asset Master'!$A:$J,6,FALSE)*0.1</f>
        <v>30000</v>
      </c>
    </row>
    <row r="155" spans="1:14" x14ac:dyDescent="0.25">
      <c r="A155" s="29" t="s">
        <v>715</v>
      </c>
      <c r="B155" s="41" t="s">
        <v>481</v>
      </c>
      <c r="C155" s="42" t="str">
        <f t="shared" si="2"/>
        <v>Earthquake</v>
      </c>
      <c r="D155" s="29" t="s">
        <v>670</v>
      </c>
      <c r="E155" s="30" t="str">
        <f>'Risk Master'!C155&amp;"-"&amp;'Risk Master'!D155</f>
        <v>Earthquake-Tokyo</v>
      </c>
      <c r="F155" s="29" t="s">
        <v>262</v>
      </c>
      <c r="G155" s="43">
        <f>VLOOKUP($F155,'Asset Master'!$A:$J,6,FALSE)*-1</f>
        <v>-300000</v>
      </c>
      <c r="H155" s="43">
        <f>VLOOKUP($F155,'Asset Master'!$A:$J,7,FALSE)*-1</f>
        <v>-240000</v>
      </c>
      <c r="I155" s="43">
        <f>VLOOKUP($F155,'Asset Master'!$A:$J,8,FALSE)*-1</f>
        <v>-180000</v>
      </c>
      <c r="J155" s="43">
        <f>VLOOKUP($F155,'Asset Master'!$A:$J,9,FALSE)*-1</f>
        <v>-120000</v>
      </c>
      <c r="K155" s="43">
        <f>VLOOKUP($F155,'Asset Master'!$A:$J,10,FALSE)*-1</f>
        <v>-60000</v>
      </c>
      <c r="L155" s="55">
        <f>VLOOKUP(E155,'Probabilty Distribution'!A:B,2,FALSE)</f>
        <v>0.3</v>
      </c>
      <c r="M155" s="29" t="s">
        <v>687</v>
      </c>
      <c r="N155" s="44">
        <f>VLOOKUP($F155,'Asset Master'!$A:$J,6,FALSE)*0.1</f>
        <v>30000</v>
      </c>
    </row>
    <row r="156" spans="1:14" x14ac:dyDescent="0.25">
      <c r="A156" s="29" t="s">
        <v>716</v>
      </c>
      <c r="B156" s="41" t="s">
        <v>482</v>
      </c>
      <c r="C156" s="42" t="str">
        <f t="shared" si="2"/>
        <v>Fire</v>
      </c>
      <c r="D156" s="29" t="s">
        <v>670</v>
      </c>
      <c r="E156" s="30" t="str">
        <f>'Risk Master'!C156&amp;"-"&amp;'Risk Master'!D156</f>
        <v>Fire-Tokyo</v>
      </c>
      <c r="F156" s="29" t="s">
        <v>263</v>
      </c>
      <c r="G156" s="43">
        <f>VLOOKUP($F156,'Asset Master'!$A:$J,6,FALSE)*-1</f>
        <v>-300000</v>
      </c>
      <c r="H156" s="43">
        <f>VLOOKUP($F156,'Asset Master'!$A:$J,7,FALSE)*-1</f>
        <v>-270000</v>
      </c>
      <c r="I156" s="43">
        <f>VLOOKUP($F156,'Asset Master'!$A:$J,8,FALSE)*-1</f>
        <v>-240000</v>
      </c>
      <c r="J156" s="43">
        <f>VLOOKUP($F156,'Asset Master'!$A:$J,9,FALSE)*-1</f>
        <v>-210000</v>
      </c>
      <c r="K156" s="43">
        <f>VLOOKUP($F156,'Asset Master'!$A:$J,10,FALSE)*-1</f>
        <v>-180000</v>
      </c>
      <c r="L156" s="55">
        <f>VLOOKUP(E156,'Probabilty Distribution'!A:B,2,FALSE)</f>
        <v>0.22</v>
      </c>
      <c r="M156" s="29" t="s">
        <v>688</v>
      </c>
      <c r="N156" s="44">
        <f>VLOOKUP($F156,'Asset Master'!$A:$J,6,FALSE)*0.1</f>
        <v>30000</v>
      </c>
    </row>
    <row r="157" spans="1:14" x14ac:dyDescent="0.25">
      <c r="A157" s="29" t="s">
        <v>717</v>
      </c>
      <c r="B157" s="41" t="s">
        <v>482</v>
      </c>
      <c r="C157" s="42" t="str">
        <f t="shared" si="2"/>
        <v>Fire</v>
      </c>
      <c r="D157" s="29" t="s">
        <v>670</v>
      </c>
      <c r="E157" s="30" t="str">
        <f>'Risk Master'!C157&amp;"-"&amp;'Risk Master'!D157</f>
        <v>Fire-Tokyo</v>
      </c>
      <c r="F157" s="29" t="s">
        <v>262</v>
      </c>
      <c r="G157" s="43">
        <f>VLOOKUP($F157,'Asset Master'!$A:$J,6,FALSE)*-1</f>
        <v>-300000</v>
      </c>
      <c r="H157" s="43">
        <f>VLOOKUP($F157,'Asset Master'!$A:$J,7,FALSE)*-1</f>
        <v>-240000</v>
      </c>
      <c r="I157" s="43">
        <f>VLOOKUP($F157,'Asset Master'!$A:$J,8,FALSE)*-1</f>
        <v>-180000</v>
      </c>
      <c r="J157" s="43">
        <f>VLOOKUP($F157,'Asset Master'!$A:$J,9,FALSE)*-1</f>
        <v>-120000</v>
      </c>
      <c r="K157" s="43">
        <f>VLOOKUP($F157,'Asset Master'!$A:$J,10,FALSE)*-1</f>
        <v>-60000</v>
      </c>
      <c r="L157" s="55">
        <f>VLOOKUP(E157,'Probabilty Distribution'!A:B,2,FALSE)</f>
        <v>0.22</v>
      </c>
      <c r="M157" s="29" t="s">
        <v>689</v>
      </c>
      <c r="N157" s="44">
        <f>VLOOKUP($F157,'Asset Master'!$A:$J,6,FALSE)*0.1</f>
        <v>30000</v>
      </c>
    </row>
    <row r="158" spans="1:14" x14ac:dyDescent="0.25">
      <c r="A158" s="29" t="s">
        <v>718</v>
      </c>
      <c r="B158" s="41" t="s">
        <v>773</v>
      </c>
      <c r="C158" s="42" t="s">
        <v>781</v>
      </c>
      <c r="D158" s="29" t="s">
        <v>777</v>
      </c>
      <c r="E158" s="30" t="str">
        <f>'Risk Master'!C158&amp;"-"&amp;'Risk Master'!D158</f>
        <v>Thunderstorms, Tornados &amp; Tropical storms-Caribbean Islands</v>
      </c>
      <c r="F158" s="29" t="s">
        <v>273</v>
      </c>
      <c r="G158" s="43">
        <f>VLOOKUP($F158,'Asset Master'!$A:$J,6,FALSE)*-1</f>
        <v>-400000</v>
      </c>
      <c r="H158" s="43">
        <f>VLOOKUP($F158,'Asset Master'!$A:$J,7,FALSE)*-1</f>
        <v>-360000</v>
      </c>
      <c r="I158" s="43">
        <f>VLOOKUP($F158,'Asset Master'!$A:$J,8,FALSE)*-1</f>
        <v>-320000</v>
      </c>
      <c r="J158" s="43">
        <f>VLOOKUP($F158,'Asset Master'!$A:$J,9,FALSE)*-1</f>
        <v>-280000</v>
      </c>
      <c r="K158" s="43">
        <f>VLOOKUP($F158,'Asset Master'!$A:$J,10,FALSE)*-1</f>
        <v>-240000</v>
      </c>
      <c r="L158" s="55">
        <f>VLOOKUP(E158,'Probabilty Distribution'!A:B,2,FALSE)</f>
        <v>0.15</v>
      </c>
      <c r="M158" s="29" t="s">
        <v>690</v>
      </c>
      <c r="N158" s="44">
        <f>VLOOKUP($F158,'Asset Master'!$A:$J,6,FALSE)*0.1</f>
        <v>40000</v>
      </c>
    </row>
    <row r="159" spans="1:14" x14ac:dyDescent="0.25">
      <c r="A159" s="29" t="s">
        <v>719</v>
      </c>
      <c r="B159" s="41" t="s">
        <v>774</v>
      </c>
      <c r="C159" s="42" t="s">
        <v>781</v>
      </c>
      <c r="D159" s="29" t="s">
        <v>777</v>
      </c>
      <c r="E159" s="30" t="str">
        <f>'Risk Master'!C159&amp;"-"&amp;'Risk Master'!D159</f>
        <v>Thunderstorms, Tornados &amp; Tropical storms-Caribbean Islands</v>
      </c>
      <c r="F159" s="29" t="s">
        <v>273</v>
      </c>
      <c r="G159" s="43">
        <f>VLOOKUP($F159,'Asset Master'!$A:$J,6,FALSE)*-1</f>
        <v>-400000</v>
      </c>
      <c r="H159" s="43">
        <f>VLOOKUP($F159,'Asset Master'!$A:$J,7,FALSE)*-1</f>
        <v>-360000</v>
      </c>
      <c r="I159" s="43">
        <f>VLOOKUP($F159,'Asset Master'!$A:$J,8,FALSE)*-1</f>
        <v>-320000</v>
      </c>
      <c r="J159" s="43">
        <f>VLOOKUP($F159,'Asset Master'!$A:$J,9,FALSE)*-1</f>
        <v>-280000</v>
      </c>
      <c r="K159" s="43">
        <f>VLOOKUP($F159,'Asset Master'!$A:$J,10,FALSE)*-1</f>
        <v>-240000</v>
      </c>
      <c r="L159" s="55">
        <f>VLOOKUP(E159,'Probabilty Distribution'!A:B,2,FALSE)</f>
        <v>0.15</v>
      </c>
      <c r="M159" s="29" t="s">
        <v>691</v>
      </c>
      <c r="N159" s="44">
        <f>VLOOKUP($F159,'Asset Master'!$A:$J,6,FALSE)*0.1</f>
        <v>40000</v>
      </c>
    </row>
    <row r="160" spans="1:14" x14ac:dyDescent="0.25">
      <c r="A160" s="29" t="s">
        <v>720</v>
      </c>
      <c r="B160" s="41" t="s">
        <v>776</v>
      </c>
      <c r="C160" s="42" t="s">
        <v>781</v>
      </c>
      <c r="D160" s="29" t="s">
        <v>777</v>
      </c>
      <c r="E160" s="30" t="str">
        <f>'Risk Master'!C160&amp;"-"&amp;'Risk Master'!D160</f>
        <v>Thunderstorms, Tornados &amp; Tropical storms-Caribbean Islands</v>
      </c>
      <c r="F160" s="29" t="s">
        <v>277</v>
      </c>
      <c r="G160" s="43">
        <f>VLOOKUP($F160,'Asset Master'!$A:$J,6,FALSE)*-1</f>
        <v>-600000</v>
      </c>
      <c r="H160" s="43">
        <f>VLOOKUP($F160,'Asset Master'!$A:$J,7,FALSE)*-1</f>
        <v>-480000</v>
      </c>
      <c r="I160" s="43">
        <f>VLOOKUP($F160,'Asset Master'!$A:$J,8,FALSE)*-1</f>
        <v>-360000</v>
      </c>
      <c r="J160" s="43">
        <f>VLOOKUP($F160,'Asset Master'!$A:$J,9,FALSE)*-1</f>
        <v>-240000</v>
      </c>
      <c r="K160" s="43">
        <f>VLOOKUP($F160,'Asset Master'!$A:$J,10,FALSE)*-1</f>
        <v>-120000</v>
      </c>
      <c r="L160" s="55">
        <f>VLOOKUP(E160,'Probabilty Distribution'!A:B,2,FALSE)</f>
        <v>0.15</v>
      </c>
      <c r="M160" s="29" t="s">
        <v>692</v>
      </c>
      <c r="N160" s="44">
        <f>VLOOKUP($F160,'Asset Master'!$A:$J,6,FALSE)*0.1</f>
        <v>60000</v>
      </c>
    </row>
    <row r="161" spans="1:14" x14ac:dyDescent="0.25">
      <c r="A161" s="29" t="s">
        <v>721</v>
      </c>
      <c r="B161" s="41" t="s">
        <v>481</v>
      </c>
      <c r="C161" s="42" t="str">
        <f t="shared" si="2"/>
        <v>Earthquake</v>
      </c>
      <c r="D161" s="29" t="s">
        <v>777</v>
      </c>
      <c r="E161" s="30" t="str">
        <f>'Risk Master'!C161&amp;"-"&amp;'Risk Master'!D161</f>
        <v>Earthquake-Caribbean Islands</v>
      </c>
      <c r="F161" s="29" t="s">
        <v>277</v>
      </c>
      <c r="G161" s="43">
        <f>VLOOKUP($F161,'Asset Master'!$A:$J,6,FALSE)*-1</f>
        <v>-600000</v>
      </c>
      <c r="H161" s="43">
        <f>VLOOKUP($F161,'Asset Master'!$A:$J,7,FALSE)*-1</f>
        <v>-480000</v>
      </c>
      <c r="I161" s="43">
        <f>VLOOKUP($F161,'Asset Master'!$A:$J,8,FALSE)*-1</f>
        <v>-360000</v>
      </c>
      <c r="J161" s="43">
        <f>VLOOKUP($F161,'Asset Master'!$A:$J,9,FALSE)*-1</f>
        <v>-240000</v>
      </c>
      <c r="K161" s="43">
        <f>VLOOKUP($F161,'Asset Master'!$A:$J,10,FALSE)*-1</f>
        <v>-120000</v>
      </c>
      <c r="L161" s="55">
        <f>VLOOKUP(E161,'Probabilty Distribution'!A:B,2,FALSE)</f>
        <v>0.25</v>
      </c>
      <c r="M161" s="29" t="s">
        <v>693</v>
      </c>
      <c r="N161" s="44">
        <f>VLOOKUP($F161,'Asset Master'!$A:$J,6,FALSE)*0.1</f>
        <v>60000</v>
      </c>
    </row>
    <row r="162" spans="1:14" x14ac:dyDescent="0.25">
      <c r="A162" s="29" t="s">
        <v>722</v>
      </c>
      <c r="B162" s="41" t="s">
        <v>484</v>
      </c>
      <c r="C162" s="42" t="str">
        <f t="shared" si="2"/>
        <v>Thunderstorms, Tornados &amp; Hail</v>
      </c>
      <c r="D162" s="29" t="s">
        <v>777</v>
      </c>
      <c r="E162" s="30" t="str">
        <f>'Risk Master'!C162&amp;"-"&amp;'Risk Master'!D162</f>
        <v>Thunderstorms, Tornados &amp; Hail-Caribbean Islands</v>
      </c>
      <c r="F162" s="29" t="s">
        <v>277</v>
      </c>
      <c r="G162" s="43">
        <f>VLOOKUP($F162,'Asset Master'!$A:$J,6,FALSE)*-1</f>
        <v>-600000</v>
      </c>
      <c r="H162" s="43">
        <f>VLOOKUP($F162,'Asset Master'!$A:$J,7,FALSE)*-1</f>
        <v>-480000</v>
      </c>
      <c r="I162" s="43">
        <f>VLOOKUP($F162,'Asset Master'!$A:$J,8,FALSE)*-1</f>
        <v>-360000</v>
      </c>
      <c r="J162" s="43">
        <f>VLOOKUP($F162,'Asset Master'!$A:$J,9,FALSE)*-1</f>
        <v>-240000</v>
      </c>
      <c r="K162" s="43">
        <f>VLOOKUP($F162,'Asset Master'!$A:$J,10,FALSE)*-1</f>
        <v>-120000</v>
      </c>
      <c r="L162" s="55">
        <f>VLOOKUP(E162,'Probabilty Distribution'!A:B,2,FALSE)</f>
        <v>0.22</v>
      </c>
      <c r="M162" s="29" t="s">
        <v>694</v>
      </c>
      <c r="N162" s="44">
        <f>VLOOKUP($F162,'Asset Master'!$A:$J,6,FALSE)*0.1</f>
        <v>60000</v>
      </c>
    </row>
    <row r="163" spans="1:14" x14ac:dyDescent="0.25">
      <c r="A163" s="29" t="s">
        <v>723</v>
      </c>
      <c r="B163" s="41" t="s">
        <v>778</v>
      </c>
      <c r="C163" s="42" t="s">
        <v>781</v>
      </c>
      <c r="D163" s="29" t="s">
        <v>777</v>
      </c>
      <c r="E163" s="30" t="str">
        <f>'Risk Master'!C163&amp;"-"&amp;'Risk Master'!D163</f>
        <v>Thunderstorms, Tornados &amp; Tropical storms-Caribbean Islands</v>
      </c>
      <c r="F163" s="29" t="s">
        <v>273</v>
      </c>
      <c r="G163" s="43">
        <f>VLOOKUP($F163,'Asset Master'!$A:$J,6,FALSE)*-1</f>
        <v>-400000</v>
      </c>
      <c r="H163" s="43">
        <f>VLOOKUP($F163,'Asset Master'!$A:$J,7,FALSE)*-1</f>
        <v>-360000</v>
      </c>
      <c r="I163" s="43">
        <f>VLOOKUP($F163,'Asset Master'!$A:$J,8,FALSE)*-1</f>
        <v>-320000</v>
      </c>
      <c r="J163" s="43">
        <f>VLOOKUP($F163,'Asset Master'!$A:$J,9,FALSE)*-1</f>
        <v>-280000</v>
      </c>
      <c r="K163" s="43">
        <f>VLOOKUP($F163,'Asset Master'!$A:$J,10,FALSE)*-1</f>
        <v>-240000</v>
      </c>
      <c r="L163" s="55">
        <f>VLOOKUP(E163,'Probabilty Distribution'!A:B,2,FALSE)</f>
        <v>0.15</v>
      </c>
      <c r="M163" s="29" t="s">
        <v>695</v>
      </c>
      <c r="N163" s="44">
        <f>VLOOKUP($F163,'Asset Master'!$A:$J,6,FALSE)*0.1</f>
        <v>40000</v>
      </c>
    </row>
    <row r="164" spans="1:14" x14ac:dyDescent="0.25">
      <c r="A164" s="29" t="s">
        <v>724</v>
      </c>
      <c r="B164" s="41" t="s">
        <v>481</v>
      </c>
      <c r="C164" s="42" t="str">
        <f t="shared" si="2"/>
        <v>Earthquake</v>
      </c>
      <c r="D164" s="29" t="s">
        <v>777</v>
      </c>
      <c r="E164" s="30" t="str">
        <f>'Risk Master'!C164&amp;"-"&amp;'Risk Master'!D164</f>
        <v>Earthquake-Caribbean Islands</v>
      </c>
      <c r="F164" s="29" t="s">
        <v>282</v>
      </c>
      <c r="G164" s="43">
        <f>VLOOKUP($F164,'Asset Master'!$A:$J,6,FALSE)*-1</f>
        <v>-600000</v>
      </c>
      <c r="H164" s="43">
        <f>VLOOKUP($F164,'Asset Master'!$A:$J,7,FALSE)*-1</f>
        <v>-480000</v>
      </c>
      <c r="I164" s="43">
        <f>VLOOKUP($F164,'Asset Master'!$A:$J,8,FALSE)*-1</f>
        <v>-360000</v>
      </c>
      <c r="J164" s="43">
        <f>VLOOKUP($F164,'Asset Master'!$A:$J,9,FALSE)*-1</f>
        <v>-240000</v>
      </c>
      <c r="K164" s="43">
        <f>VLOOKUP($F164,'Asset Master'!$A:$J,10,FALSE)*-1</f>
        <v>-120000</v>
      </c>
      <c r="L164" s="55">
        <f>VLOOKUP(E164,'Probabilty Distribution'!A:B,2,FALSE)</f>
        <v>0.25</v>
      </c>
      <c r="M164" s="29" t="s">
        <v>696</v>
      </c>
      <c r="N164" s="44">
        <f>VLOOKUP($F164,'Asset Master'!$A:$J,6,FALSE)*0.1</f>
        <v>60000</v>
      </c>
    </row>
    <row r="165" spans="1:14" x14ac:dyDescent="0.25">
      <c r="A165" s="29" t="s">
        <v>725</v>
      </c>
      <c r="B165" s="41" t="s">
        <v>848</v>
      </c>
      <c r="C165" s="42" t="str">
        <f t="shared" si="2"/>
        <v xml:space="preserve">Hurricane-Typhoon </v>
      </c>
      <c r="D165" s="29" t="s">
        <v>777</v>
      </c>
      <c r="E165" s="30" t="str">
        <f>'Risk Master'!C165&amp;"-"&amp;'Risk Master'!D165</f>
        <v>Hurricane-Typhoon -Caribbean Islands</v>
      </c>
      <c r="F165" s="29" t="s">
        <v>282</v>
      </c>
      <c r="G165" s="43">
        <f>VLOOKUP($F165,'Asset Master'!$A:$J,6,FALSE)*-1</f>
        <v>-600000</v>
      </c>
      <c r="H165" s="43">
        <f>VLOOKUP($F165,'Asset Master'!$A:$J,7,FALSE)*-1</f>
        <v>-480000</v>
      </c>
      <c r="I165" s="43">
        <f>VLOOKUP($F165,'Asset Master'!$A:$J,8,FALSE)*-1</f>
        <v>-360000</v>
      </c>
      <c r="J165" s="43">
        <f>VLOOKUP($F165,'Asset Master'!$A:$J,9,FALSE)*-1</f>
        <v>-240000</v>
      </c>
      <c r="K165" s="43">
        <f>VLOOKUP($F165,'Asset Master'!$A:$J,10,FALSE)*-1</f>
        <v>-120000</v>
      </c>
      <c r="L165" s="55">
        <f>VLOOKUP(E165,'Probabilty Distribution'!A:B,2,FALSE)</f>
        <v>0.15</v>
      </c>
      <c r="M165" s="29" t="s">
        <v>726</v>
      </c>
      <c r="N165" s="44">
        <f>VLOOKUP($F165,'Asset Master'!$A:$J,6,FALSE)*0.1</f>
        <v>60000</v>
      </c>
    </row>
    <row r="166" spans="1:14" x14ac:dyDescent="0.25">
      <c r="A166" s="29" t="s">
        <v>727</v>
      </c>
      <c r="B166" s="41" t="s">
        <v>484</v>
      </c>
      <c r="C166" s="42" t="str">
        <f t="shared" si="2"/>
        <v>Thunderstorms, Tornados &amp; Hail</v>
      </c>
      <c r="D166" s="29" t="s">
        <v>777</v>
      </c>
      <c r="E166" s="30" t="str">
        <f>'Risk Master'!C166&amp;"-"&amp;'Risk Master'!D166</f>
        <v>Thunderstorms, Tornados &amp; Hail-Caribbean Islands</v>
      </c>
      <c r="F166" s="29" t="s">
        <v>282</v>
      </c>
      <c r="G166" s="43">
        <f>VLOOKUP($F166,'Asset Master'!$A:$J,6,FALSE)*-1</f>
        <v>-600000</v>
      </c>
      <c r="H166" s="43">
        <f>VLOOKUP($F166,'Asset Master'!$A:$J,7,FALSE)*-1</f>
        <v>-480000</v>
      </c>
      <c r="I166" s="43">
        <f>VLOOKUP($F166,'Asset Master'!$A:$J,8,FALSE)*-1</f>
        <v>-360000</v>
      </c>
      <c r="J166" s="43">
        <f>VLOOKUP($F166,'Asset Master'!$A:$J,9,FALSE)*-1</f>
        <v>-240000</v>
      </c>
      <c r="K166" s="43">
        <f>VLOOKUP($F166,'Asset Master'!$A:$J,10,FALSE)*-1</f>
        <v>-120000</v>
      </c>
      <c r="L166" s="55">
        <f>VLOOKUP(E166,'Probabilty Distribution'!A:B,2,FALSE)</f>
        <v>0.22</v>
      </c>
      <c r="M166" s="29" t="s">
        <v>728</v>
      </c>
      <c r="N166" s="44">
        <f>VLOOKUP($F166,'Asset Master'!$A:$J,6,FALSE)*0.1</f>
        <v>60000</v>
      </c>
    </row>
    <row r="167" spans="1:14" x14ac:dyDescent="0.25">
      <c r="A167" s="29" t="s">
        <v>729</v>
      </c>
      <c r="B167" s="41" t="s">
        <v>848</v>
      </c>
      <c r="C167" s="42" t="str">
        <f t="shared" si="2"/>
        <v xml:space="preserve">Hurricane-Typhoon </v>
      </c>
      <c r="D167" s="29" t="s">
        <v>777</v>
      </c>
      <c r="E167" s="30" t="str">
        <f>'Risk Master'!C167&amp;"-"&amp;'Risk Master'!D167</f>
        <v>Hurricane-Typhoon -Caribbean Islands</v>
      </c>
      <c r="F167" s="29" t="s">
        <v>284</v>
      </c>
      <c r="G167" s="43">
        <f>VLOOKUP($F167,'Asset Master'!$A:$J,6,FALSE)*-1</f>
        <v>-200000</v>
      </c>
      <c r="H167" s="43">
        <f>VLOOKUP($F167,'Asset Master'!$A:$J,7,FALSE)*-1</f>
        <v>-150000</v>
      </c>
      <c r="I167" s="43">
        <f>VLOOKUP($F167,'Asset Master'!$A:$J,8,FALSE)*-1</f>
        <v>-100000</v>
      </c>
      <c r="J167" s="43">
        <f>VLOOKUP($F167,'Asset Master'!$A:$J,9,FALSE)*-1</f>
        <v>-50000</v>
      </c>
      <c r="K167" s="43">
        <f>VLOOKUP($F167,'Asset Master'!$A:$J,10,FALSE)*-1</f>
        <v>0</v>
      </c>
      <c r="L167" s="55">
        <f>VLOOKUP(E167,'Probabilty Distribution'!A:B,2,FALSE)</f>
        <v>0.15</v>
      </c>
      <c r="M167" s="29" t="s">
        <v>730</v>
      </c>
      <c r="N167" s="44">
        <f>VLOOKUP($F167,'Asset Master'!$A:$J,6,FALSE)*0.1</f>
        <v>20000</v>
      </c>
    </row>
    <row r="168" spans="1:14" x14ac:dyDescent="0.25">
      <c r="A168" s="29" t="s">
        <v>731</v>
      </c>
      <c r="B168" s="41" t="s">
        <v>481</v>
      </c>
      <c r="C168" s="42" t="str">
        <f t="shared" si="2"/>
        <v>Earthquake</v>
      </c>
      <c r="D168" s="29" t="s">
        <v>777</v>
      </c>
      <c r="E168" s="30" t="str">
        <f>'Risk Master'!C168&amp;"-"&amp;'Risk Master'!D168</f>
        <v>Earthquake-Caribbean Islands</v>
      </c>
      <c r="F168" s="29" t="s">
        <v>284</v>
      </c>
      <c r="G168" s="43">
        <f>VLOOKUP($F168,'Asset Master'!$A:$J,6,FALSE)*-1</f>
        <v>-200000</v>
      </c>
      <c r="H168" s="43">
        <f>VLOOKUP($F168,'Asset Master'!$A:$J,7,FALSE)*-1</f>
        <v>-150000</v>
      </c>
      <c r="I168" s="43">
        <f>VLOOKUP($F168,'Asset Master'!$A:$J,8,FALSE)*-1</f>
        <v>-100000</v>
      </c>
      <c r="J168" s="43">
        <f>VLOOKUP($F168,'Asset Master'!$A:$J,9,FALSE)*-1</f>
        <v>-50000</v>
      </c>
      <c r="K168" s="43">
        <f>VLOOKUP($F168,'Asset Master'!$A:$J,10,FALSE)*-1</f>
        <v>0</v>
      </c>
      <c r="L168" s="55">
        <f>VLOOKUP(E168,'Probabilty Distribution'!A:B,2,FALSE)</f>
        <v>0.25</v>
      </c>
      <c r="M168" s="29" t="s">
        <v>732</v>
      </c>
      <c r="N168" s="44">
        <f>VLOOKUP($F168,'Asset Master'!$A:$J,6,FALSE)*0.1</f>
        <v>20000</v>
      </c>
    </row>
    <row r="169" spans="1:14" x14ac:dyDescent="0.25">
      <c r="A169" s="29" t="s">
        <v>733</v>
      </c>
      <c r="B169" s="41" t="s">
        <v>482</v>
      </c>
      <c r="C169" s="42" t="str">
        <f t="shared" si="2"/>
        <v>Fire</v>
      </c>
      <c r="D169" s="29" t="s">
        <v>777</v>
      </c>
      <c r="E169" s="30" t="str">
        <f>'Risk Master'!C169&amp;"-"&amp;'Risk Master'!D169</f>
        <v>Fire-Caribbean Islands</v>
      </c>
      <c r="F169" s="29" t="s">
        <v>284</v>
      </c>
      <c r="G169" s="43">
        <f>VLOOKUP($F169,'Asset Master'!$A:$J,6,FALSE)*-1</f>
        <v>-200000</v>
      </c>
      <c r="H169" s="43">
        <f>VLOOKUP($F169,'Asset Master'!$A:$J,7,FALSE)*-1</f>
        <v>-150000</v>
      </c>
      <c r="I169" s="43">
        <f>VLOOKUP($F169,'Asset Master'!$A:$J,8,FALSE)*-1</f>
        <v>-100000</v>
      </c>
      <c r="J169" s="43">
        <f>VLOOKUP($F169,'Asset Master'!$A:$J,9,FALSE)*-1</f>
        <v>-50000</v>
      </c>
      <c r="K169" s="43">
        <f>VLOOKUP($F169,'Asset Master'!$A:$J,10,FALSE)*-1</f>
        <v>0</v>
      </c>
      <c r="L169" s="55">
        <f>VLOOKUP(E169,'Probabilty Distribution'!A:B,2,FALSE)</f>
        <v>0.14000000000000001</v>
      </c>
      <c r="M169" s="29" t="s">
        <v>734</v>
      </c>
      <c r="N169" s="44">
        <f>VLOOKUP($F169,'Asset Master'!$A:$J,6,FALSE)*0.1</f>
        <v>20000</v>
      </c>
    </row>
    <row r="170" spans="1:14" x14ac:dyDescent="0.25">
      <c r="A170" s="29" t="s">
        <v>735</v>
      </c>
      <c r="B170" s="41" t="s">
        <v>773</v>
      </c>
      <c r="C170" s="42" t="s">
        <v>794</v>
      </c>
      <c r="D170" s="29" t="s">
        <v>777</v>
      </c>
      <c r="E170" s="30" t="str">
        <f>'Risk Master'!C170&amp;"-"&amp;'Risk Master'!D170</f>
        <v>Tropical Storm-Caribbean Islands</v>
      </c>
      <c r="F170" s="29" t="s">
        <v>284</v>
      </c>
      <c r="G170" s="43">
        <f>VLOOKUP($F170,'Asset Master'!$A:$J,6,FALSE)*-1</f>
        <v>-200000</v>
      </c>
      <c r="H170" s="43">
        <f>VLOOKUP($F170,'Asset Master'!$A:$J,7,FALSE)*-1</f>
        <v>-150000</v>
      </c>
      <c r="I170" s="43">
        <f>VLOOKUP($F170,'Asset Master'!$A:$J,8,FALSE)*-1</f>
        <v>-100000</v>
      </c>
      <c r="J170" s="43">
        <f>VLOOKUP($F170,'Asset Master'!$A:$J,9,FALSE)*-1</f>
        <v>-50000</v>
      </c>
      <c r="K170" s="43">
        <f>VLOOKUP($F170,'Asset Master'!$A:$J,10,FALSE)*-1</f>
        <v>0</v>
      </c>
      <c r="L170" s="55">
        <f>VLOOKUP(E170,'Probabilty Distribution'!A:B,2,FALSE)</f>
        <v>0.14000000000000001</v>
      </c>
      <c r="M170" s="29" t="s">
        <v>736</v>
      </c>
      <c r="N170" s="44">
        <f>VLOOKUP($F170,'Asset Master'!$A:$J,6,FALSE)*0.1</f>
        <v>20000</v>
      </c>
    </row>
    <row r="171" spans="1:14" x14ac:dyDescent="0.25">
      <c r="A171" s="29" t="s">
        <v>737</v>
      </c>
      <c r="B171" s="41" t="s">
        <v>481</v>
      </c>
      <c r="C171" s="42" t="str">
        <f t="shared" si="2"/>
        <v>Earthquake</v>
      </c>
      <c r="D171" s="29" t="s">
        <v>668</v>
      </c>
      <c r="E171" s="30" t="str">
        <f>'Risk Master'!C171&amp;"-"&amp;'Risk Master'!D171</f>
        <v>Earthquake-Texas</v>
      </c>
      <c r="F171" s="29" t="s">
        <v>288</v>
      </c>
      <c r="G171" s="43">
        <f>VLOOKUP($F171,'Asset Master'!$A:$J,6,FALSE)*-1</f>
        <v>-1200000</v>
      </c>
      <c r="H171" s="43">
        <f>VLOOKUP($F171,'Asset Master'!$A:$J,7,FALSE)*-1</f>
        <v>-1080000</v>
      </c>
      <c r="I171" s="43">
        <f>VLOOKUP($F171,'Asset Master'!$A:$J,8,FALSE)*-1</f>
        <v>-960000</v>
      </c>
      <c r="J171" s="43">
        <f>VLOOKUP($F171,'Asset Master'!$A:$J,9,FALSE)*-1</f>
        <v>-840000</v>
      </c>
      <c r="K171" s="43">
        <f>VLOOKUP($F171,'Asset Master'!$A:$J,10,FALSE)*-1</f>
        <v>-720000</v>
      </c>
      <c r="L171" s="55">
        <f>VLOOKUP(E171,'Probabilty Distribution'!A:B,2,FALSE)</f>
        <v>0.22</v>
      </c>
      <c r="M171" s="29" t="s">
        <v>744</v>
      </c>
      <c r="N171" s="44">
        <f>VLOOKUP($F171,'Asset Master'!$A:$J,6,FALSE)*0.1</f>
        <v>120000</v>
      </c>
    </row>
    <row r="172" spans="1:14" x14ac:dyDescent="0.25">
      <c r="A172" s="29" t="s">
        <v>739</v>
      </c>
      <c r="B172" s="41" t="s">
        <v>484</v>
      </c>
      <c r="C172" s="42" t="str">
        <f t="shared" si="2"/>
        <v>Thunderstorms, Tornados &amp; Hail</v>
      </c>
      <c r="D172" s="29" t="s">
        <v>668</v>
      </c>
      <c r="E172" s="30" t="str">
        <f>'Risk Master'!C172&amp;"-"&amp;'Risk Master'!D172</f>
        <v>Thunderstorms, Tornados &amp; Hail-Texas</v>
      </c>
      <c r="F172" s="29" t="s">
        <v>288</v>
      </c>
      <c r="G172" s="43">
        <f>VLOOKUP($F172,'Asset Master'!$A:$J,6,FALSE)*-1</f>
        <v>-1200000</v>
      </c>
      <c r="H172" s="43">
        <f>VLOOKUP($F172,'Asset Master'!$A:$J,7,FALSE)*-1</f>
        <v>-1080000</v>
      </c>
      <c r="I172" s="43">
        <f>VLOOKUP($F172,'Asset Master'!$A:$J,8,FALSE)*-1</f>
        <v>-960000</v>
      </c>
      <c r="J172" s="43">
        <f>VLOOKUP($F172,'Asset Master'!$A:$J,9,FALSE)*-1</f>
        <v>-840000</v>
      </c>
      <c r="K172" s="43">
        <f>VLOOKUP($F172,'Asset Master'!$A:$J,10,FALSE)*-1</f>
        <v>-720000</v>
      </c>
      <c r="L172" s="55">
        <f>VLOOKUP(E172,'Probabilty Distribution'!A:B,2,FALSE)</f>
        <v>0.15</v>
      </c>
      <c r="M172" s="29" t="s">
        <v>746</v>
      </c>
      <c r="N172" s="44">
        <f>VLOOKUP($F172,'Asset Master'!$A:$J,6,FALSE)*0.1</f>
        <v>120000</v>
      </c>
    </row>
    <row r="173" spans="1:14" x14ac:dyDescent="0.25">
      <c r="A173" s="29" t="s">
        <v>741</v>
      </c>
      <c r="B173" s="41" t="s">
        <v>848</v>
      </c>
      <c r="C173" s="42" t="str">
        <f t="shared" si="2"/>
        <v xml:space="preserve">Hurricane-Typhoon </v>
      </c>
      <c r="D173" s="29" t="s">
        <v>668</v>
      </c>
      <c r="E173" s="30" t="str">
        <f>'Risk Master'!C173&amp;"-"&amp;'Risk Master'!D173</f>
        <v>Hurricane-Typhoon -Texas</v>
      </c>
      <c r="F173" s="29" t="s">
        <v>288</v>
      </c>
      <c r="G173" s="43">
        <f>VLOOKUP($F173,'Asset Master'!$A:$J,6,FALSE)*-1</f>
        <v>-1200000</v>
      </c>
      <c r="H173" s="43">
        <f>VLOOKUP($F173,'Asset Master'!$A:$J,7,FALSE)*-1</f>
        <v>-1080000</v>
      </c>
      <c r="I173" s="43">
        <f>VLOOKUP($F173,'Asset Master'!$A:$J,8,FALSE)*-1</f>
        <v>-960000</v>
      </c>
      <c r="J173" s="43">
        <f>VLOOKUP($F173,'Asset Master'!$A:$J,9,FALSE)*-1</f>
        <v>-840000</v>
      </c>
      <c r="K173" s="43">
        <f>VLOOKUP($F173,'Asset Master'!$A:$J,10,FALSE)*-1</f>
        <v>-720000</v>
      </c>
      <c r="L173" s="55">
        <f>VLOOKUP(E173,'Probabilty Distribution'!A:B,2,FALSE)</f>
        <v>0.16</v>
      </c>
      <c r="M173" s="29" t="s">
        <v>748</v>
      </c>
      <c r="N173" s="44">
        <f>VLOOKUP($F173,'Asset Master'!$A:$J,6,FALSE)*0.1</f>
        <v>120000</v>
      </c>
    </row>
    <row r="174" spans="1:14" x14ac:dyDescent="0.25">
      <c r="A174" s="29" t="s">
        <v>743</v>
      </c>
      <c r="B174" s="41" t="s">
        <v>481</v>
      </c>
      <c r="C174" s="42" t="str">
        <f t="shared" si="2"/>
        <v>Earthquake</v>
      </c>
      <c r="D174" s="29" t="s">
        <v>668</v>
      </c>
      <c r="E174" s="30" t="str">
        <f>'Risk Master'!C174&amp;"-"&amp;'Risk Master'!D174</f>
        <v>Earthquake-Texas</v>
      </c>
      <c r="F174" s="29" t="s">
        <v>291</v>
      </c>
      <c r="G174" s="43">
        <f>VLOOKUP($F174,'Asset Master'!$A:$J,6,FALSE)*-1</f>
        <v>-1000000</v>
      </c>
      <c r="H174" s="43">
        <f>VLOOKUP($F174,'Asset Master'!$A:$J,7,FALSE)*-1</f>
        <v>-900000</v>
      </c>
      <c r="I174" s="43">
        <f>VLOOKUP($F174,'Asset Master'!$A:$J,8,FALSE)*-1</f>
        <v>-800000</v>
      </c>
      <c r="J174" s="43">
        <f>VLOOKUP($F174,'Asset Master'!$A:$J,9,FALSE)*-1</f>
        <v>-700000</v>
      </c>
      <c r="K174" s="43">
        <f>VLOOKUP($F174,'Asset Master'!$A:$J,10,FALSE)*-1</f>
        <v>-600000</v>
      </c>
      <c r="L174" s="55">
        <f>VLOOKUP(E174,'Probabilty Distribution'!A:B,2,FALSE)</f>
        <v>0.22</v>
      </c>
      <c r="M174" s="29" t="s">
        <v>750</v>
      </c>
      <c r="N174" s="44">
        <f>VLOOKUP($F174,'Asset Master'!$A:$J,6,FALSE)*0.1</f>
        <v>100000</v>
      </c>
    </row>
    <row r="175" spans="1:14" x14ac:dyDescent="0.25">
      <c r="A175" s="29" t="s">
        <v>745</v>
      </c>
      <c r="B175" s="41" t="s">
        <v>848</v>
      </c>
      <c r="C175" s="42" t="str">
        <f t="shared" si="2"/>
        <v xml:space="preserve">Hurricane-Typhoon </v>
      </c>
      <c r="D175" s="29" t="s">
        <v>668</v>
      </c>
      <c r="E175" s="30" t="str">
        <f>'Risk Master'!C175&amp;"-"&amp;'Risk Master'!D175</f>
        <v>Hurricane-Typhoon -Texas</v>
      </c>
      <c r="F175" s="29" t="s">
        <v>292</v>
      </c>
      <c r="G175" s="43">
        <f>VLOOKUP($F175,'Asset Master'!$A:$J,6,FALSE)*-1</f>
        <v>-300000</v>
      </c>
      <c r="H175" s="43">
        <f>VLOOKUP($F175,'Asset Master'!$A:$J,7,FALSE)*-1</f>
        <v>-240000</v>
      </c>
      <c r="I175" s="43">
        <f>VLOOKUP($F175,'Asset Master'!$A:$J,8,FALSE)*-1</f>
        <v>-180000</v>
      </c>
      <c r="J175" s="43">
        <f>VLOOKUP($F175,'Asset Master'!$A:$J,9,FALSE)*-1</f>
        <v>-120000</v>
      </c>
      <c r="K175" s="43">
        <f>VLOOKUP($F175,'Asset Master'!$A:$J,10,FALSE)*-1</f>
        <v>-60000</v>
      </c>
      <c r="L175" s="55">
        <f>VLOOKUP(E175,'Probabilty Distribution'!A:B,2,FALSE)</f>
        <v>0.16</v>
      </c>
      <c r="M175" s="29" t="s">
        <v>752</v>
      </c>
      <c r="N175" s="44">
        <f>VLOOKUP($F175,'Asset Master'!$A:$J,6,FALSE)*0.1</f>
        <v>30000</v>
      </c>
    </row>
    <row r="176" spans="1:14" x14ac:dyDescent="0.25">
      <c r="A176" s="29" t="s">
        <v>747</v>
      </c>
      <c r="B176" s="41" t="s">
        <v>484</v>
      </c>
      <c r="C176" s="42" t="str">
        <f t="shared" si="2"/>
        <v>Thunderstorms, Tornados &amp; Hail</v>
      </c>
      <c r="D176" s="29" t="s">
        <v>668</v>
      </c>
      <c r="E176" s="30" t="str">
        <f>'Risk Master'!C176&amp;"-"&amp;'Risk Master'!D176</f>
        <v>Thunderstorms, Tornados &amp; Hail-Texas</v>
      </c>
      <c r="F176" s="29" t="s">
        <v>295</v>
      </c>
      <c r="G176" s="43">
        <f>VLOOKUP($F176,'Asset Master'!$A:$J,6,FALSE)*-1</f>
        <v>-1000000</v>
      </c>
      <c r="H176" s="43">
        <f>VLOOKUP($F176,'Asset Master'!$A:$J,7,FALSE)*-1</f>
        <v>-900000</v>
      </c>
      <c r="I176" s="43">
        <f>VLOOKUP($F176,'Asset Master'!$A:$J,8,FALSE)*-1</f>
        <v>-800000</v>
      </c>
      <c r="J176" s="43">
        <f>VLOOKUP($F176,'Asset Master'!$A:$J,9,FALSE)*-1</f>
        <v>-700000</v>
      </c>
      <c r="K176" s="43">
        <f>VLOOKUP($F176,'Asset Master'!$A:$J,10,FALSE)*-1</f>
        <v>-600000</v>
      </c>
      <c r="L176" s="55">
        <f>VLOOKUP(E176,'Probabilty Distribution'!A:B,2,FALSE)</f>
        <v>0.15</v>
      </c>
      <c r="M176" s="29" t="s">
        <v>754</v>
      </c>
      <c r="N176" s="44">
        <f>VLOOKUP($F176,'Asset Master'!$A:$J,6,FALSE)*0.1</f>
        <v>100000</v>
      </c>
    </row>
    <row r="177" spans="1:14" x14ac:dyDescent="0.25">
      <c r="A177" s="29" t="s">
        <v>749</v>
      </c>
      <c r="B177" s="41" t="s">
        <v>848</v>
      </c>
      <c r="C177" s="42" t="str">
        <f t="shared" si="2"/>
        <v xml:space="preserve">Hurricane-Typhoon </v>
      </c>
      <c r="D177" s="29" t="s">
        <v>668</v>
      </c>
      <c r="E177" s="30" t="str">
        <f>'Risk Master'!C177&amp;"-"&amp;'Risk Master'!D177</f>
        <v>Hurricane-Typhoon -Texas</v>
      </c>
      <c r="F177" s="29" t="s">
        <v>295</v>
      </c>
      <c r="G177" s="43">
        <f>VLOOKUP($F177,'Asset Master'!$A:$J,6,FALSE)*-1</f>
        <v>-1000000</v>
      </c>
      <c r="H177" s="43">
        <f>VLOOKUP($F177,'Asset Master'!$A:$J,7,FALSE)*-1</f>
        <v>-900000</v>
      </c>
      <c r="I177" s="43">
        <f>VLOOKUP($F177,'Asset Master'!$A:$J,8,FALSE)*-1</f>
        <v>-800000</v>
      </c>
      <c r="J177" s="43">
        <f>VLOOKUP($F177,'Asset Master'!$A:$J,9,FALSE)*-1</f>
        <v>-700000</v>
      </c>
      <c r="K177" s="43">
        <f>VLOOKUP($F177,'Asset Master'!$A:$J,10,FALSE)*-1</f>
        <v>-600000</v>
      </c>
      <c r="L177" s="55">
        <f>VLOOKUP(E177,'Probabilty Distribution'!A:B,2,FALSE)</f>
        <v>0.16</v>
      </c>
      <c r="M177" s="29" t="s">
        <v>756</v>
      </c>
      <c r="N177" s="44">
        <f>VLOOKUP($F177,'Asset Master'!$A:$J,6,FALSE)*0.1</f>
        <v>100000</v>
      </c>
    </row>
    <row r="178" spans="1:14" x14ac:dyDescent="0.25">
      <c r="A178" s="29" t="s">
        <v>751</v>
      </c>
      <c r="B178" s="41" t="s">
        <v>481</v>
      </c>
      <c r="C178" s="42" t="str">
        <f t="shared" si="2"/>
        <v>Earthquake</v>
      </c>
      <c r="D178" s="29" t="s">
        <v>668</v>
      </c>
      <c r="E178" s="30" t="str">
        <f>'Risk Master'!C178&amp;"-"&amp;'Risk Master'!D178</f>
        <v>Earthquake-Texas</v>
      </c>
      <c r="F178" s="29" t="s">
        <v>295</v>
      </c>
      <c r="G178" s="43">
        <f>VLOOKUP($F178,'Asset Master'!$A:$J,6,FALSE)*-1</f>
        <v>-1000000</v>
      </c>
      <c r="H178" s="43">
        <f>VLOOKUP($F178,'Asset Master'!$A:$J,7,FALSE)*-1</f>
        <v>-900000</v>
      </c>
      <c r="I178" s="43">
        <f>VLOOKUP($F178,'Asset Master'!$A:$J,8,FALSE)*-1</f>
        <v>-800000</v>
      </c>
      <c r="J178" s="43">
        <f>VLOOKUP($F178,'Asset Master'!$A:$J,9,FALSE)*-1</f>
        <v>-700000</v>
      </c>
      <c r="K178" s="43">
        <f>VLOOKUP($F178,'Asset Master'!$A:$J,10,FALSE)*-1</f>
        <v>-600000</v>
      </c>
      <c r="L178" s="55">
        <f>VLOOKUP(E178,'Probabilty Distribution'!A:B,2,FALSE)</f>
        <v>0.22</v>
      </c>
      <c r="M178" s="29" t="s">
        <v>758</v>
      </c>
      <c r="N178" s="44">
        <f>VLOOKUP($F178,'Asset Master'!$A:$J,6,FALSE)*0.1</f>
        <v>100000</v>
      </c>
    </row>
    <row r="179" spans="1:14" x14ac:dyDescent="0.25">
      <c r="A179" s="29" t="s">
        <v>753</v>
      </c>
      <c r="B179" s="41" t="s">
        <v>848</v>
      </c>
      <c r="C179" s="42" t="str">
        <f t="shared" si="2"/>
        <v xml:space="preserve">Hurricane-Typhoon </v>
      </c>
      <c r="D179" s="29" t="s">
        <v>668</v>
      </c>
      <c r="E179" s="30" t="str">
        <f>'Risk Master'!C179&amp;"-"&amp;'Risk Master'!D179</f>
        <v>Hurricane-Typhoon -Texas</v>
      </c>
      <c r="F179" s="29" t="s">
        <v>296</v>
      </c>
      <c r="G179" s="43">
        <f>VLOOKUP($F179,'Asset Master'!$A:$J,6,FALSE)*-1</f>
        <v>-500000</v>
      </c>
      <c r="H179" s="43">
        <f>VLOOKUP($F179,'Asset Master'!$A:$J,7,FALSE)*-1</f>
        <v>-375000</v>
      </c>
      <c r="I179" s="43">
        <f>VLOOKUP($F179,'Asset Master'!$A:$J,8,FALSE)*-1</f>
        <v>-250000</v>
      </c>
      <c r="J179" s="43">
        <f>VLOOKUP($F179,'Asset Master'!$A:$J,9,FALSE)*-1</f>
        <v>-125000</v>
      </c>
      <c r="K179" s="43">
        <f>VLOOKUP($F179,'Asset Master'!$A:$J,10,FALSE)*-1</f>
        <v>0</v>
      </c>
      <c r="L179" s="55">
        <f>VLOOKUP(E179,'Probabilty Distribution'!A:B,2,FALSE)</f>
        <v>0.16</v>
      </c>
      <c r="M179" s="29" t="s">
        <v>760</v>
      </c>
      <c r="N179" s="44">
        <f>VLOOKUP($F179,'Asset Master'!$A:$J,6,FALSE)*0.1</f>
        <v>50000</v>
      </c>
    </row>
    <row r="180" spans="1:14" x14ac:dyDescent="0.25">
      <c r="A180" s="29" t="s">
        <v>755</v>
      </c>
      <c r="B180" s="41" t="s">
        <v>484</v>
      </c>
      <c r="C180" s="42" t="str">
        <f t="shared" si="2"/>
        <v>Thunderstorms, Tornados &amp; Hail</v>
      </c>
      <c r="D180" s="29" t="s">
        <v>668</v>
      </c>
      <c r="E180" s="30" t="str">
        <f>'Risk Master'!C180&amp;"-"&amp;'Risk Master'!D180</f>
        <v>Thunderstorms, Tornados &amp; Hail-Texas</v>
      </c>
      <c r="F180" s="29" t="s">
        <v>296</v>
      </c>
      <c r="G180" s="43">
        <f>VLOOKUP($F180,'Asset Master'!$A:$J,6,FALSE)*-1</f>
        <v>-500000</v>
      </c>
      <c r="H180" s="43">
        <f>VLOOKUP($F180,'Asset Master'!$A:$J,7,FALSE)*-1</f>
        <v>-375000</v>
      </c>
      <c r="I180" s="43">
        <f>VLOOKUP($F180,'Asset Master'!$A:$J,8,FALSE)*-1</f>
        <v>-250000</v>
      </c>
      <c r="J180" s="43">
        <f>VLOOKUP($F180,'Asset Master'!$A:$J,9,FALSE)*-1</f>
        <v>-125000</v>
      </c>
      <c r="K180" s="43">
        <f>VLOOKUP($F180,'Asset Master'!$A:$J,10,FALSE)*-1</f>
        <v>0</v>
      </c>
      <c r="L180" s="55">
        <f>VLOOKUP(E180,'Probabilty Distribution'!A:B,2,FALSE)</f>
        <v>0.15</v>
      </c>
      <c r="M180" s="29" t="s">
        <v>762</v>
      </c>
      <c r="N180" s="44">
        <f>VLOOKUP($F180,'Asset Master'!$A:$J,6,FALSE)*0.1</f>
        <v>50000</v>
      </c>
    </row>
    <row r="181" spans="1:14" x14ac:dyDescent="0.25">
      <c r="A181" s="29" t="s">
        <v>757</v>
      </c>
      <c r="B181" s="41" t="s">
        <v>848</v>
      </c>
      <c r="C181" s="42" t="str">
        <f t="shared" si="2"/>
        <v xml:space="preserve">Hurricane-Typhoon </v>
      </c>
      <c r="D181" s="29" t="s">
        <v>668</v>
      </c>
      <c r="E181" s="30" t="str">
        <f>'Risk Master'!C181&amp;"-"&amp;'Risk Master'!D181</f>
        <v>Hurricane-Typhoon -Texas</v>
      </c>
      <c r="F181" s="29" t="s">
        <v>297</v>
      </c>
      <c r="G181" s="43">
        <f>VLOOKUP($F181,'Asset Master'!$A:$J,6,FALSE)*-1</f>
        <v>-200000</v>
      </c>
      <c r="H181" s="43">
        <f>VLOOKUP($F181,'Asset Master'!$A:$J,7,FALSE)*-1</f>
        <v>-160000</v>
      </c>
      <c r="I181" s="43">
        <f>VLOOKUP($F181,'Asset Master'!$A:$J,8,FALSE)*-1</f>
        <v>-120000</v>
      </c>
      <c r="J181" s="43">
        <f>VLOOKUP($F181,'Asset Master'!$A:$J,9,FALSE)*-1</f>
        <v>-80000</v>
      </c>
      <c r="K181" s="43">
        <f>VLOOKUP($F181,'Asset Master'!$A:$J,10,FALSE)*-1</f>
        <v>-40000</v>
      </c>
      <c r="L181" s="55">
        <f>VLOOKUP(E181,'Probabilty Distribution'!A:B,2,FALSE)</f>
        <v>0.16</v>
      </c>
      <c r="M181" s="29" t="s">
        <v>763</v>
      </c>
      <c r="N181" s="44">
        <f>VLOOKUP($F181,'Asset Master'!$A:$J,6,FALSE)*0.1</f>
        <v>20000</v>
      </c>
    </row>
    <row r="182" spans="1:14" x14ac:dyDescent="0.25">
      <c r="A182" s="29" t="s">
        <v>759</v>
      </c>
      <c r="B182" s="41" t="s">
        <v>481</v>
      </c>
      <c r="C182" s="42" t="str">
        <f t="shared" si="2"/>
        <v>Earthquake</v>
      </c>
      <c r="D182" s="29" t="s">
        <v>668</v>
      </c>
      <c r="E182" s="30" t="str">
        <f>'Risk Master'!C182&amp;"-"&amp;'Risk Master'!D182</f>
        <v>Earthquake-Texas</v>
      </c>
      <c r="F182" s="29" t="s">
        <v>299</v>
      </c>
      <c r="G182" s="43">
        <f>VLOOKUP($F182,'Asset Master'!$A:$J,6,FALSE)*-1</f>
        <v>-200000</v>
      </c>
      <c r="H182" s="43">
        <f>VLOOKUP($F182,'Asset Master'!$A:$J,7,FALSE)*-1</f>
        <v>-150000</v>
      </c>
      <c r="I182" s="43">
        <f>VLOOKUP($F182,'Asset Master'!$A:$J,8,FALSE)*-1</f>
        <v>-100000</v>
      </c>
      <c r="J182" s="43">
        <f>VLOOKUP($F182,'Asset Master'!$A:$J,9,FALSE)*-1</f>
        <v>-50000</v>
      </c>
      <c r="K182" s="43">
        <f>VLOOKUP($F182,'Asset Master'!$A:$J,10,FALSE)*-1</f>
        <v>0</v>
      </c>
      <c r="L182" s="55">
        <f>VLOOKUP(E182,'Probabilty Distribution'!A:B,2,FALSE)</f>
        <v>0.22</v>
      </c>
      <c r="M182" s="29" t="s">
        <v>764</v>
      </c>
      <c r="N182" s="44">
        <f>VLOOKUP($F182,'Asset Master'!$A:$J,6,FALSE)*0.1</f>
        <v>20000</v>
      </c>
    </row>
    <row r="183" spans="1:14" x14ac:dyDescent="0.25">
      <c r="A183" s="29" t="s">
        <v>761</v>
      </c>
      <c r="B183" s="41" t="s">
        <v>848</v>
      </c>
      <c r="C183" s="42" t="str">
        <f t="shared" si="2"/>
        <v xml:space="preserve">Hurricane-Typhoon </v>
      </c>
      <c r="D183" s="29" t="s">
        <v>668</v>
      </c>
      <c r="E183" s="30" t="str">
        <f>'Risk Master'!C183&amp;"-"&amp;'Risk Master'!D183</f>
        <v>Hurricane-Typhoon -Texas</v>
      </c>
      <c r="F183" s="29" t="s">
        <v>299</v>
      </c>
      <c r="G183" s="43">
        <f>VLOOKUP($F183,'Asset Master'!$A:$J,6,FALSE)*-1</f>
        <v>-200000</v>
      </c>
      <c r="H183" s="43">
        <f>VLOOKUP($F183,'Asset Master'!$A:$J,7,FALSE)*-1</f>
        <v>-150000</v>
      </c>
      <c r="I183" s="43">
        <f>VLOOKUP($F183,'Asset Master'!$A:$J,8,FALSE)*-1</f>
        <v>-100000</v>
      </c>
      <c r="J183" s="43">
        <f>VLOOKUP($F183,'Asset Master'!$A:$J,9,FALSE)*-1</f>
        <v>-50000</v>
      </c>
      <c r="K183" s="43">
        <f>VLOOKUP($F183,'Asset Master'!$A:$J,10,FALSE)*-1</f>
        <v>0</v>
      </c>
      <c r="L183" s="55">
        <f>VLOOKUP(E183,'Probabilty Distribution'!A:B,2,FALSE)</f>
        <v>0.16</v>
      </c>
      <c r="M183" s="29" t="s">
        <v>765</v>
      </c>
      <c r="N183" s="44">
        <f>VLOOKUP($F183,'Asset Master'!$A:$J,6,FALSE)*0.1</f>
        <v>20000</v>
      </c>
    </row>
  </sheetData>
  <autoFilter ref="A1:N18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89999084444715716"/>
  </sheetPr>
  <dimension ref="A1:ET38"/>
  <sheetViews>
    <sheetView topLeftCell="AO1" workbookViewId="0">
      <selection activeCell="C1" sqref="C1:BK1"/>
    </sheetView>
  </sheetViews>
  <sheetFormatPr defaultRowHeight="15" x14ac:dyDescent="0.25"/>
  <cols>
    <col min="1" max="1" width="36.5703125" style="10" bestFit="1" customWidth="1"/>
    <col min="2" max="2" width="9.42578125" style="63" hidden="1" customWidth="1"/>
    <col min="3" max="16384" width="9.140625" style="9"/>
  </cols>
  <sheetData>
    <row r="1" spans="1:150" x14ac:dyDescent="0.25">
      <c r="A1" s="59" t="s">
        <v>916</v>
      </c>
      <c r="B1" s="60" t="s">
        <v>793</v>
      </c>
      <c r="C1" s="61">
        <v>1914</v>
      </c>
      <c r="D1" s="61">
        <v>1915</v>
      </c>
      <c r="E1" s="61">
        <v>1916</v>
      </c>
      <c r="F1" s="61">
        <v>1917</v>
      </c>
      <c r="G1" s="61">
        <v>1918</v>
      </c>
      <c r="H1" s="61">
        <v>1919</v>
      </c>
      <c r="I1" s="61">
        <v>1920</v>
      </c>
      <c r="J1" s="61">
        <v>1921</v>
      </c>
      <c r="K1" s="61">
        <v>1922</v>
      </c>
      <c r="L1" s="61">
        <v>1923</v>
      </c>
      <c r="M1" s="61">
        <v>1924</v>
      </c>
      <c r="N1" s="61">
        <v>1925</v>
      </c>
      <c r="O1" s="61">
        <v>1926</v>
      </c>
      <c r="P1" s="61">
        <v>1927</v>
      </c>
      <c r="Q1" s="61">
        <v>1928</v>
      </c>
      <c r="R1" s="61">
        <v>1929</v>
      </c>
      <c r="S1" s="61">
        <v>1930</v>
      </c>
      <c r="T1" s="61">
        <v>1931</v>
      </c>
      <c r="U1" s="61">
        <v>1932</v>
      </c>
      <c r="V1" s="61">
        <v>1933</v>
      </c>
      <c r="W1" s="61">
        <v>1934</v>
      </c>
      <c r="X1" s="61">
        <v>1935</v>
      </c>
      <c r="Y1" s="61">
        <v>1936</v>
      </c>
      <c r="Z1" s="61">
        <v>1937</v>
      </c>
      <c r="AA1" s="61">
        <v>1938</v>
      </c>
      <c r="AB1" s="61">
        <v>1939</v>
      </c>
      <c r="AC1" s="61">
        <v>1940</v>
      </c>
      <c r="AD1" s="61">
        <v>1941</v>
      </c>
      <c r="AE1" s="61">
        <v>1942</v>
      </c>
      <c r="AF1" s="61">
        <v>1943</v>
      </c>
      <c r="AG1" s="61">
        <v>1944</v>
      </c>
      <c r="AH1" s="61">
        <v>1945</v>
      </c>
      <c r="AI1" s="61">
        <v>1946</v>
      </c>
      <c r="AJ1" s="61">
        <v>1947</v>
      </c>
      <c r="AK1" s="61">
        <v>1948</v>
      </c>
      <c r="AL1" s="61">
        <v>1949</v>
      </c>
      <c r="AM1" s="61">
        <v>1950</v>
      </c>
      <c r="AN1" s="61">
        <v>1951</v>
      </c>
      <c r="AO1" s="61">
        <v>1952</v>
      </c>
      <c r="AP1" s="61">
        <v>1953</v>
      </c>
      <c r="AQ1" s="61">
        <v>1954</v>
      </c>
      <c r="AR1" s="61">
        <v>1955</v>
      </c>
      <c r="AS1" s="61">
        <v>1956</v>
      </c>
      <c r="AT1" s="61">
        <v>1957</v>
      </c>
      <c r="AU1" s="61">
        <v>1958</v>
      </c>
      <c r="AV1" s="61">
        <v>1959</v>
      </c>
      <c r="AW1" s="61">
        <v>1960</v>
      </c>
      <c r="AX1" s="61">
        <v>1961</v>
      </c>
      <c r="AY1" s="61">
        <v>1962</v>
      </c>
      <c r="AZ1" s="61">
        <v>1963</v>
      </c>
      <c r="BA1" s="61">
        <v>1964</v>
      </c>
      <c r="BB1" s="61">
        <v>1965</v>
      </c>
      <c r="BC1" s="61">
        <v>1966</v>
      </c>
      <c r="BD1" s="61">
        <v>1967</v>
      </c>
      <c r="BE1" s="61">
        <v>1968</v>
      </c>
      <c r="BF1" s="61">
        <v>1969</v>
      </c>
      <c r="BG1" s="61">
        <v>1970</v>
      </c>
      <c r="BH1" s="61">
        <v>1971</v>
      </c>
      <c r="BI1" s="61">
        <v>1972</v>
      </c>
      <c r="BJ1" s="61">
        <v>1973</v>
      </c>
      <c r="BK1" s="61">
        <v>1974</v>
      </c>
      <c r="BL1" s="61">
        <v>1975</v>
      </c>
      <c r="BM1" s="61">
        <v>1976</v>
      </c>
      <c r="BN1" s="61">
        <v>1977</v>
      </c>
      <c r="BO1" s="61">
        <v>1978</v>
      </c>
      <c r="BP1" s="61">
        <v>1979</v>
      </c>
      <c r="BQ1" s="61">
        <v>1980</v>
      </c>
      <c r="BR1" s="61">
        <v>1981</v>
      </c>
      <c r="BS1" s="61">
        <v>1982</v>
      </c>
      <c r="BT1" s="61">
        <v>1983</v>
      </c>
      <c r="BU1" s="61">
        <v>1984</v>
      </c>
      <c r="BV1" s="61">
        <v>1985</v>
      </c>
      <c r="BW1" s="61">
        <v>1986</v>
      </c>
      <c r="BX1" s="61">
        <v>1987</v>
      </c>
      <c r="BY1" s="61">
        <v>1988</v>
      </c>
      <c r="BZ1" s="61">
        <v>1989</v>
      </c>
      <c r="CA1" s="61">
        <v>1990</v>
      </c>
      <c r="CB1" s="61">
        <v>1991</v>
      </c>
      <c r="CC1" s="61">
        <v>1992</v>
      </c>
      <c r="CD1" s="61">
        <v>1993</v>
      </c>
      <c r="CE1" s="61">
        <v>1994</v>
      </c>
      <c r="CF1" s="61">
        <v>1995</v>
      </c>
      <c r="CG1" s="61">
        <v>1996</v>
      </c>
      <c r="CH1" s="61">
        <v>1997</v>
      </c>
      <c r="CI1" s="61">
        <v>1998</v>
      </c>
      <c r="CJ1" s="61">
        <v>1999</v>
      </c>
      <c r="CK1" s="61">
        <v>2000</v>
      </c>
      <c r="CL1" s="61">
        <v>2001</v>
      </c>
      <c r="CM1" s="61">
        <v>2002</v>
      </c>
      <c r="CN1" s="61">
        <v>2003</v>
      </c>
      <c r="CO1" s="61">
        <v>2004</v>
      </c>
      <c r="CP1" s="61">
        <v>2005</v>
      </c>
      <c r="CQ1" s="61">
        <v>2006</v>
      </c>
      <c r="CR1" s="61">
        <v>2007</v>
      </c>
      <c r="CS1" s="61">
        <v>2008</v>
      </c>
      <c r="CT1" s="61">
        <v>2009</v>
      </c>
      <c r="CU1" s="61">
        <v>2010</v>
      </c>
      <c r="CV1" s="61">
        <v>2011</v>
      </c>
      <c r="CW1" s="61">
        <v>2012</v>
      </c>
      <c r="CX1" s="61">
        <v>2013</v>
      </c>
    </row>
    <row r="2" spans="1:150" x14ac:dyDescent="0.25">
      <c r="A2" s="57" t="s">
        <v>795</v>
      </c>
      <c r="B2" s="62">
        <v>0.17</v>
      </c>
      <c r="C2" s="58">
        <f ca="1">IF((RANDBETWEEN(0,100)/100)&lt;$B2,1,0)</f>
        <v>0</v>
      </c>
      <c r="D2" s="58">
        <f t="shared" ref="D2:BO6" ca="1" si="0">IF((RANDBETWEEN(0,100)/100)&lt;$B2,1,0)</f>
        <v>1</v>
      </c>
      <c r="E2" s="58">
        <f t="shared" ca="1" si="0"/>
        <v>1</v>
      </c>
      <c r="F2" s="58">
        <f t="shared" ca="1" si="0"/>
        <v>1</v>
      </c>
      <c r="G2" s="58">
        <f t="shared" ca="1" si="0"/>
        <v>1</v>
      </c>
      <c r="H2" s="58">
        <f t="shared" ca="1" si="0"/>
        <v>1</v>
      </c>
      <c r="I2" s="58">
        <f t="shared" ca="1" si="0"/>
        <v>0</v>
      </c>
      <c r="J2" s="58">
        <f t="shared" ca="1" si="0"/>
        <v>0</v>
      </c>
      <c r="K2" s="58">
        <f t="shared" ca="1" si="0"/>
        <v>0</v>
      </c>
      <c r="L2" s="58">
        <f t="shared" ca="1" si="0"/>
        <v>0</v>
      </c>
      <c r="M2" s="58">
        <f t="shared" ca="1" si="0"/>
        <v>1</v>
      </c>
      <c r="N2" s="58">
        <f t="shared" ca="1" si="0"/>
        <v>0</v>
      </c>
      <c r="O2" s="58">
        <f t="shared" ca="1" si="0"/>
        <v>1</v>
      </c>
      <c r="P2" s="58">
        <f t="shared" ca="1" si="0"/>
        <v>0</v>
      </c>
      <c r="Q2" s="58">
        <f t="shared" ca="1" si="0"/>
        <v>1</v>
      </c>
      <c r="R2" s="58">
        <f t="shared" ca="1" si="0"/>
        <v>0</v>
      </c>
      <c r="S2" s="58">
        <f t="shared" ca="1" si="0"/>
        <v>1</v>
      </c>
      <c r="T2" s="58">
        <f t="shared" ca="1" si="0"/>
        <v>0</v>
      </c>
      <c r="U2" s="58">
        <f t="shared" ca="1" si="0"/>
        <v>1</v>
      </c>
      <c r="V2" s="58">
        <f t="shared" ca="1" si="0"/>
        <v>1</v>
      </c>
      <c r="W2" s="58">
        <f t="shared" ca="1" si="0"/>
        <v>0</v>
      </c>
      <c r="X2" s="58">
        <f t="shared" ca="1" si="0"/>
        <v>0</v>
      </c>
      <c r="Y2" s="58">
        <f t="shared" ca="1" si="0"/>
        <v>1</v>
      </c>
      <c r="Z2" s="58">
        <f t="shared" ca="1" si="0"/>
        <v>0</v>
      </c>
      <c r="AA2" s="58">
        <f t="shared" ca="1" si="0"/>
        <v>0</v>
      </c>
      <c r="AB2" s="58">
        <f t="shared" ca="1" si="0"/>
        <v>0</v>
      </c>
      <c r="AC2" s="58">
        <f t="shared" ca="1" si="0"/>
        <v>0</v>
      </c>
      <c r="AD2" s="58">
        <f t="shared" ca="1" si="0"/>
        <v>0</v>
      </c>
      <c r="AE2" s="58">
        <f t="shared" ca="1" si="0"/>
        <v>1</v>
      </c>
      <c r="AF2" s="58">
        <f t="shared" ca="1" si="0"/>
        <v>0</v>
      </c>
      <c r="AG2" s="58">
        <f t="shared" ca="1" si="0"/>
        <v>0</v>
      </c>
      <c r="AH2" s="58">
        <f t="shared" ca="1" si="0"/>
        <v>0</v>
      </c>
      <c r="AI2" s="58">
        <f t="shared" ca="1" si="0"/>
        <v>0</v>
      </c>
      <c r="AJ2" s="58">
        <f t="shared" ca="1" si="0"/>
        <v>0</v>
      </c>
      <c r="AK2" s="58">
        <f t="shared" ca="1" si="0"/>
        <v>1</v>
      </c>
      <c r="AL2" s="58">
        <f t="shared" ca="1" si="0"/>
        <v>0</v>
      </c>
      <c r="AM2" s="58">
        <f t="shared" ca="1" si="0"/>
        <v>0</v>
      </c>
      <c r="AN2" s="58">
        <f t="shared" ca="1" si="0"/>
        <v>0</v>
      </c>
      <c r="AO2" s="58">
        <f t="shared" ca="1" si="0"/>
        <v>0</v>
      </c>
      <c r="AP2" s="58">
        <f t="shared" ca="1" si="0"/>
        <v>0</v>
      </c>
      <c r="AQ2" s="58">
        <f t="shared" ca="1" si="0"/>
        <v>0</v>
      </c>
      <c r="AR2" s="58">
        <f t="shared" ca="1" si="0"/>
        <v>1</v>
      </c>
      <c r="AS2" s="58">
        <f t="shared" ca="1" si="0"/>
        <v>0</v>
      </c>
      <c r="AT2" s="58">
        <f t="shared" ca="1" si="0"/>
        <v>1</v>
      </c>
      <c r="AU2" s="58">
        <f t="shared" ca="1" si="0"/>
        <v>0</v>
      </c>
      <c r="AV2" s="58">
        <f t="shared" ca="1" si="0"/>
        <v>0</v>
      </c>
      <c r="AW2" s="58">
        <f t="shared" ca="1" si="0"/>
        <v>0</v>
      </c>
      <c r="AX2" s="58">
        <f t="shared" ca="1" si="0"/>
        <v>0</v>
      </c>
      <c r="AY2" s="58">
        <f t="shared" ca="1" si="0"/>
        <v>0</v>
      </c>
      <c r="AZ2" s="58">
        <f t="shared" ca="1" si="0"/>
        <v>0</v>
      </c>
      <c r="BA2" s="58">
        <f t="shared" ca="1" si="0"/>
        <v>1</v>
      </c>
      <c r="BB2" s="58">
        <f t="shared" ca="1" si="0"/>
        <v>0</v>
      </c>
      <c r="BC2" s="58">
        <f t="shared" ca="1" si="0"/>
        <v>0</v>
      </c>
      <c r="BD2" s="58">
        <f t="shared" ca="1" si="0"/>
        <v>0</v>
      </c>
      <c r="BE2" s="58">
        <f t="shared" ca="1" si="0"/>
        <v>0</v>
      </c>
      <c r="BF2" s="58">
        <f t="shared" ca="1" si="0"/>
        <v>0</v>
      </c>
      <c r="BG2" s="58">
        <f t="shared" ca="1" si="0"/>
        <v>1</v>
      </c>
      <c r="BH2" s="58">
        <f t="shared" ca="1" si="0"/>
        <v>0</v>
      </c>
      <c r="BI2" s="58">
        <f t="shared" ca="1" si="0"/>
        <v>1</v>
      </c>
      <c r="BJ2" s="58">
        <f t="shared" ca="1" si="0"/>
        <v>0</v>
      </c>
      <c r="BK2" s="58">
        <f t="shared" ca="1" si="0"/>
        <v>0</v>
      </c>
      <c r="BL2" s="58">
        <f t="shared" ca="1" si="0"/>
        <v>0</v>
      </c>
      <c r="BM2" s="58">
        <f t="shared" ca="1" si="0"/>
        <v>0</v>
      </c>
      <c r="BN2" s="58">
        <f t="shared" ca="1" si="0"/>
        <v>0</v>
      </c>
      <c r="BO2" s="58">
        <f t="shared" ca="1" si="0"/>
        <v>0</v>
      </c>
      <c r="BP2" s="58">
        <f t="shared" ref="BP2:CX10" ca="1" si="1">IF((RANDBETWEEN(0,100)/100)&lt;$B2,1,0)</f>
        <v>1</v>
      </c>
      <c r="BQ2" s="58">
        <f t="shared" ca="1" si="1"/>
        <v>1</v>
      </c>
      <c r="BR2" s="58">
        <f t="shared" ca="1" si="1"/>
        <v>0</v>
      </c>
      <c r="BS2" s="58">
        <f t="shared" ca="1" si="1"/>
        <v>0</v>
      </c>
      <c r="BT2" s="58">
        <f t="shared" ca="1" si="1"/>
        <v>0</v>
      </c>
      <c r="BU2" s="58">
        <f t="shared" ca="1" si="1"/>
        <v>0</v>
      </c>
      <c r="BV2" s="58">
        <f t="shared" ca="1" si="1"/>
        <v>0</v>
      </c>
      <c r="BW2" s="58">
        <f t="shared" ca="1" si="1"/>
        <v>0</v>
      </c>
      <c r="BX2" s="58">
        <f t="shared" ca="1" si="1"/>
        <v>0</v>
      </c>
      <c r="BY2" s="58">
        <f t="shared" ca="1" si="1"/>
        <v>0</v>
      </c>
      <c r="BZ2" s="58">
        <f t="shared" ca="1" si="1"/>
        <v>0</v>
      </c>
      <c r="CA2" s="58">
        <f t="shared" ca="1" si="1"/>
        <v>0</v>
      </c>
      <c r="CB2" s="58">
        <f t="shared" ca="1" si="1"/>
        <v>0</v>
      </c>
      <c r="CC2" s="58">
        <f t="shared" ca="1" si="1"/>
        <v>0</v>
      </c>
      <c r="CD2" s="58">
        <f t="shared" ca="1" si="1"/>
        <v>0</v>
      </c>
      <c r="CE2" s="58">
        <f t="shared" ca="1" si="1"/>
        <v>0</v>
      </c>
      <c r="CF2" s="58">
        <f t="shared" ca="1" si="1"/>
        <v>0</v>
      </c>
      <c r="CG2" s="58">
        <f t="shared" ca="1" si="1"/>
        <v>0</v>
      </c>
      <c r="CH2" s="58">
        <f t="shared" ca="1" si="1"/>
        <v>0</v>
      </c>
      <c r="CI2" s="58">
        <f t="shared" ca="1" si="1"/>
        <v>1</v>
      </c>
      <c r="CJ2" s="58">
        <f t="shared" ca="1" si="1"/>
        <v>0</v>
      </c>
      <c r="CK2" s="58">
        <f t="shared" ca="1" si="1"/>
        <v>0</v>
      </c>
      <c r="CL2" s="58">
        <f t="shared" ca="1" si="1"/>
        <v>0</v>
      </c>
      <c r="CM2" s="58">
        <f t="shared" ca="1" si="1"/>
        <v>0</v>
      </c>
      <c r="CN2" s="58">
        <f t="shared" ca="1" si="1"/>
        <v>0</v>
      </c>
      <c r="CO2" s="58">
        <f t="shared" ca="1" si="1"/>
        <v>1</v>
      </c>
      <c r="CP2" s="58">
        <f t="shared" ca="1" si="1"/>
        <v>0</v>
      </c>
      <c r="CQ2" s="58">
        <f t="shared" ca="1" si="1"/>
        <v>0</v>
      </c>
      <c r="CR2" s="58">
        <f t="shared" ca="1" si="1"/>
        <v>0</v>
      </c>
      <c r="CS2" s="58">
        <f t="shared" ca="1" si="1"/>
        <v>0</v>
      </c>
      <c r="CT2" s="58">
        <f t="shared" ca="1" si="1"/>
        <v>0</v>
      </c>
      <c r="CU2" s="58">
        <f t="shared" ca="1" si="1"/>
        <v>0</v>
      </c>
      <c r="CV2" s="58">
        <f t="shared" ca="1" si="1"/>
        <v>0</v>
      </c>
      <c r="CW2" s="58">
        <f t="shared" ca="1" si="1"/>
        <v>0</v>
      </c>
      <c r="CX2" s="58">
        <f t="shared" ca="1" si="1"/>
        <v>0</v>
      </c>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row>
    <row r="3" spans="1:150" x14ac:dyDescent="0.25">
      <c r="A3" s="57" t="s">
        <v>796</v>
      </c>
      <c r="B3" s="62">
        <v>0.2</v>
      </c>
      <c r="C3" s="58">
        <f t="shared" ref="C3:R20" ca="1" si="2">IF((RANDBETWEEN(0,100)/100)&lt;$B3,1,0)</f>
        <v>0</v>
      </c>
      <c r="D3" s="58">
        <f t="shared" ca="1" si="2"/>
        <v>0</v>
      </c>
      <c r="E3" s="58">
        <f t="shared" ca="1" si="2"/>
        <v>1</v>
      </c>
      <c r="F3" s="58">
        <f t="shared" ca="1" si="2"/>
        <v>0</v>
      </c>
      <c r="G3" s="58">
        <f t="shared" ca="1" si="2"/>
        <v>0</v>
      </c>
      <c r="H3" s="58">
        <f t="shared" ca="1" si="2"/>
        <v>0</v>
      </c>
      <c r="I3" s="58">
        <f t="shared" ca="1" si="2"/>
        <v>0</v>
      </c>
      <c r="J3" s="58">
        <f t="shared" ca="1" si="2"/>
        <v>0</v>
      </c>
      <c r="K3" s="58">
        <f t="shared" ca="1" si="2"/>
        <v>1</v>
      </c>
      <c r="L3" s="58">
        <f t="shared" ca="1" si="2"/>
        <v>0</v>
      </c>
      <c r="M3" s="58">
        <f t="shared" ca="1" si="2"/>
        <v>1</v>
      </c>
      <c r="N3" s="58">
        <f t="shared" ca="1" si="2"/>
        <v>0</v>
      </c>
      <c r="O3" s="58">
        <f t="shared" ca="1" si="2"/>
        <v>0</v>
      </c>
      <c r="P3" s="58">
        <f t="shared" ca="1" si="2"/>
        <v>0</v>
      </c>
      <c r="Q3" s="58">
        <f t="shared" ca="1" si="2"/>
        <v>0</v>
      </c>
      <c r="R3" s="58">
        <f t="shared" ca="1" si="2"/>
        <v>0</v>
      </c>
      <c r="S3" s="58">
        <f t="shared" ca="1" si="0"/>
        <v>0</v>
      </c>
      <c r="T3" s="58">
        <f t="shared" ca="1" si="0"/>
        <v>0</v>
      </c>
      <c r="U3" s="58">
        <f t="shared" ca="1" si="0"/>
        <v>0</v>
      </c>
      <c r="V3" s="58">
        <f t="shared" ca="1" si="0"/>
        <v>1</v>
      </c>
      <c r="W3" s="58">
        <f t="shared" ca="1" si="0"/>
        <v>1</v>
      </c>
      <c r="X3" s="58">
        <f t="shared" ca="1" si="0"/>
        <v>0</v>
      </c>
      <c r="Y3" s="58">
        <f t="shared" ca="1" si="0"/>
        <v>0</v>
      </c>
      <c r="Z3" s="58">
        <f t="shared" ca="1" si="0"/>
        <v>0</v>
      </c>
      <c r="AA3" s="58">
        <f t="shared" ca="1" si="0"/>
        <v>1</v>
      </c>
      <c r="AB3" s="58">
        <f t="shared" ca="1" si="0"/>
        <v>0</v>
      </c>
      <c r="AC3" s="58">
        <f t="shared" ca="1" si="0"/>
        <v>0</v>
      </c>
      <c r="AD3" s="58">
        <f t="shared" ca="1" si="0"/>
        <v>0</v>
      </c>
      <c r="AE3" s="58">
        <f t="shared" ca="1" si="0"/>
        <v>0</v>
      </c>
      <c r="AF3" s="58">
        <f t="shared" ca="1" si="0"/>
        <v>1</v>
      </c>
      <c r="AG3" s="58">
        <f t="shared" ca="1" si="0"/>
        <v>0</v>
      </c>
      <c r="AH3" s="58">
        <f t="shared" ca="1" si="0"/>
        <v>0</v>
      </c>
      <c r="AI3" s="58">
        <f t="shared" ca="1" si="0"/>
        <v>0</v>
      </c>
      <c r="AJ3" s="58">
        <f t="shared" ca="1" si="0"/>
        <v>0</v>
      </c>
      <c r="AK3" s="58">
        <f t="shared" ca="1" si="0"/>
        <v>1</v>
      </c>
      <c r="AL3" s="58">
        <f t="shared" ca="1" si="0"/>
        <v>0</v>
      </c>
      <c r="AM3" s="58">
        <f t="shared" ca="1" si="0"/>
        <v>1</v>
      </c>
      <c r="AN3" s="58">
        <f t="shared" ca="1" si="0"/>
        <v>0</v>
      </c>
      <c r="AO3" s="58">
        <f t="shared" ca="1" si="0"/>
        <v>0</v>
      </c>
      <c r="AP3" s="58">
        <f t="shared" ca="1" si="0"/>
        <v>0</v>
      </c>
      <c r="AQ3" s="58">
        <f t="shared" ca="1" si="0"/>
        <v>0</v>
      </c>
      <c r="AR3" s="58">
        <f t="shared" ca="1" si="0"/>
        <v>0</v>
      </c>
      <c r="AS3" s="58">
        <f t="shared" ca="1" si="0"/>
        <v>0</v>
      </c>
      <c r="AT3" s="58">
        <f t="shared" ca="1" si="0"/>
        <v>0</v>
      </c>
      <c r="AU3" s="58">
        <f t="shared" ca="1" si="0"/>
        <v>0</v>
      </c>
      <c r="AV3" s="58">
        <f t="shared" ca="1" si="0"/>
        <v>0</v>
      </c>
      <c r="AW3" s="58">
        <f t="shared" ca="1" si="0"/>
        <v>0</v>
      </c>
      <c r="AX3" s="58">
        <f t="shared" ca="1" si="0"/>
        <v>0</v>
      </c>
      <c r="AY3" s="58">
        <f t="shared" ca="1" si="0"/>
        <v>0</v>
      </c>
      <c r="AZ3" s="58">
        <f t="shared" ca="1" si="0"/>
        <v>0</v>
      </c>
      <c r="BA3" s="58">
        <f t="shared" ca="1" si="0"/>
        <v>0</v>
      </c>
      <c r="BB3" s="58">
        <f t="shared" ca="1" si="0"/>
        <v>0</v>
      </c>
      <c r="BC3" s="58">
        <f t="shared" ca="1" si="0"/>
        <v>0</v>
      </c>
      <c r="BD3" s="58">
        <f t="shared" ca="1" si="0"/>
        <v>1</v>
      </c>
      <c r="BE3" s="58">
        <f t="shared" ca="1" si="0"/>
        <v>0</v>
      </c>
      <c r="BF3" s="58">
        <f t="shared" ca="1" si="0"/>
        <v>1</v>
      </c>
      <c r="BG3" s="58">
        <f t="shared" ca="1" si="0"/>
        <v>0</v>
      </c>
      <c r="BH3" s="58">
        <f t="shared" ca="1" si="0"/>
        <v>1</v>
      </c>
      <c r="BI3" s="58">
        <f t="shared" ca="1" si="0"/>
        <v>0</v>
      </c>
      <c r="BJ3" s="58">
        <f t="shared" ca="1" si="0"/>
        <v>0</v>
      </c>
      <c r="BK3" s="58">
        <f t="shared" ca="1" si="0"/>
        <v>0</v>
      </c>
      <c r="BL3" s="58">
        <f t="shared" ca="1" si="0"/>
        <v>1</v>
      </c>
      <c r="BM3" s="58">
        <f t="shared" ca="1" si="0"/>
        <v>0</v>
      </c>
      <c r="BN3" s="58">
        <f t="shared" ca="1" si="0"/>
        <v>0</v>
      </c>
      <c r="BO3" s="58">
        <f t="shared" ca="1" si="0"/>
        <v>0</v>
      </c>
      <c r="BP3" s="58">
        <f t="shared" ca="1" si="1"/>
        <v>0</v>
      </c>
      <c r="BQ3" s="58">
        <f t="shared" ca="1" si="1"/>
        <v>1</v>
      </c>
      <c r="BR3" s="58">
        <f t="shared" ca="1" si="1"/>
        <v>1</v>
      </c>
      <c r="BS3" s="58">
        <f t="shared" ca="1" si="1"/>
        <v>0</v>
      </c>
      <c r="BT3" s="58">
        <f t="shared" ca="1" si="1"/>
        <v>0</v>
      </c>
      <c r="BU3" s="58">
        <f t="shared" ca="1" si="1"/>
        <v>0</v>
      </c>
      <c r="BV3" s="58">
        <f t="shared" ca="1" si="1"/>
        <v>0</v>
      </c>
      <c r="BW3" s="58">
        <f t="shared" ca="1" si="1"/>
        <v>0</v>
      </c>
      <c r="BX3" s="58">
        <f t="shared" ca="1" si="1"/>
        <v>0</v>
      </c>
      <c r="BY3" s="58">
        <f t="shared" ca="1" si="1"/>
        <v>0</v>
      </c>
      <c r="BZ3" s="58">
        <f t="shared" ca="1" si="1"/>
        <v>0</v>
      </c>
      <c r="CA3" s="58">
        <f t="shared" ca="1" si="1"/>
        <v>0</v>
      </c>
      <c r="CB3" s="58">
        <f t="shared" ca="1" si="1"/>
        <v>0</v>
      </c>
      <c r="CC3" s="58">
        <f t="shared" ca="1" si="1"/>
        <v>0</v>
      </c>
      <c r="CD3" s="58">
        <f t="shared" ca="1" si="1"/>
        <v>0</v>
      </c>
      <c r="CE3" s="58">
        <f t="shared" ca="1" si="1"/>
        <v>0</v>
      </c>
      <c r="CF3" s="58">
        <f t="shared" ca="1" si="1"/>
        <v>0</v>
      </c>
      <c r="CG3" s="58">
        <f t="shared" ca="1" si="1"/>
        <v>1</v>
      </c>
      <c r="CH3" s="58">
        <f t="shared" ca="1" si="1"/>
        <v>1</v>
      </c>
      <c r="CI3" s="58">
        <f t="shared" ca="1" si="1"/>
        <v>0</v>
      </c>
      <c r="CJ3" s="58">
        <f t="shared" ca="1" si="1"/>
        <v>1</v>
      </c>
      <c r="CK3" s="58">
        <f t="shared" ca="1" si="1"/>
        <v>0</v>
      </c>
      <c r="CL3" s="58">
        <f t="shared" ca="1" si="1"/>
        <v>0</v>
      </c>
      <c r="CM3" s="58">
        <f t="shared" ca="1" si="1"/>
        <v>0</v>
      </c>
      <c r="CN3" s="58">
        <f t="shared" ca="1" si="1"/>
        <v>0</v>
      </c>
      <c r="CO3" s="58">
        <f t="shared" ca="1" si="1"/>
        <v>0</v>
      </c>
      <c r="CP3" s="58">
        <f t="shared" ca="1" si="1"/>
        <v>0</v>
      </c>
      <c r="CQ3" s="58">
        <f t="shared" ca="1" si="1"/>
        <v>1</v>
      </c>
      <c r="CR3" s="58">
        <f t="shared" ca="1" si="1"/>
        <v>0</v>
      </c>
      <c r="CS3" s="58">
        <f t="shared" ca="1" si="1"/>
        <v>0</v>
      </c>
      <c r="CT3" s="58">
        <f t="shared" ca="1" si="1"/>
        <v>1</v>
      </c>
      <c r="CU3" s="58">
        <f t="shared" ca="1" si="1"/>
        <v>0</v>
      </c>
      <c r="CV3" s="58">
        <f t="shared" ca="1" si="1"/>
        <v>0</v>
      </c>
      <c r="CW3" s="58">
        <f t="shared" ca="1" si="1"/>
        <v>1</v>
      </c>
      <c r="CX3" s="58">
        <f t="shared" ca="1" si="1"/>
        <v>0</v>
      </c>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row>
    <row r="4" spans="1:150" x14ac:dyDescent="0.25">
      <c r="A4" s="57" t="s">
        <v>797</v>
      </c>
      <c r="B4" s="62">
        <v>0.2</v>
      </c>
      <c r="C4" s="58">
        <f t="shared" ca="1" si="2"/>
        <v>0</v>
      </c>
      <c r="D4" s="58">
        <f t="shared" ca="1" si="2"/>
        <v>0</v>
      </c>
      <c r="E4" s="58">
        <f t="shared" ca="1" si="2"/>
        <v>1</v>
      </c>
      <c r="F4" s="58">
        <f t="shared" ca="1" si="2"/>
        <v>1</v>
      </c>
      <c r="G4" s="58">
        <f t="shared" ca="1" si="2"/>
        <v>0</v>
      </c>
      <c r="H4" s="58">
        <f t="shared" ca="1" si="2"/>
        <v>0</v>
      </c>
      <c r="I4" s="58">
        <f t="shared" ca="1" si="2"/>
        <v>0</v>
      </c>
      <c r="J4" s="58">
        <f t="shared" ca="1" si="2"/>
        <v>0</v>
      </c>
      <c r="K4" s="58">
        <f t="shared" ca="1" si="2"/>
        <v>0</v>
      </c>
      <c r="L4" s="58">
        <f t="shared" ca="1" si="2"/>
        <v>0</v>
      </c>
      <c r="M4" s="58">
        <f t="shared" ca="1" si="2"/>
        <v>1</v>
      </c>
      <c r="N4" s="58">
        <f t="shared" ca="1" si="2"/>
        <v>0</v>
      </c>
      <c r="O4" s="58">
        <f t="shared" ca="1" si="2"/>
        <v>0</v>
      </c>
      <c r="P4" s="58">
        <f t="shared" ca="1" si="2"/>
        <v>0</v>
      </c>
      <c r="Q4" s="58">
        <f t="shared" ca="1" si="2"/>
        <v>0</v>
      </c>
      <c r="R4" s="58">
        <f t="shared" ca="1" si="2"/>
        <v>0</v>
      </c>
      <c r="S4" s="58">
        <f t="shared" ca="1" si="0"/>
        <v>0</v>
      </c>
      <c r="T4" s="58">
        <f t="shared" ca="1" si="0"/>
        <v>0</v>
      </c>
      <c r="U4" s="58">
        <f t="shared" ca="1" si="0"/>
        <v>0</v>
      </c>
      <c r="V4" s="58">
        <f t="shared" ca="1" si="0"/>
        <v>0</v>
      </c>
      <c r="W4" s="58">
        <f t="shared" ca="1" si="0"/>
        <v>0</v>
      </c>
      <c r="X4" s="58">
        <f t="shared" ca="1" si="0"/>
        <v>0</v>
      </c>
      <c r="Y4" s="58">
        <f t="shared" ca="1" si="0"/>
        <v>0</v>
      </c>
      <c r="Z4" s="58">
        <f t="shared" ca="1" si="0"/>
        <v>0</v>
      </c>
      <c r="AA4" s="58">
        <f t="shared" ca="1" si="0"/>
        <v>0</v>
      </c>
      <c r="AB4" s="58">
        <f t="shared" ca="1" si="0"/>
        <v>1</v>
      </c>
      <c r="AC4" s="58">
        <f t="shared" ca="1" si="0"/>
        <v>0</v>
      </c>
      <c r="AD4" s="58">
        <f t="shared" ca="1" si="0"/>
        <v>0</v>
      </c>
      <c r="AE4" s="58">
        <f t="shared" ca="1" si="0"/>
        <v>0</v>
      </c>
      <c r="AF4" s="58">
        <f t="shared" ca="1" si="0"/>
        <v>0</v>
      </c>
      <c r="AG4" s="58">
        <f t="shared" ca="1" si="0"/>
        <v>1</v>
      </c>
      <c r="AH4" s="58">
        <f t="shared" ca="1" si="0"/>
        <v>0</v>
      </c>
      <c r="AI4" s="58">
        <f t="shared" ca="1" si="0"/>
        <v>0</v>
      </c>
      <c r="AJ4" s="58">
        <f t="shared" ca="1" si="0"/>
        <v>0</v>
      </c>
      <c r="AK4" s="58">
        <f t="shared" ca="1" si="0"/>
        <v>0</v>
      </c>
      <c r="AL4" s="58">
        <f t="shared" ca="1" si="0"/>
        <v>1</v>
      </c>
      <c r="AM4" s="58">
        <f t="shared" ca="1" si="0"/>
        <v>0</v>
      </c>
      <c r="AN4" s="58">
        <f t="shared" ca="1" si="0"/>
        <v>0</v>
      </c>
      <c r="AO4" s="58">
        <f t="shared" ca="1" si="0"/>
        <v>0</v>
      </c>
      <c r="AP4" s="58">
        <f t="shared" ca="1" si="0"/>
        <v>0</v>
      </c>
      <c r="AQ4" s="58">
        <f t="shared" ca="1" si="0"/>
        <v>0</v>
      </c>
      <c r="AR4" s="58">
        <f t="shared" ca="1" si="0"/>
        <v>0</v>
      </c>
      <c r="AS4" s="58">
        <f t="shared" ca="1" si="0"/>
        <v>0</v>
      </c>
      <c r="AT4" s="58">
        <f t="shared" ca="1" si="0"/>
        <v>1</v>
      </c>
      <c r="AU4" s="58">
        <f t="shared" ca="1" si="0"/>
        <v>0</v>
      </c>
      <c r="AV4" s="58">
        <f t="shared" ca="1" si="0"/>
        <v>1</v>
      </c>
      <c r="AW4" s="58">
        <f t="shared" ca="1" si="0"/>
        <v>0</v>
      </c>
      <c r="AX4" s="58">
        <f t="shared" ca="1" si="0"/>
        <v>1</v>
      </c>
      <c r="AY4" s="58">
        <f t="shared" ca="1" si="0"/>
        <v>0</v>
      </c>
      <c r="AZ4" s="58">
        <f t="shared" ca="1" si="0"/>
        <v>0</v>
      </c>
      <c r="BA4" s="58">
        <f t="shared" ca="1" si="0"/>
        <v>0</v>
      </c>
      <c r="BB4" s="58">
        <f t="shared" ca="1" si="0"/>
        <v>0</v>
      </c>
      <c r="BC4" s="58">
        <f t="shared" ca="1" si="0"/>
        <v>0</v>
      </c>
      <c r="BD4" s="58">
        <f t="shared" ca="1" si="0"/>
        <v>0</v>
      </c>
      <c r="BE4" s="58">
        <f t="shared" ca="1" si="0"/>
        <v>0</v>
      </c>
      <c r="BF4" s="58">
        <f t="shared" ca="1" si="0"/>
        <v>0</v>
      </c>
      <c r="BG4" s="58">
        <f t="shared" ca="1" si="0"/>
        <v>0</v>
      </c>
      <c r="BH4" s="58">
        <f t="shared" ca="1" si="0"/>
        <v>0</v>
      </c>
      <c r="BI4" s="58">
        <f t="shared" ca="1" si="0"/>
        <v>0</v>
      </c>
      <c r="BJ4" s="58">
        <f t="shared" ca="1" si="0"/>
        <v>0</v>
      </c>
      <c r="BK4" s="58">
        <f t="shared" ca="1" si="0"/>
        <v>0</v>
      </c>
      <c r="BL4" s="58">
        <f t="shared" ca="1" si="0"/>
        <v>0</v>
      </c>
      <c r="BM4" s="58">
        <f t="shared" ca="1" si="0"/>
        <v>0</v>
      </c>
      <c r="BN4" s="58">
        <f t="shared" ca="1" si="0"/>
        <v>0</v>
      </c>
      <c r="BO4" s="58">
        <f t="shared" ca="1" si="0"/>
        <v>0</v>
      </c>
      <c r="BP4" s="58">
        <f t="shared" ca="1" si="1"/>
        <v>0</v>
      </c>
      <c r="BQ4" s="58">
        <f t="shared" ca="1" si="1"/>
        <v>0</v>
      </c>
      <c r="BR4" s="58">
        <f t="shared" ca="1" si="1"/>
        <v>1</v>
      </c>
      <c r="BS4" s="58">
        <f t="shared" ca="1" si="1"/>
        <v>1</v>
      </c>
      <c r="BT4" s="58">
        <f t="shared" ca="1" si="1"/>
        <v>0</v>
      </c>
      <c r="BU4" s="58">
        <f t="shared" ca="1" si="1"/>
        <v>0</v>
      </c>
      <c r="BV4" s="58">
        <f t="shared" ca="1" si="1"/>
        <v>0</v>
      </c>
      <c r="BW4" s="58">
        <f t="shared" ca="1" si="1"/>
        <v>1</v>
      </c>
      <c r="BX4" s="58">
        <f t="shared" ca="1" si="1"/>
        <v>0</v>
      </c>
      <c r="BY4" s="58">
        <f t="shared" ca="1" si="1"/>
        <v>0</v>
      </c>
      <c r="BZ4" s="58">
        <f t="shared" ca="1" si="1"/>
        <v>0</v>
      </c>
      <c r="CA4" s="58">
        <f t="shared" ca="1" si="1"/>
        <v>0</v>
      </c>
      <c r="CB4" s="58">
        <f t="shared" ca="1" si="1"/>
        <v>0</v>
      </c>
      <c r="CC4" s="58">
        <f t="shared" ca="1" si="1"/>
        <v>0</v>
      </c>
      <c r="CD4" s="58">
        <f t="shared" ca="1" si="1"/>
        <v>0</v>
      </c>
      <c r="CE4" s="58">
        <f t="shared" ca="1" si="1"/>
        <v>0</v>
      </c>
      <c r="CF4" s="58">
        <f t="shared" ca="1" si="1"/>
        <v>0</v>
      </c>
      <c r="CG4" s="58">
        <f t="shared" ca="1" si="1"/>
        <v>0</v>
      </c>
      <c r="CH4" s="58">
        <f t="shared" ca="1" si="1"/>
        <v>0</v>
      </c>
      <c r="CI4" s="58">
        <f t="shared" ca="1" si="1"/>
        <v>0</v>
      </c>
      <c r="CJ4" s="58">
        <f t="shared" ca="1" si="1"/>
        <v>0</v>
      </c>
      <c r="CK4" s="58">
        <f t="shared" ca="1" si="1"/>
        <v>0</v>
      </c>
      <c r="CL4" s="58">
        <f t="shared" ca="1" si="1"/>
        <v>0</v>
      </c>
      <c r="CM4" s="58">
        <f t="shared" ca="1" si="1"/>
        <v>1</v>
      </c>
      <c r="CN4" s="58">
        <f t="shared" ca="1" si="1"/>
        <v>0</v>
      </c>
      <c r="CO4" s="58">
        <f t="shared" ca="1" si="1"/>
        <v>0</v>
      </c>
      <c r="CP4" s="58">
        <f t="shared" ca="1" si="1"/>
        <v>0</v>
      </c>
      <c r="CQ4" s="58">
        <f t="shared" ca="1" si="1"/>
        <v>0</v>
      </c>
      <c r="CR4" s="58">
        <f t="shared" ca="1" si="1"/>
        <v>1</v>
      </c>
      <c r="CS4" s="58">
        <f t="shared" ca="1" si="1"/>
        <v>1</v>
      </c>
      <c r="CT4" s="58">
        <f t="shared" ca="1" si="1"/>
        <v>1</v>
      </c>
      <c r="CU4" s="58">
        <f t="shared" ca="1" si="1"/>
        <v>0</v>
      </c>
      <c r="CV4" s="58">
        <f t="shared" ca="1" si="1"/>
        <v>0</v>
      </c>
      <c r="CW4" s="58">
        <f t="shared" ca="1" si="1"/>
        <v>0</v>
      </c>
      <c r="CX4" s="58">
        <f t="shared" ca="1" si="1"/>
        <v>0</v>
      </c>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row>
    <row r="5" spans="1:150" x14ac:dyDescent="0.25">
      <c r="A5" s="57" t="s">
        <v>798</v>
      </c>
      <c r="B5" s="62">
        <v>0.3</v>
      </c>
      <c r="C5" s="58">
        <f t="shared" ca="1" si="2"/>
        <v>0</v>
      </c>
      <c r="D5" s="58">
        <f t="shared" ca="1" si="0"/>
        <v>0</v>
      </c>
      <c r="E5" s="58">
        <f t="shared" ca="1" si="0"/>
        <v>1</v>
      </c>
      <c r="F5" s="58">
        <f t="shared" ca="1" si="0"/>
        <v>0</v>
      </c>
      <c r="G5" s="58">
        <f t="shared" ca="1" si="0"/>
        <v>0</v>
      </c>
      <c r="H5" s="58">
        <f t="shared" ca="1" si="0"/>
        <v>0</v>
      </c>
      <c r="I5" s="58">
        <f t="shared" ca="1" si="0"/>
        <v>0</v>
      </c>
      <c r="J5" s="58">
        <f t="shared" ca="1" si="0"/>
        <v>0</v>
      </c>
      <c r="K5" s="58">
        <f t="shared" ca="1" si="0"/>
        <v>0</v>
      </c>
      <c r="L5" s="58">
        <f t="shared" ca="1" si="0"/>
        <v>0</v>
      </c>
      <c r="M5" s="58">
        <f t="shared" ca="1" si="0"/>
        <v>0</v>
      </c>
      <c r="N5" s="58">
        <f t="shared" ca="1" si="0"/>
        <v>0</v>
      </c>
      <c r="O5" s="58">
        <f t="shared" ca="1" si="0"/>
        <v>0</v>
      </c>
      <c r="P5" s="58">
        <f t="shared" ca="1" si="0"/>
        <v>0</v>
      </c>
      <c r="Q5" s="58">
        <f t="shared" ca="1" si="0"/>
        <v>0</v>
      </c>
      <c r="R5" s="58">
        <f t="shared" ca="1" si="0"/>
        <v>0</v>
      </c>
      <c r="S5" s="58">
        <f t="shared" ca="1" si="0"/>
        <v>0</v>
      </c>
      <c r="T5" s="58">
        <f t="shared" ca="1" si="0"/>
        <v>0</v>
      </c>
      <c r="U5" s="58">
        <f t="shared" ca="1" si="0"/>
        <v>0</v>
      </c>
      <c r="V5" s="58">
        <f t="shared" ca="1" si="0"/>
        <v>0</v>
      </c>
      <c r="W5" s="58">
        <f t="shared" ca="1" si="0"/>
        <v>0</v>
      </c>
      <c r="X5" s="58">
        <f t="shared" ca="1" si="0"/>
        <v>0</v>
      </c>
      <c r="Y5" s="58">
        <f t="shared" ca="1" si="0"/>
        <v>0</v>
      </c>
      <c r="Z5" s="58">
        <f t="shared" ca="1" si="0"/>
        <v>0</v>
      </c>
      <c r="AA5" s="58">
        <f t="shared" ca="1" si="0"/>
        <v>0</v>
      </c>
      <c r="AB5" s="58">
        <f t="shared" ca="1" si="0"/>
        <v>0</v>
      </c>
      <c r="AC5" s="58">
        <f t="shared" ca="1" si="0"/>
        <v>1</v>
      </c>
      <c r="AD5" s="58">
        <f t="shared" ca="1" si="0"/>
        <v>1</v>
      </c>
      <c r="AE5" s="58">
        <f t="shared" ca="1" si="0"/>
        <v>0</v>
      </c>
      <c r="AF5" s="58">
        <f t="shared" ca="1" si="0"/>
        <v>0</v>
      </c>
      <c r="AG5" s="58">
        <f t="shared" ca="1" si="0"/>
        <v>1</v>
      </c>
      <c r="AH5" s="58">
        <f t="shared" ca="1" si="0"/>
        <v>1</v>
      </c>
      <c r="AI5" s="58">
        <f t="shared" ca="1" si="0"/>
        <v>0</v>
      </c>
      <c r="AJ5" s="58">
        <f t="shared" ca="1" si="0"/>
        <v>0</v>
      </c>
      <c r="AK5" s="58">
        <f t="shared" ca="1" si="0"/>
        <v>1</v>
      </c>
      <c r="AL5" s="58">
        <f t="shared" ca="1" si="0"/>
        <v>0</v>
      </c>
      <c r="AM5" s="58">
        <f t="shared" ca="1" si="0"/>
        <v>0</v>
      </c>
      <c r="AN5" s="58">
        <f t="shared" ca="1" si="0"/>
        <v>1</v>
      </c>
      <c r="AO5" s="58">
        <f t="shared" ca="1" si="0"/>
        <v>1</v>
      </c>
      <c r="AP5" s="58">
        <f t="shared" ca="1" si="0"/>
        <v>1</v>
      </c>
      <c r="AQ5" s="58">
        <f t="shared" ca="1" si="0"/>
        <v>0</v>
      </c>
      <c r="AR5" s="58">
        <f t="shared" ca="1" si="0"/>
        <v>0</v>
      </c>
      <c r="AS5" s="58">
        <f t="shared" ca="1" si="0"/>
        <v>0</v>
      </c>
      <c r="AT5" s="58">
        <f t="shared" ca="1" si="0"/>
        <v>1</v>
      </c>
      <c r="AU5" s="58">
        <f t="shared" ca="1" si="0"/>
        <v>1</v>
      </c>
      <c r="AV5" s="58">
        <f t="shared" ca="1" si="0"/>
        <v>1</v>
      </c>
      <c r="AW5" s="58">
        <f t="shared" ca="1" si="0"/>
        <v>0</v>
      </c>
      <c r="AX5" s="58">
        <f t="shared" ca="1" si="0"/>
        <v>1</v>
      </c>
      <c r="AY5" s="58">
        <f t="shared" ca="1" si="0"/>
        <v>0</v>
      </c>
      <c r="AZ5" s="58">
        <f t="shared" ca="1" si="0"/>
        <v>0</v>
      </c>
      <c r="BA5" s="58">
        <f t="shared" ca="1" si="0"/>
        <v>0</v>
      </c>
      <c r="BB5" s="58">
        <f t="shared" ca="1" si="0"/>
        <v>0</v>
      </c>
      <c r="BC5" s="58">
        <f t="shared" ca="1" si="0"/>
        <v>0</v>
      </c>
      <c r="BD5" s="58">
        <f t="shared" ca="1" si="0"/>
        <v>0</v>
      </c>
      <c r="BE5" s="58">
        <f t="shared" ca="1" si="0"/>
        <v>0</v>
      </c>
      <c r="BF5" s="58">
        <f t="shared" ca="1" si="0"/>
        <v>0</v>
      </c>
      <c r="BG5" s="58">
        <f t="shared" ca="1" si="0"/>
        <v>0</v>
      </c>
      <c r="BH5" s="58">
        <f t="shared" ca="1" si="0"/>
        <v>0</v>
      </c>
      <c r="BI5" s="58">
        <f t="shared" ca="1" si="0"/>
        <v>0</v>
      </c>
      <c r="BJ5" s="58">
        <f t="shared" ca="1" si="0"/>
        <v>1</v>
      </c>
      <c r="BK5" s="58">
        <f t="shared" ca="1" si="0"/>
        <v>0</v>
      </c>
      <c r="BL5" s="58">
        <f t="shared" ca="1" si="0"/>
        <v>0</v>
      </c>
      <c r="BM5" s="58">
        <f t="shared" ca="1" si="0"/>
        <v>1</v>
      </c>
      <c r="BN5" s="58">
        <f t="shared" ca="1" si="0"/>
        <v>0</v>
      </c>
      <c r="BO5" s="58">
        <f t="shared" ca="1" si="0"/>
        <v>0</v>
      </c>
      <c r="BP5" s="58">
        <f t="shared" ca="1" si="1"/>
        <v>1</v>
      </c>
      <c r="BQ5" s="58">
        <f t="shared" ca="1" si="1"/>
        <v>0</v>
      </c>
      <c r="BR5" s="58">
        <f t="shared" ca="1" si="1"/>
        <v>0</v>
      </c>
      <c r="BS5" s="58">
        <f t="shared" ca="1" si="1"/>
        <v>0</v>
      </c>
      <c r="BT5" s="58">
        <f t="shared" ca="1" si="1"/>
        <v>1</v>
      </c>
      <c r="BU5" s="58">
        <f t="shared" ca="1" si="1"/>
        <v>1</v>
      </c>
      <c r="BV5" s="58">
        <f t="shared" ca="1" si="1"/>
        <v>0</v>
      </c>
      <c r="BW5" s="58">
        <f t="shared" ca="1" si="1"/>
        <v>0</v>
      </c>
      <c r="BX5" s="58">
        <f t="shared" ca="1" si="1"/>
        <v>1</v>
      </c>
      <c r="BY5" s="58">
        <f t="shared" ca="1" si="1"/>
        <v>1</v>
      </c>
      <c r="BZ5" s="58">
        <f t="shared" ca="1" si="1"/>
        <v>0</v>
      </c>
      <c r="CA5" s="58">
        <f t="shared" ca="1" si="1"/>
        <v>0</v>
      </c>
      <c r="CB5" s="58">
        <f t="shared" ca="1" si="1"/>
        <v>1</v>
      </c>
      <c r="CC5" s="58">
        <f t="shared" ca="1" si="1"/>
        <v>1</v>
      </c>
      <c r="CD5" s="58">
        <f t="shared" ca="1" si="1"/>
        <v>0</v>
      </c>
      <c r="CE5" s="58">
        <f t="shared" ca="1" si="1"/>
        <v>0</v>
      </c>
      <c r="CF5" s="58">
        <f t="shared" ca="1" si="1"/>
        <v>0</v>
      </c>
      <c r="CG5" s="58">
        <f t="shared" ca="1" si="1"/>
        <v>0</v>
      </c>
      <c r="CH5" s="58">
        <f t="shared" ca="1" si="1"/>
        <v>0</v>
      </c>
      <c r="CI5" s="58">
        <f t="shared" ca="1" si="1"/>
        <v>0</v>
      </c>
      <c r="CJ5" s="58">
        <f t="shared" ca="1" si="1"/>
        <v>0</v>
      </c>
      <c r="CK5" s="58">
        <f t="shared" ca="1" si="1"/>
        <v>1</v>
      </c>
      <c r="CL5" s="58">
        <f t="shared" ca="1" si="1"/>
        <v>0</v>
      </c>
      <c r="CM5" s="58">
        <f t="shared" ca="1" si="1"/>
        <v>1</v>
      </c>
      <c r="CN5" s="58">
        <f t="shared" ca="1" si="1"/>
        <v>0</v>
      </c>
      <c r="CO5" s="58">
        <f t="shared" ca="1" si="1"/>
        <v>1</v>
      </c>
      <c r="CP5" s="58">
        <f t="shared" ca="1" si="1"/>
        <v>1</v>
      </c>
      <c r="CQ5" s="58">
        <f t="shared" ca="1" si="1"/>
        <v>0</v>
      </c>
      <c r="CR5" s="58">
        <f t="shared" ca="1" si="1"/>
        <v>0</v>
      </c>
      <c r="CS5" s="58">
        <f t="shared" ca="1" si="1"/>
        <v>1</v>
      </c>
      <c r="CT5" s="58">
        <f t="shared" ca="1" si="1"/>
        <v>1</v>
      </c>
      <c r="CU5" s="58">
        <f t="shared" ca="1" si="1"/>
        <v>0</v>
      </c>
      <c r="CV5" s="58">
        <f t="shared" ca="1" si="1"/>
        <v>0</v>
      </c>
      <c r="CW5" s="58">
        <f t="shared" ca="1" si="1"/>
        <v>1</v>
      </c>
      <c r="CX5" s="58">
        <f t="shared" ca="1" si="1"/>
        <v>0</v>
      </c>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row>
    <row r="6" spans="1:150" x14ac:dyDescent="0.25">
      <c r="A6" s="57" t="s">
        <v>799</v>
      </c>
      <c r="B6" s="62">
        <v>0.15</v>
      </c>
      <c r="C6" s="58">
        <f t="shared" ca="1" si="2"/>
        <v>0</v>
      </c>
      <c r="D6" s="58">
        <f t="shared" ca="1" si="0"/>
        <v>0</v>
      </c>
      <c r="E6" s="58">
        <f t="shared" ca="1" si="0"/>
        <v>0</v>
      </c>
      <c r="F6" s="58">
        <f t="shared" ca="1" si="0"/>
        <v>0</v>
      </c>
      <c r="G6" s="58">
        <f t="shared" ca="1" si="0"/>
        <v>1</v>
      </c>
      <c r="H6" s="58">
        <f t="shared" ca="1" si="0"/>
        <v>0</v>
      </c>
      <c r="I6" s="58">
        <f t="shared" ca="1" si="0"/>
        <v>0</v>
      </c>
      <c r="J6" s="58">
        <f t="shared" ca="1" si="0"/>
        <v>1</v>
      </c>
      <c r="K6" s="58">
        <f t="shared" ca="1" si="0"/>
        <v>0</v>
      </c>
      <c r="L6" s="58">
        <f t="shared" ca="1" si="0"/>
        <v>0</v>
      </c>
      <c r="M6" s="58">
        <f t="shared" ca="1" si="0"/>
        <v>0</v>
      </c>
      <c r="N6" s="58">
        <f t="shared" ca="1" si="0"/>
        <v>0</v>
      </c>
      <c r="O6" s="58">
        <f t="shared" ca="1" si="0"/>
        <v>1</v>
      </c>
      <c r="P6" s="58">
        <f t="shared" ca="1" si="0"/>
        <v>1</v>
      </c>
      <c r="Q6" s="58">
        <f t="shared" ca="1" si="0"/>
        <v>0</v>
      </c>
      <c r="R6" s="58">
        <f t="shared" ca="1" si="0"/>
        <v>0</v>
      </c>
      <c r="S6" s="58">
        <f t="shared" ca="1" si="0"/>
        <v>0</v>
      </c>
      <c r="T6" s="58">
        <f t="shared" ca="1" si="0"/>
        <v>0</v>
      </c>
      <c r="U6" s="58">
        <f t="shared" ca="1" si="0"/>
        <v>0</v>
      </c>
      <c r="V6" s="58">
        <f t="shared" ca="1" si="0"/>
        <v>0</v>
      </c>
      <c r="W6" s="58">
        <f t="shared" ca="1" si="0"/>
        <v>0</v>
      </c>
      <c r="X6" s="58">
        <f t="shared" ca="1" si="0"/>
        <v>0</v>
      </c>
      <c r="Y6" s="58">
        <f t="shared" ca="1" si="0"/>
        <v>0</v>
      </c>
      <c r="Z6" s="58">
        <f t="shared" ca="1" si="0"/>
        <v>0</v>
      </c>
      <c r="AA6" s="58">
        <f t="shared" ca="1" si="0"/>
        <v>1</v>
      </c>
      <c r="AB6" s="58">
        <f t="shared" ca="1" si="0"/>
        <v>0</v>
      </c>
      <c r="AC6" s="58">
        <f t="shared" ca="1" si="0"/>
        <v>0</v>
      </c>
      <c r="AD6" s="58">
        <f t="shared" ca="1" si="0"/>
        <v>0</v>
      </c>
      <c r="AE6" s="58">
        <f t="shared" ca="1" si="0"/>
        <v>0</v>
      </c>
      <c r="AF6" s="58">
        <f t="shared" ca="1" si="0"/>
        <v>0</v>
      </c>
      <c r="AG6" s="58">
        <f t="shared" ref="AG6:CR7" ca="1" si="3">IF((RANDBETWEEN(0,100)/100)&lt;$B6,1,0)</f>
        <v>0</v>
      </c>
      <c r="AH6" s="58">
        <f t="shared" ca="1" si="3"/>
        <v>0</v>
      </c>
      <c r="AI6" s="58">
        <f t="shared" ca="1" si="3"/>
        <v>0</v>
      </c>
      <c r="AJ6" s="58">
        <f t="shared" ca="1" si="3"/>
        <v>0</v>
      </c>
      <c r="AK6" s="58">
        <f t="shared" ca="1" si="3"/>
        <v>0</v>
      </c>
      <c r="AL6" s="58">
        <f t="shared" ca="1" si="3"/>
        <v>0</v>
      </c>
      <c r="AM6" s="58">
        <f t="shared" ca="1" si="3"/>
        <v>0</v>
      </c>
      <c r="AN6" s="58">
        <f t="shared" ca="1" si="3"/>
        <v>0</v>
      </c>
      <c r="AO6" s="58">
        <f t="shared" ca="1" si="3"/>
        <v>0</v>
      </c>
      <c r="AP6" s="58">
        <f t="shared" ca="1" si="3"/>
        <v>0</v>
      </c>
      <c r="AQ6" s="58">
        <f t="shared" ca="1" si="3"/>
        <v>0</v>
      </c>
      <c r="AR6" s="58">
        <f t="shared" ca="1" si="3"/>
        <v>1</v>
      </c>
      <c r="AS6" s="58">
        <f t="shared" ca="1" si="3"/>
        <v>0</v>
      </c>
      <c r="AT6" s="58">
        <f t="shared" ca="1" si="3"/>
        <v>0</v>
      </c>
      <c r="AU6" s="58">
        <f t="shared" ca="1" si="3"/>
        <v>0</v>
      </c>
      <c r="AV6" s="58">
        <f t="shared" ca="1" si="3"/>
        <v>0</v>
      </c>
      <c r="AW6" s="58">
        <f t="shared" ca="1" si="3"/>
        <v>0</v>
      </c>
      <c r="AX6" s="58">
        <f t="shared" ca="1" si="3"/>
        <v>0</v>
      </c>
      <c r="AY6" s="58">
        <f t="shared" ca="1" si="3"/>
        <v>0</v>
      </c>
      <c r="AZ6" s="58">
        <f t="shared" ca="1" si="3"/>
        <v>0</v>
      </c>
      <c r="BA6" s="58">
        <f t="shared" ca="1" si="3"/>
        <v>0</v>
      </c>
      <c r="BB6" s="58">
        <f t="shared" ca="1" si="3"/>
        <v>0</v>
      </c>
      <c r="BC6" s="58">
        <f t="shared" ca="1" si="3"/>
        <v>0</v>
      </c>
      <c r="BD6" s="58">
        <f t="shared" ca="1" si="3"/>
        <v>0</v>
      </c>
      <c r="BE6" s="58">
        <f t="shared" ca="1" si="3"/>
        <v>0</v>
      </c>
      <c r="BF6" s="58">
        <f t="shared" ca="1" si="3"/>
        <v>0</v>
      </c>
      <c r="BG6" s="58">
        <f t="shared" ca="1" si="3"/>
        <v>0</v>
      </c>
      <c r="BH6" s="58">
        <f t="shared" ca="1" si="3"/>
        <v>0</v>
      </c>
      <c r="BI6" s="58">
        <f t="shared" ca="1" si="3"/>
        <v>0</v>
      </c>
      <c r="BJ6" s="58">
        <f t="shared" ca="1" si="3"/>
        <v>0</v>
      </c>
      <c r="BK6" s="58">
        <f t="shared" ca="1" si="3"/>
        <v>0</v>
      </c>
      <c r="BL6" s="58">
        <f t="shared" ca="1" si="3"/>
        <v>0</v>
      </c>
      <c r="BM6" s="58">
        <f t="shared" ca="1" si="3"/>
        <v>0</v>
      </c>
      <c r="BN6" s="58">
        <f t="shared" ca="1" si="3"/>
        <v>0</v>
      </c>
      <c r="BO6" s="58">
        <f t="shared" ca="1" si="3"/>
        <v>0</v>
      </c>
      <c r="BP6" s="58">
        <f t="shared" ca="1" si="1"/>
        <v>1</v>
      </c>
      <c r="BQ6" s="58">
        <f t="shared" ca="1" si="1"/>
        <v>0</v>
      </c>
      <c r="BR6" s="58">
        <f t="shared" ca="1" si="1"/>
        <v>0</v>
      </c>
      <c r="BS6" s="58">
        <f t="shared" ca="1" si="1"/>
        <v>0</v>
      </c>
      <c r="BT6" s="58">
        <f t="shared" ca="1" si="1"/>
        <v>0</v>
      </c>
      <c r="BU6" s="58">
        <f t="shared" ca="1" si="1"/>
        <v>0</v>
      </c>
      <c r="BV6" s="58">
        <f t="shared" ca="1" si="1"/>
        <v>0</v>
      </c>
      <c r="BW6" s="58">
        <f t="shared" ca="1" si="1"/>
        <v>0</v>
      </c>
      <c r="BX6" s="58">
        <f t="shared" ca="1" si="1"/>
        <v>0</v>
      </c>
      <c r="BY6" s="58">
        <f t="shared" ca="1" si="1"/>
        <v>0</v>
      </c>
      <c r="BZ6" s="58">
        <f t="shared" ca="1" si="1"/>
        <v>0</v>
      </c>
      <c r="CA6" s="58">
        <f t="shared" ca="1" si="1"/>
        <v>0</v>
      </c>
      <c r="CB6" s="58">
        <f t="shared" ca="1" si="1"/>
        <v>1</v>
      </c>
      <c r="CC6" s="58">
        <f t="shared" ca="1" si="1"/>
        <v>0</v>
      </c>
      <c r="CD6" s="58">
        <f t="shared" ca="1" si="1"/>
        <v>0</v>
      </c>
      <c r="CE6" s="58">
        <f t="shared" ca="1" si="1"/>
        <v>0</v>
      </c>
      <c r="CF6" s="58">
        <f t="shared" ca="1" si="1"/>
        <v>0</v>
      </c>
      <c r="CG6" s="58">
        <f t="shared" ca="1" si="1"/>
        <v>0</v>
      </c>
      <c r="CH6" s="58">
        <f t="shared" ca="1" si="1"/>
        <v>0</v>
      </c>
      <c r="CI6" s="58">
        <f t="shared" ca="1" si="1"/>
        <v>0</v>
      </c>
      <c r="CJ6" s="58">
        <f t="shared" ca="1" si="1"/>
        <v>0</v>
      </c>
      <c r="CK6" s="58">
        <f t="shared" ca="1" si="1"/>
        <v>0</v>
      </c>
      <c r="CL6" s="58">
        <f t="shared" ca="1" si="1"/>
        <v>1</v>
      </c>
      <c r="CM6" s="58">
        <f t="shared" ca="1" si="1"/>
        <v>0</v>
      </c>
      <c r="CN6" s="58">
        <f t="shared" ca="1" si="1"/>
        <v>0</v>
      </c>
      <c r="CO6" s="58">
        <f t="shared" ca="1" si="1"/>
        <v>0</v>
      </c>
      <c r="CP6" s="58">
        <f t="shared" ca="1" si="1"/>
        <v>1</v>
      </c>
      <c r="CQ6" s="58">
        <f t="shared" ca="1" si="1"/>
        <v>0</v>
      </c>
      <c r="CR6" s="58">
        <f t="shared" ca="1" si="1"/>
        <v>0</v>
      </c>
      <c r="CS6" s="58">
        <f t="shared" ca="1" si="1"/>
        <v>0</v>
      </c>
      <c r="CT6" s="58">
        <f t="shared" ca="1" si="1"/>
        <v>0</v>
      </c>
      <c r="CU6" s="58">
        <f t="shared" ca="1" si="1"/>
        <v>0</v>
      </c>
      <c r="CV6" s="58">
        <f t="shared" ca="1" si="1"/>
        <v>1</v>
      </c>
      <c r="CW6" s="58">
        <f t="shared" ca="1" si="1"/>
        <v>0</v>
      </c>
      <c r="CX6" s="58">
        <f t="shared" ca="1" si="1"/>
        <v>0</v>
      </c>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row>
    <row r="7" spans="1:150" x14ac:dyDescent="0.25">
      <c r="A7" s="57" t="s">
        <v>800</v>
      </c>
      <c r="B7" s="62">
        <v>0.14000000000000001</v>
      </c>
      <c r="C7" s="58">
        <f t="shared" ca="1" si="2"/>
        <v>0</v>
      </c>
      <c r="D7" s="58">
        <f t="shared" ca="1" si="2"/>
        <v>0</v>
      </c>
      <c r="E7" s="58">
        <f t="shared" ca="1" si="2"/>
        <v>0</v>
      </c>
      <c r="F7" s="58">
        <f t="shared" ca="1" si="2"/>
        <v>1</v>
      </c>
      <c r="G7" s="58">
        <f t="shared" ca="1" si="2"/>
        <v>0</v>
      </c>
      <c r="H7" s="58">
        <f t="shared" ca="1" si="2"/>
        <v>0</v>
      </c>
      <c r="I7" s="58">
        <f t="shared" ca="1" si="2"/>
        <v>0</v>
      </c>
      <c r="J7" s="58">
        <f t="shared" ca="1" si="2"/>
        <v>0</v>
      </c>
      <c r="K7" s="58">
        <f t="shared" ca="1" si="2"/>
        <v>0</v>
      </c>
      <c r="L7" s="58">
        <f t="shared" ca="1" si="2"/>
        <v>1</v>
      </c>
      <c r="M7" s="58">
        <f t="shared" ca="1" si="2"/>
        <v>1</v>
      </c>
      <c r="N7" s="58">
        <f t="shared" ca="1" si="2"/>
        <v>0</v>
      </c>
      <c r="O7" s="58">
        <f t="shared" ca="1" si="2"/>
        <v>0</v>
      </c>
      <c r="P7" s="58">
        <f t="shared" ca="1" si="2"/>
        <v>0</v>
      </c>
      <c r="Q7" s="58">
        <f t="shared" ca="1" si="2"/>
        <v>0</v>
      </c>
      <c r="R7" s="58">
        <f t="shared" ca="1" si="2"/>
        <v>0</v>
      </c>
      <c r="S7" s="58">
        <f t="shared" ref="S7:BZ11" ca="1" si="4">IF((RANDBETWEEN(0,100)/100)&lt;$B7,1,0)</f>
        <v>0</v>
      </c>
      <c r="T7" s="58">
        <f t="shared" ca="1" si="4"/>
        <v>0</v>
      </c>
      <c r="U7" s="58">
        <f t="shared" ca="1" si="4"/>
        <v>0</v>
      </c>
      <c r="V7" s="58">
        <f t="shared" ca="1" si="4"/>
        <v>0</v>
      </c>
      <c r="W7" s="58">
        <f t="shared" ca="1" si="4"/>
        <v>0</v>
      </c>
      <c r="X7" s="58">
        <f t="shared" ca="1" si="4"/>
        <v>0</v>
      </c>
      <c r="Y7" s="58">
        <f t="shared" ca="1" si="4"/>
        <v>0</v>
      </c>
      <c r="Z7" s="58">
        <f t="shared" ca="1" si="4"/>
        <v>0</v>
      </c>
      <c r="AA7" s="58">
        <f t="shared" ca="1" si="4"/>
        <v>0</v>
      </c>
      <c r="AB7" s="58">
        <f t="shared" ca="1" si="4"/>
        <v>0</v>
      </c>
      <c r="AC7" s="58">
        <f t="shared" ca="1" si="4"/>
        <v>0</v>
      </c>
      <c r="AD7" s="58">
        <f t="shared" ca="1" si="4"/>
        <v>1</v>
      </c>
      <c r="AE7" s="58">
        <f t="shared" ca="1" si="4"/>
        <v>0</v>
      </c>
      <c r="AF7" s="58">
        <f t="shared" ca="1" si="4"/>
        <v>0</v>
      </c>
      <c r="AG7" s="58">
        <f t="shared" ca="1" si="4"/>
        <v>0</v>
      </c>
      <c r="AH7" s="58">
        <f t="shared" ca="1" si="4"/>
        <v>0</v>
      </c>
      <c r="AI7" s="58">
        <f t="shared" ca="1" si="4"/>
        <v>0</v>
      </c>
      <c r="AJ7" s="58">
        <f t="shared" ca="1" si="4"/>
        <v>0</v>
      </c>
      <c r="AK7" s="58">
        <f t="shared" ca="1" si="4"/>
        <v>1</v>
      </c>
      <c r="AL7" s="58">
        <f t="shared" ca="1" si="4"/>
        <v>0</v>
      </c>
      <c r="AM7" s="58">
        <f t="shared" ca="1" si="4"/>
        <v>0</v>
      </c>
      <c r="AN7" s="58">
        <f t="shared" ca="1" si="4"/>
        <v>0</v>
      </c>
      <c r="AO7" s="58">
        <f t="shared" ca="1" si="4"/>
        <v>0</v>
      </c>
      <c r="AP7" s="58">
        <f t="shared" ca="1" si="4"/>
        <v>0</v>
      </c>
      <c r="AQ7" s="58">
        <f t="shared" ca="1" si="4"/>
        <v>0</v>
      </c>
      <c r="AR7" s="58">
        <f t="shared" ca="1" si="4"/>
        <v>0</v>
      </c>
      <c r="AS7" s="58">
        <f t="shared" ca="1" si="4"/>
        <v>0</v>
      </c>
      <c r="AT7" s="58">
        <f t="shared" ca="1" si="4"/>
        <v>0</v>
      </c>
      <c r="AU7" s="58">
        <f t="shared" ca="1" si="4"/>
        <v>1</v>
      </c>
      <c r="AV7" s="58">
        <f t="shared" ca="1" si="4"/>
        <v>1</v>
      </c>
      <c r="AW7" s="58">
        <f t="shared" ca="1" si="4"/>
        <v>0</v>
      </c>
      <c r="AX7" s="58">
        <f t="shared" ca="1" si="4"/>
        <v>0</v>
      </c>
      <c r="AY7" s="58">
        <f t="shared" ca="1" si="4"/>
        <v>1</v>
      </c>
      <c r="AZ7" s="58">
        <f t="shared" ca="1" si="4"/>
        <v>0</v>
      </c>
      <c r="BA7" s="58">
        <f t="shared" ca="1" si="4"/>
        <v>0</v>
      </c>
      <c r="BB7" s="58">
        <f t="shared" ca="1" si="4"/>
        <v>0</v>
      </c>
      <c r="BC7" s="58">
        <f t="shared" ca="1" si="4"/>
        <v>0</v>
      </c>
      <c r="BD7" s="58">
        <f t="shared" ca="1" si="4"/>
        <v>0</v>
      </c>
      <c r="BE7" s="58">
        <f t="shared" ca="1" si="4"/>
        <v>1</v>
      </c>
      <c r="BF7" s="58">
        <f t="shared" ca="1" si="4"/>
        <v>1</v>
      </c>
      <c r="BG7" s="58">
        <f t="shared" ca="1" si="4"/>
        <v>0</v>
      </c>
      <c r="BH7" s="58">
        <f t="shared" ca="1" si="4"/>
        <v>0</v>
      </c>
      <c r="BI7" s="58">
        <f t="shared" ca="1" si="4"/>
        <v>0</v>
      </c>
      <c r="BJ7" s="58">
        <f t="shared" ca="1" si="4"/>
        <v>0</v>
      </c>
      <c r="BK7" s="58">
        <f t="shared" ca="1" si="4"/>
        <v>0</v>
      </c>
      <c r="BL7" s="58">
        <f t="shared" ca="1" si="4"/>
        <v>0</v>
      </c>
      <c r="BM7" s="58">
        <f t="shared" ca="1" si="4"/>
        <v>0</v>
      </c>
      <c r="BN7" s="58">
        <f t="shared" ca="1" si="4"/>
        <v>0</v>
      </c>
      <c r="BO7" s="58">
        <f t="shared" ca="1" si="3"/>
        <v>0</v>
      </c>
      <c r="BP7" s="58">
        <f t="shared" ca="1" si="3"/>
        <v>0</v>
      </c>
      <c r="BQ7" s="58">
        <f t="shared" ca="1" si="3"/>
        <v>1</v>
      </c>
      <c r="BR7" s="58">
        <f t="shared" ca="1" si="3"/>
        <v>0</v>
      </c>
      <c r="BS7" s="58">
        <f t="shared" ca="1" si="3"/>
        <v>0</v>
      </c>
      <c r="BT7" s="58">
        <f t="shared" ca="1" si="3"/>
        <v>0</v>
      </c>
      <c r="BU7" s="58">
        <f t="shared" ca="1" si="3"/>
        <v>1</v>
      </c>
      <c r="BV7" s="58">
        <f t="shared" ca="1" si="3"/>
        <v>0</v>
      </c>
      <c r="BW7" s="58">
        <f t="shared" ca="1" si="3"/>
        <v>0</v>
      </c>
      <c r="BX7" s="58">
        <f t="shared" ca="1" si="3"/>
        <v>0</v>
      </c>
      <c r="BY7" s="58">
        <f t="shared" ca="1" si="3"/>
        <v>1</v>
      </c>
      <c r="BZ7" s="58">
        <f t="shared" ca="1" si="3"/>
        <v>0</v>
      </c>
      <c r="CA7" s="58">
        <f t="shared" ca="1" si="3"/>
        <v>0</v>
      </c>
      <c r="CB7" s="58">
        <f t="shared" ca="1" si="3"/>
        <v>0</v>
      </c>
      <c r="CC7" s="58">
        <f t="shared" ca="1" si="3"/>
        <v>0</v>
      </c>
      <c r="CD7" s="58">
        <f t="shared" ca="1" si="3"/>
        <v>1</v>
      </c>
      <c r="CE7" s="58">
        <f t="shared" ca="1" si="3"/>
        <v>0</v>
      </c>
      <c r="CF7" s="58">
        <f t="shared" ca="1" si="3"/>
        <v>0</v>
      </c>
      <c r="CG7" s="58">
        <f t="shared" ca="1" si="3"/>
        <v>0</v>
      </c>
      <c r="CH7" s="58">
        <f t="shared" ca="1" si="3"/>
        <v>0</v>
      </c>
      <c r="CI7" s="58">
        <f t="shared" ca="1" si="3"/>
        <v>0</v>
      </c>
      <c r="CJ7" s="58">
        <f t="shared" ca="1" si="3"/>
        <v>0</v>
      </c>
      <c r="CK7" s="58">
        <f t="shared" ca="1" si="3"/>
        <v>0</v>
      </c>
      <c r="CL7" s="58">
        <f t="shared" ca="1" si="3"/>
        <v>1</v>
      </c>
      <c r="CM7" s="58">
        <f t="shared" ca="1" si="3"/>
        <v>0</v>
      </c>
      <c r="CN7" s="58">
        <f t="shared" ca="1" si="3"/>
        <v>0</v>
      </c>
      <c r="CO7" s="58">
        <f t="shared" ca="1" si="3"/>
        <v>0</v>
      </c>
      <c r="CP7" s="58">
        <f t="shared" ca="1" si="3"/>
        <v>1</v>
      </c>
      <c r="CQ7" s="58">
        <f t="shared" ca="1" si="3"/>
        <v>0</v>
      </c>
      <c r="CR7" s="58">
        <f t="shared" ca="1" si="3"/>
        <v>0</v>
      </c>
      <c r="CS7" s="58">
        <f t="shared" ca="1" si="1"/>
        <v>0</v>
      </c>
      <c r="CT7" s="58">
        <f t="shared" ca="1" si="1"/>
        <v>1</v>
      </c>
      <c r="CU7" s="58">
        <f t="shared" ca="1" si="1"/>
        <v>0</v>
      </c>
      <c r="CV7" s="58">
        <f t="shared" ca="1" si="1"/>
        <v>1</v>
      </c>
      <c r="CW7" s="58">
        <f t="shared" ca="1" si="1"/>
        <v>0</v>
      </c>
      <c r="CX7" s="58">
        <f t="shared" ca="1" si="1"/>
        <v>1</v>
      </c>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row>
    <row r="8" spans="1:150" x14ac:dyDescent="0.25">
      <c r="A8" s="57" t="s">
        <v>840</v>
      </c>
      <c r="B8" s="62">
        <v>0.15</v>
      </c>
      <c r="C8" s="58">
        <f t="shared" ca="1" si="2"/>
        <v>0</v>
      </c>
      <c r="D8" s="58">
        <f t="shared" ca="1" si="2"/>
        <v>0</v>
      </c>
      <c r="E8" s="58">
        <f t="shared" ca="1" si="2"/>
        <v>0</v>
      </c>
      <c r="F8" s="58">
        <f t="shared" ca="1" si="2"/>
        <v>0</v>
      </c>
      <c r="G8" s="58">
        <f t="shared" ca="1" si="2"/>
        <v>0</v>
      </c>
      <c r="H8" s="58">
        <f t="shared" ca="1" si="2"/>
        <v>0</v>
      </c>
      <c r="I8" s="58">
        <f t="shared" ca="1" si="2"/>
        <v>0</v>
      </c>
      <c r="J8" s="58">
        <f t="shared" ca="1" si="2"/>
        <v>0</v>
      </c>
      <c r="K8" s="58">
        <f t="shared" ca="1" si="2"/>
        <v>0</v>
      </c>
      <c r="L8" s="58">
        <f t="shared" ca="1" si="2"/>
        <v>0</v>
      </c>
      <c r="M8" s="58">
        <f t="shared" ca="1" si="2"/>
        <v>0</v>
      </c>
      <c r="N8" s="58">
        <f t="shared" ca="1" si="2"/>
        <v>0</v>
      </c>
      <c r="O8" s="58">
        <f t="shared" ca="1" si="2"/>
        <v>0</v>
      </c>
      <c r="P8" s="58">
        <f t="shared" ca="1" si="2"/>
        <v>0</v>
      </c>
      <c r="Q8" s="58">
        <f t="shared" ca="1" si="2"/>
        <v>0</v>
      </c>
      <c r="R8" s="58">
        <f t="shared" ca="1" si="2"/>
        <v>0</v>
      </c>
      <c r="S8" s="58">
        <f t="shared" ca="1" si="4"/>
        <v>0</v>
      </c>
      <c r="T8" s="58">
        <f t="shared" ca="1" si="4"/>
        <v>0</v>
      </c>
      <c r="U8" s="58">
        <f t="shared" ca="1" si="4"/>
        <v>1</v>
      </c>
      <c r="V8" s="58">
        <f t="shared" ca="1" si="4"/>
        <v>0</v>
      </c>
      <c r="W8" s="58">
        <f t="shared" ca="1" si="4"/>
        <v>0</v>
      </c>
      <c r="X8" s="58">
        <f t="shared" ca="1" si="4"/>
        <v>0</v>
      </c>
      <c r="Y8" s="58">
        <f t="shared" ca="1" si="4"/>
        <v>1</v>
      </c>
      <c r="Z8" s="58">
        <f t="shared" ca="1" si="4"/>
        <v>0</v>
      </c>
      <c r="AA8" s="58">
        <f t="shared" ca="1" si="4"/>
        <v>0</v>
      </c>
      <c r="AB8" s="58">
        <f t="shared" ca="1" si="4"/>
        <v>0</v>
      </c>
      <c r="AC8" s="58">
        <f t="shared" ca="1" si="4"/>
        <v>0</v>
      </c>
      <c r="AD8" s="58">
        <f t="shared" ca="1" si="4"/>
        <v>0</v>
      </c>
      <c r="AE8" s="58">
        <f t="shared" ca="1" si="4"/>
        <v>0</v>
      </c>
      <c r="AF8" s="58">
        <f t="shared" ca="1" si="4"/>
        <v>0</v>
      </c>
      <c r="AG8" s="58">
        <f t="shared" ca="1" si="4"/>
        <v>1</v>
      </c>
      <c r="AH8" s="58">
        <f t="shared" ca="1" si="4"/>
        <v>0</v>
      </c>
      <c r="AI8" s="58">
        <f t="shared" ca="1" si="4"/>
        <v>0</v>
      </c>
      <c r="AJ8" s="58">
        <f t="shared" ca="1" si="4"/>
        <v>0</v>
      </c>
      <c r="AK8" s="58">
        <f t="shared" ca="1" si="4"/>
        <v>0</v>
      </c>
      <c r="AL8" s="58">
        <f t="shared" ca="1" si="4"/>
        <v>1</v>
      </c>
      <c r="AM8" s="58">
        <f t="shared" ca="1" si="4"/>
        <v>1</v>
      </c>
      <c r="AN8" s="58">
        <f t="shared" ca="1" si="4"/>
        <v>0</v>
      </c>
      <c r="AO8" s="58">
        <f t="shared" ca="1" si="4"/>
        <v>0</v>
      </c>
      <c r="AP8" s="58">
        <f t="shared" ca="1" si="4"/>
        <v>0</v>
      </c>
      <c r="AQ8" s="58">
        <f t="shared" ca="1" si="4"/>
        <v>0</v>
      </c>
      <c r="AR8" s="58">
        <f t="shared" ca="1" si="4"/>
        <v>0</v>
      </c>
      <c r="AS8" s="58">
        <f t="shared" ca="1" si="4"/>
        <v>0</v>
      </c>
      <c r="AT8" s="58">
        <f t="shared" ca="1" si="4"/>
        <v>1</v>
      </c>
      <c r="AU8" s="58">
        <f t="shared" ca="1" si="4"/>
        <v>0</v>
      </c>
      <c r="AV8" s="58">
        <f t="shared" ca="1" si="4"/>
        <v>0</v>
      </c>
      <c r="AW8" s="58">
        <f t="shared" ca="1" si="4"/>
        <v>1</v>
      </c>
      <c r="AX8" s="58">
        <f t="shared" ca="1" si="4"/>
        <v>0</v>
      </c>
      <c r="AY8" s="58">
        <f t="shared" ca="1" si="4"/>
        <v>0</v>
      </c>
      <c r="AZ8" s="58">
        <f t="shared" ca="1" si="4"/>
        <v>1</v>
      </c>
      <c r="BA8" s="58">
        <f t="shared" ca="1" si="4"/>
        <v>0</v>
      </c>
      <c r="BB8" s="58">
        <f t="shared" ca="1" si="4"/>
        <v>0</v>
      </c>
      <c r="BC8" s="58">
        <f t="shared" ca="1" si="4"/>
        <v>0</v>
      </c>
      <c r="BD8" s="58">
        <f t="shared" ca="1" si="4"/>
        <v>0</v>
      </c>
      <c r="BE8" s="58">
        <f t="shared" ca="1" si="4"/>
        <v>0</v>
      </c>
      <c r="BF8" s="58">
        <f t="shared" ca="1" si="4"/>
        <v>0</v>
      </c>
      <c r="BG8" s="58">
        <f t="shared" ca="1" si="4"/>
        <v>1</v>
      </c>
      <c r="BH8" s="58">
        <f t="shared" ca="1" si="4"/>
        <v>1</v>
      </c>
      <c r="BI8" s="58">
        <f t="shared" ca="1" si="4"/>
        <v>0</v>
      </c>
      <c r="BJ8" s="58">
        <f t="shared" ca="1" si="4"/>
        <v>0</v>
      </c>
      <c r="BK8" s="58">
        <f t="shared" ca="1" si="4"/>
        <v>0</v>
      </c>
      <c r="BL8" s="58">
        <f t="shared" ca="1" si="4"/>
        <v>0</v>
      </c>
      <c r="BM8" s="58">
        <f t="shared" ca="1" si="4"/>
        <v>1</v>
      </c>
      <c r="BN8" s="58">
        <f t="shared" ca="1" si="4"/>
        <v>0</v>
      </c>
      <c r="BO8" s="58">
        <f t="shared" ca="1" si="4"/>
        <v>0</v>
      </c>
      <c r="BP8" s="58">
        <f t="shared" ca="1" si="1"/>
        <v>0</v>
      </c>
      <c r="BQ8" s="58">
        <f t="shared" ca="1" si="1"/>
        <v>1</v>
      </c>
      <c r="BR8" s="58">
        <f t="shared" ca="1" si="1"/>
        <v>0</v>
      </c>
      <c r="BS8" s="58">
        <f t="shared" ca="1" si="1"/>
        <v>0</v>
      </c>
      <c r="BT8" s="58">
        <f t="shared" ca="1" si="1"/>
        <v>0</v>
      </c>
      <c r="BU8" s="58">
        <f t="shared" ca="1" si="1"/>
        <v>1</v>
      </c>
      <c r="BV8" s="58">
        <f t="shared" ca="1" si="1"/>
        <v>1</v>
      </c>
      <c r="BW8" s="58">
        <f t="shared" ca="1" si="1"/>
        <v>0</v>
      </c>
      <c r="BX8" s="58">
        <f t="shared" ca="1" si="1"/>
        <v>1</v>
      </c>
      <c r="BY8" s="58">
        <f t="shared" ca="1" si="1"/>
        <v>0</v>
      </c>
      <c r="BZ8" s="58">
        <f t="shared" ca="1" si="1"/>
        <v>0</v>
      </c>
      <c r="CA8" s="58">
        <f t="shared" ca="1" si="1"/>
        <v>1</v>
      </c>
      <c r="CB8" s="58">
        <f t="shared" ca="1" si="1"/>
        <v>0</v>
      </c>
      <c r="CC8" s="58">
        <f t="shared" ca="1" si="1"/>
        <v>1</v>
      </c>
      <c r="CD8" s="58">
        <f t="shared" ca="1" si="1"/>
        <v>0</v>
      </c>
      <c r="CE8" s="58">
        <f t="shared" ca="1" si="1"/>
        <v>0</v>
      </c>
      <c r="CF8" s="58">
        <f t="shared" ca="1" si="1"/>
        <v>0</v>
      </c>
      <c r="CG8" s="58">
        <f t="shared" ca="1" si="1"/>
        <v>0</v>
      </c>
      <c r="CH8" s="58">
        <f t="shared" ca="1" si="1"/>
        <v>0</v>
      </c>
      <c r="CI8" s="58">
        <f t="shared" ca="1" si="1"/>
        <v>0</v>
      </c>
      <c r="CJ8" s="58">
        <f t="shared" ca="1" si="1"/>
        <v>0</v>
      </c>
      <c r="CK8" s="58">
        <f t="shared" ca="1" si="1"/>
        <v>1</v>
      </c>
      <c r="CL8" s="58">
        <f t="shared" ca="1" si="1"/>
        <v>0</v>
      </c>
      <c r="CM8" s="58">
        <f t="shared" ca="1" si="1"/>
        <v>0</v>
      </c>
      <c r="CN8" s="58">
        <f t="shared" ca="1" si="1"/>
        <v>0</v>
      </c>
      <c r="CO8" s="58">
        <f t="shared" ca="1" si="1"/>
        <v>0</v>
      </c>
      <c r="CP8" s="58">
        <f t="shared" ca="1" si="1"/>
        <v>0</v>
      </c>
      <c r="CQ8" s="58">
        <f t="shared" ca="1" si="1"/>
        <v>0</v>
      </c>
      <c r="CR8" s="58">
        <f t="shared" ca="1" si="1"/>
        <v>0</v>
      </c>
      <c r="CS8" s="58">
        <f t="shared" ca="1" si="1"/>
        <v>0</v>
      </c>
      <c r="CT8" s="58">
        <f t="shared" ca="1" si="1"/>
        <v>0</v>
      </c>
      <c r="CU8" s="58">
        <f t="shared" ca="1" si="1"/>
        <v>0</v>
      </c>
      <c r="CV8" s="58">
        <f t="shared" ca="1" si="1"/>
        <v>0</v>
      </c>
      <c r="CW8" s="58">
        <f t="shared" ca="1" si="1"/>
        <v>0</v>
      </c>
      <c r="CX8" s="58">
        <f t="shared" ca="1" si="1"/>
        <v>0</v>
      </c>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row>
    <row r="9" spans="1:150" x14ac:dyDescent="0.25">
      <c r="A9" s="57" t="s">
        <v>801</v>
      </c>
      <c r="B9" s="62">
        <v>0.1</v>
      </c>
      <c r="C9" s="58">
        <f t="shared" ca="1" si="2"/>
        <v>0</v>
      </c>
      <c r="D9" s="58">
        <f t="shared" ca="1" si="2"/>
        <v>0</v>
      </c>
      <c r="E9" s="58">
        <f t="shared" ca="1" si="2"/>
        <v>0</v>
      </c>
      <c r="F9" s="58">
        <f t="shared" ca="1" si="2"/>
        <v>0</v>
      </c>
      <c r="G9" s="58">
        <f t="shared" ca="1" si="2"/>
        <v>0</v>
      </c>
      <c r="H9" s="58">
        <f t="shared" ca="1" si="2"/>
        <v>1</v>
      </c>
      <c r="I9" s="58">
        <f t="shared" ca="1" si="2"/>
        <v>0</v>
      </c>
      <c r="J9" s="58">
        <f t="shared" ca="1" si="2"/>
        <v>0</v>
      </c>
      <c r="K9" s="58">
        <f t="shared" ca="1" si="2"/>
        <v>0</v>
      </c>
      <c r="L9" s="58">
        <f t="shared" ca="1" si="2"/>
        <v>1</v>
      </c>
      <c r="M9" s="58">
        <f t="shared" ca="1" si="2"/>
        <v>0</v>
      </c>
      <c r="N9" s="58">
        <f t="shared" ca="1" si="2"/>
        <v>0</v>
      </c>
      <c r="O9" s="58">
        <f t="shared" ca="1" si="2"/>
        <v>0</v>
      </c>
      <c r="P9" s="58">
        <f t="shared" ca="1" si="2"/>
        <v>0</v>
      </c>
      <c r="Q9" s="58">
        <f t="shared" ca="1" si="2"/>
        <v>0</v>
      </c>
      <c r="R9" s="58">
        <f t="shared" ca="1" si="2"/>
        <v>1</v>
      </c>
      <c r="S9" s="58">
        <f t="shared" ca="1" si="4"/>
        <v>0</v>
      </c>
      <c r="T9" s="58">
        <f t="shared" ca="1" si="4"/>
        <v>0</v>
      </c>
      <c r="U9" s="58">
        <f t="shared" ca="1" si="4"/>
        <v>1</v>
      </c>
      <c r="V9" s="58">
        <f t="shared" ca="1" si="4"/>
        <v>0</v>
      </c>
      <c r="W9" s="58">
        <f t="shared" ca="1" si="4"/>
        <v>0</v>
      </c>
      <c r="X9" s="58">
        <f t="shared" ca="1" si="4"/>
        <v>0</v>
      </c>
      <c r="Y9" s="58">
        <f t="shared" ca="1" si="4"/>
        <v>0</v>
      </c>
      <c r="Z9" s="58">
        <f t="shared" ca="1" si="4"/>
        <v>0</v>
      </c>
      <c r="AA9" s="58">
        <f t="shared" ca="1" si="4"/>
        <v>0</v>
      </c>
      <c r="AB9" s="58">
        <f t="shared" ca="1" si="4"/>
        <v>1</v>
      </c>
      <c r="AC9" s="58">
        <f t="shared" ca="1" si="4"/>
        <v>0</v>
      </c>
      <c r="AD9" s="58">
        <f t="shared" ca="1" si="4"/>
        <v>0</v>
      </c>
      <c r="AE9" s="58">
        <f t="shared" ca="1" si="4"/>
        <v>0</v>
      </c>
      <c r="AF9" s="58">
        <f t="shared" ca="1" si="4"/>
        <v>0</v>
      </c>
      <c r="AG9" s="58">
        <f t="shared" ca="1" si="4"/>
        <v>0</v>
      </c>
      <c r="AH9" s="58">
        <f t="shared" ca="1" si="4"/>
        <v>0</v>
      </c>
      <c r="AI9" s="58">
        <f t="shared" ca="1" si="4"/>
        <v>0</v>
      </c>
      <c r="AJ9" s="58">
        <f t="shared" ca="1" si="4"/>
        <v>0</v>
      </c>
      <c r="AK9" s="58">
        <f t="shared" ca="1" si="4"/>
        <v>0</v>
      </c>
      <c r="AL9" s="58">
        <f t="shared" ca="1" si="4"/>
        <v>0</v>
      </c>
      <c r="AM9" s="58">
        <f t="shared" ca="1" si="4"/>
        <v>0</v>
      </c>
      <c r="AN9" s="58">
        <f t="shared" ca="1" si="4"/>
        <v>1</v>
      </c>
      <c r="AO9" s="58">
        <f t="shared" ca="1" si="4"/>
        <v>0</v>
      </c>
      <c r="AP9" s="58">
        <f t="shared" ca="1" si="4"/>
        <v>0</v>
      </c>
      <c r="AQ9" s="58">
        <f t="shared" ca="1" si="4"/>
        <v>1</v>
      </c>
      <c r="AR9" s="58">
        <f t="shared" ca="1" si="4"/>
        <v>0</v>
      </c>
      <c r="AS9" s="58">
        <f t="shared" ca="1" si="4"/>
        <v>1</v>
      </c>
      <c r="AT9" s="58">
        <f t="shared" ca="1" si="4"/>
        <v>0</v>
      </c>
      <c r="AU9" s="58">
        <f t="shared" ca="1" si="4"/>
        <v>0</v>
      </c>
      <c r="AV9" s="58">
        <f t="shared" ca="1" si="4"/>
        <v>0</v>
      </c>
      <c r="AW9" s="58">
        <f t="shared" ca="1" si="4"/>
        <v>0</v>
      </c>
      <c r="AX9" s="58">
        <f t="shared" ca="1" si="4"/>
        <v>0</v>
      </c>
      <c r="AY9" s="58">
        <f t="shared" ca="1" si="4"/>
        <v>0</v>
      </c>
      <c r="AZ9" s="58">
        <f t="shared" ca="1" si="4"/>
        <v>0</v>
      </c>
      <c r="BA9" s="58">
        <f t="shared" ca="1" si="4"/>
        <v>0</v>
      </c>
      <c r="BB9" s="58">
        <f t="shared" ca="1" si="4"/>
        <v>1</v>
      </c>
      <c r="BC9" s="58">
        <f t="shared" ca="1" si="4"/>
        <v>0</v>
      </c>
      <c r="BD9" s="58">
        <f t="shared" ca="1" si="4"/>
        <v>0</v>
      </c>
      <c r="BE9" s="58">
        <f t="shared" ca="1" si="4"/>
        <v>0</v>
      </c>
      <c r="BF9" s="58">
        <f t="shared" ca="1" si="4"/>
        <v>0</v>
      </c>
      <c r="BG9" s="58">
        <f t="shared" ca="1" si="4"/>
        <v>0</v>
      </c>
      <c r="BH9" s="58">
        <f t="shared" ca="1" si="4"/>
        <v>1</v>
      </c>
      <c r="BI9" s="58">
        <f t="shared" ca="1" si="4"/>
        <v>0</v>
      </c>
      <c r="BJ9" s="58">
        <f t="shared" ca="1" si="4"/>
        <v>0</v>
      </c>
      <c r="BK9" s="58">
        <f t="shared" ca="1" si="4"/>
        <v>0</v>
      </c>
      <c r="BL9" s="58">
        <f t="shared" ca="1" si="4"/>
        <v>0</v>
      </c>
      <c r="BM9" s="58">
        <f t="shared" ca="1" si="4"/>
        <v>0</v>
      </c>
      <c r="BN9" s="58">
        <f t="shared" ca="1" si="4"/>
        <v>1</v>
      </c>
      <c r="BO9" s="58">
        <f t="shared" ca="1" si="4"/>
        <v>0</v>
      </c>
      <c r="BP9" s="58">
        <f t="shared" ca="1" si="1"/>
        <v>0</v>
      </c>
      <c r="BQ9" s="58">
        <f t="shared" ca="1" si="1"/>
        <v>0</v>
      </c>
      <c r="BR9" s="58">
        <f t="shared" ca="1" si="1"/>
        <v>0</v>
      </c>
      <c r="BS9" s="58">
        <f t="shared" ca="1" si="1"/>
        <v>1</v>
      </c>
      <c r="BT9" s="58">
        <f t="shared" ca="1" si="1"/>
        <v>0</v>
      </c>
      <c r="BU9" s="58">
        <f t="shared" ca="1" si="1"/>
        <v>0</v>
      </c>
      <c r="BV9" s="58">
        <f t="shared" ca="1" si="1"/>
        <v>0</v>
      </c>
      <c r="BW9" s="58">
        <f t="shared" ca="1" si="1"/>
        <v>0</v>
      </c>
      <c r="BX9" s="58">
        <f t="shared" ca="1" si="1"/>
        <v>0</v>
      </c>
      <c r="BY9" s="58">
        <f t="shared" ca="1" si="1"/>
        <v>0</v>
      </c>
      <c r="BZ9" s="58">
        <f t="shared" ca="1" si="1"/>
        <v>0</v>
      </c>
      <c r="CA9" s="58">
        <f t="shared" ca="1" si="1"/>
        <v>0</v>
      </c>
      <c r="CB9" s="58">
        <f t="shared" ca="1" si="1"/>
        <v>0</v>
      </c>
      <c r="CC9" s="58">
        <f t="shared" ca="1" si="1"/>
        <v>0</v>
      </c>
      <c r="CD9" s="58">
        <f t="shared" ca="1" si="1"/>
        <v>0</v>
      </c>
      <c r="CE9" s="58">
        <f t="shared" ca="1" si="1"/>
        <v>0</v>
      </c>
      <c r="CF9" s="58">
        <f t="shared" ca="1" si="1"/>
        <v>1</v>
      </c>
      <c r="CG9" s="58">
        <f t="shared" ca="1" si="1"/>
        <v>0</v>
      </c>
      <c r="CH9" s="58">
        <f t="shared" ca="1" si="1"/>
        <v>0</v>
      </c>
      <c r="CI9" s="58">
        <f t="shared" ca="1" si="1"/>
        <v>0</v>
      </c>
      <c r="CJ9" s="58">
        <f t="shared" ca="1" si="1"/>
        <v>0</v>
      </c>
      <c r="CK9" s="58">
        <f t="shared" ca="1" si="1"/>
        <v>0</v>
      </c>
      <c r="CL9" s="58">
        <f t="shared" ca="1" si="1"/>
        <v>0</v>
      </c>
      <c r="CM9" s="58">
        <f t="shared" ca="1" si="1"/>
        <v>0</v>
      </c>
      <c r="CN9" s="58">
        <f t="shared" ca="1" si="1"/>
        <v>0</v>
      </c>
      <c r="CO9" s="58">
        <f t="shared" ca="1" si="1"/>
        <v>0</v>
      </c>
      <c r="CP9" s="58">
        <f t="shared" ca="1" si="1"/>
        <v>0</v>
      </c>
      <c r="CQ9" s="58">
        <f t="shared" ca="1" si="1"/>
        <v>0</v>
      </c>
      <c r="CR9" s="58">
        <f t="shared" ca="1" si="1"/>
        <v>0</v>
      </c>
      <c r="CS9" s="58">
        <f t="shared" ca="1" si="1"/>
        <v>0</v>
      </c>
      <c r="CT9" s="58">
        <f t="shared" ca="1" si="1"/>
        <v>0</v>
      </c>
      <c r="CU9" s="58">
        <f t="shared" ca="1" si="1"/>
        <v>0</v>
      </c>
      <c r="CV9" s="58">
        <f t="shared" ca="1" si="1"/>
        <v>1</v>
      </c>
      <c r="CW9" s="58">
        <f t="shared" ca="1" si="1"/>
        <v>0</v>
      </c>
      <c r="CX9" s="58">
        <f t="shared" ca="1" si="1"/>
        <v>0</v>
      </c>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row>
    <row r="10" spans="1:150" x14ac:dyDescent="0.25">
      <c r="A10" s="57" t="s">
        <v>802</v>
      </c>
      <c r="B10" s="62">
        <v>0.25</v>
      </c>
      <c r="C10" s="58">
        <f t="shared" ca="1" si="2"/>
        <v>1</v>
      </c>
      <c r="D10" s="58">
        <f t="shared" ca="1" si="2"/>
        <v>0</v>
      </c>
      <c r="E10" s="58">
        <f t="shared" ca="1" si="2"/>
        <v>0</v>
      </c>
      <c r="F10" s="58">
        <f t="shared" ca="1" si="2"/>
        <v>1</v>
      </c>
      <c r="G10" s="58">
        <f t="shared" ca="1" si="2"/>
        <v>0</v>
      </c>
      <c r="H10" s="58">
        <f t="shared" ca="1" si="2"/>
        <v>0</v>
      </c>
      <c r="I10" s="58">
        <f t="shared" ca="1" si="2"/>
        <v>0</v>
      </c>
      <c r="J10" s="58">
        <f t="shared" ca="1" si="2"/>
        <v>0</v>
      </c>
      <c r="K10" s="58">
        <f t="shared" ca="1" si="2"/>
        <v>0</v>
      </c>
      <c r="L10" s="58">
        <f t="shared" ca="1" si="2"/>
        <v>0</v>
      </c>
      <c r="M10" s="58">
        <f t="shared" ca="1" si="2"/>
        <v>0</v>
      </c>
      <c r="N10" s="58">
        <f t="shared" ca="1" si="2"/>
        <v>1</v>
      </c>
      <c r="O10" s="58">
        <f t="shared" ca="1" si="2"/>
        <v>0</v>
      </c>
      <c r="P10" s="58">
        <f t="shared" ca="1" si="2"/>
        <v>0</v>
      </c>
      <c r="Q10" s="58">
        <f t="shared" ca="1" si="2"/>
        <v>0</v>
      </c>
      <c r="R10" s="58">
        <f t="shared" ca="1" si="2"/>
        <v>0</v>
      </c>
      <c r="S10" s="58">
        <f t="shared" ca="1" si="4"/>
        <v>0</v>
      </c>
      <c r="T10" s="58">
        <f t="shared" ca="1" si="4"/>
        <v>1</v>
      </c>
      <c r="U10" s="58">
        <f t="shared" ca="1" si="4"/>
        <v>1</v>
      </c>
      <c r="V10" s="58">
        <f t="shared" ca="1" si="4"/>
        <v>1</v>
      </c>
      <c r="W10" s="58">
        <f t="shared" ca="1" si="4"/>
        <v>0</v>
      </c>
      <c r="X10" s="58">
        <f t="shared" ca="1" si="4"/>
        <v>0</v>
      </c>
      <c r="Y10" s="58">
        <f t="shared" ca="1" si="4"/>
        <v>0</v>
      </c>
      <c r="Z10" s="58">
        <f t="shared" ca="1" si="4"/>
        <v>0</v>
      </c>
      <c r="AA10" s="58">
        <f t="shared" ca="1" si="4"/>
        <v>0</v>
      </c>
      <c r="AB10" s="58">
        <f t="shared" ca="1" si="4"/>
        <v>1</v>
      </c>
      <c r="AC10" s="58">
        <f t="shared" ca="1" si="4"/>
        <v>0</v>
      </c>
      <c r="AD10" s="58">
        <f t="shared" ca="1" si="4"/>
        <v>1</v>
      </c>
      <c r="AE10" s="58">
        <f t="shared" ca="1" si="4"/>
        <v>0</v>
      </c>
      <c r="AF10" s="58">
        <f t="shared" ca="1" si="4"/>
        <v>1</v>
      </c>
      <c r="AG10" s="58">
        <f t="shared" ca="1" si="4"/>
        <v>1</v>
      </c>
      <c r="AH10" s="58">
        <f t="shared" ca="1" si="4"/>
        <v>0</v>
      </c>
      <c r="AI10" s="58">
        <f t="shared" ca="1" si="4"/>
        <v>1</v>
      </c>
      <c r="AJ10" s="58">
        <f t="shared" ca="1" si="4"/>
        <v>0</v>
      </c>
      <c r="AK10" s="58">
        <f t="shared" ca="1" si="4"/>
        <v>0</v>
      </c>
      <c r="AL10" s="58">
        <f t="shared" ca="1" si="4"/>
        <v>0</v>
      </c>
      <c r="AM10" s="58">
        <f t="shared" ca="1" si="4"/>
        <v>0</v>
      </c>
      <c r="AN10" s="58">
        <f t="shared" ca="1" si="4"/>
        <v>0</v>
      </c>
      <c r="AO10" s="58">
        <f t="shared" ca="1" si="4"/>
        <v>0</v>
      </c>
      <c r="AP10" s="58">
        <f t="shared" ca="1" si="4"/>
        <v>0</v>
      </c>
      <c r="AQ10" s="58">
        <f t="shared" ca="1" si="4"/>
        <v>0</v>
      </c>
      <c r="AR10" s="58">
        <f t="shared" ca="1" si="4"/>
        <v>0</v>
      </c>
      <c r="AS10" s="58">
        <f t="shared" ca="1" si="4"/>
        <v>0</v>
      </c>
      <c r="AT10" s="58">
        <f t="shared" ca="1" si="4"/>
        <v>1</v>
      </c>
      <c r="AU10" s="58">
        <f t="shared" ca="1" si="4"/>
        <v>0</v>
      </c>
      <c r="AV10" s="58">
        <f t="shared" ca="1" si="4"/>
        <v>0</v>
      </c>
      <c r="AW10" s="58">
        <f t="shared" ca="1" si="4"/>
        <v>0</v>
      </c>
      <c r="AX10" s="58">
        <f t="shared" ca="1" si="4"/>
        <v>0</v>
      </c>
      <c r="AY10" s="58">
        <f t="shared" ca="1" si="4"/>
        <v>0</v>
      </c>
      <c r="AZ10" s="58">
        <f t="shared" ca="1" si="4"/>
        <v>0</v>
      </c>
      <c r="BA10" s="58">
        <f t="shared" ca="1" si="4"/>
        <v>0</v>
      </c>
      <c r="BB10" s="58">
        <f t="shared" ca="1" si="4"/>
        <v>0</v>
      </c>
      <c r="BC10" s="58">
        <f t="shared" ca="1" si="4"/>
        <v>0</v>
      </c>
      <c r="BD10" s="58">
        <f t="shared" ca="1" si="4"/>
        <v>0</v>
      </c>
      <c r="BE10" s="58">
        <f t="shared" ca="1" si="4"/>
        <v>0</v>
      </c>
      <c r="BF10" s="58">
        <f t="shared" ca="1" si="4"/>
        <v>0</v>
      </c>
      <c r="BG10" s="58">
        <f t="shared" ca="1" si="4"/>
        <v>0</v>
      </c>
      <c r="BH10" s="58">
        <f t="shared" ca="1" si="4"/>
        <v>0</v>
      </c>
      <c r="BI10" s="58">
        <f t="shared" ca="1" si="4"/>
        <v>0</v>
      </c>
      <c r="BJ10" s="58">
        <f t="shared" ca="1" si="4"/>
        <v>1</v>
      </c>
      <c r="BK10" s="58">
        <f t="shared" ca="1" si="4"/>
        <v>0</v>
      </c>
      <c r="BL10" s="58">
        <f t="shared" ca="1" si="4"/>
        <v>1</v>
      </c>
      <c r="BM10" s="58">
        <f t="shared" ca="1" si="4"/>
        <v>0</v>
      </c>
      <c r="BN10" s="58">
        <f t="shared" ca="1" si="4"/>
        <v>0</v>
      </c>
      <c r="BO10" s="58">
        <f t="shared" ca="1" si="4"/>
        <v>0</v>
      </c>
      <c r="BP10" s="58">
        <f t="shared" ca="1" si="1"/>
        <v>0</v>
      </c>
      <c r="BQ10" s="58">
        <f t="shared" ca="1" si="1"/>
        <v>0</v>
      </c>
      <c r="BR10" s="58">
        <f t="shared" ca="1" si="1"/>
        <v>0</v>
      </c>
      <c r="BS10" s="58">
        <f t="shared" ca="1" si="1"/>
        <v>0</v>
      </c>
      <c r="BT10" s="58">
        <f t="shared" ref="BT10:CX14" ca="1" si="5">IF((RANDBETWEEN(0,100)/100)&lt;$B10,1,0)</f>
        <v>0</v>
      </c>
      <c r="BU10" s="58">
        <f t="shared" ca="1" si="5"/>
        <v>0</v>
      </c>
      <c r="BV10" s="58">
        <f t="shared" ca="1" si="5"/>
        <v>0</v>
      </c>
      <c r="BW10" s="58">
        <f t="shared" ca="1" si="5"/>
        <v>1</v>
      </c>
      <c r="BX10" s="58">
        <f t="shared" ca="1" si="5"/>
        <v>1</v>
      </c>
      <c r="BY10" s="58">
        <f t="shared" ca="1" si="5"/>
        <v>0</v>
      </c>
      <c r="BZ10" s="58">
        <f t="shared" ca="1" si="5"/>
        <v>0</v>
      </c>
      <c r="CA10" s="58">
        <f t="shared" ca="1" si="5"/>
        <v>1</v>
      </c>
      <c r="CB10" s="58">
        <f t="shared" ca="1" si="5"/>
        <v>0</v>
      </c>
      <c r="CC10" s="58">
        <f t="shared" ca="1" si="5"/>
        <v>0</v>
      </c>
      <c r="CD10" s="58">
        <f t="shared" ca="1" si="5"/>
        <v>0</v>
      </c>
      <c r="CE10" s="58">
        <f t="shared" ca="1" si="5"/>
        <v>1</v>
      </c>
      <c r="CF10" s="58">
        <f t="shared" ca="1" si="5"/>
        <v>0</v>
      </c>
      <c r="CG10" s="58">
        <f t="shared" ca="1" si="5"/>
        <v>0</v>
      </c>
      <c r="CH10" s="58">
        <f t="shared" ca="1" si="5"/>
        <v>0</v>
      </c>
      <c r="CI10" s="58">
        <f t="shared" ca="1" si="5"/>
        <v>0</v>
      </c>
      <c r="CJ10" s="58">
        <f t="shared" ca="1" si="5"/>
        <v>1</v>
      </c>
      <c r="CK10" s="58">
        <f t="shared" ca="1" si="5"/>
        <v>0</v>
      </c>
      <c r="CL10" s="58">
        <f t="shared" ca="1" si="5"/>
        <v>1</v>
      </c>
      <c r="CM10" s="58">
        <f t="shared" ca="1" si="5"/>
        <v>0</v>
      </c>
      <c r="CN10" s="58">
        <f t="shared" ca="1" si="5"/>
        <v>1</v>
      </c>
      <c r="CO10" s="58">
        <f t="shared" ca="1" si="5"/>
        <v>0</v>
      </c>
      <c r="CP10" s="58">
        <f t="shared" ca="1" si="5"/>
        <v>0</v>
      </c>
      <c r="CQ10" s="58">
        <f t="shared" ca="1" si="5"/>
        <v>0</v>
      </c>
      <c r="CR10" s="58">
        <f t="shared" ca="1" si="5"/>
        <v>1</v>
      </c>
      <c r="CS10" s="58">
        <f t="shared" ca="1" si="5"/>
        <v>1</v>
      </c>
      <c r="CT10" s="58">
        <f t="shared" ca="1" si="5"/>
        <v>0</v>
      </c>
      <c r="CU10" s="58">
        <f t="shared" ca="1" si="5"/>
        <v>1</v>
      </c>
      <c r="CV10" s="58">
        <f t="shared" ca="1" si="5"/>
        <v>0</v>
      </c>
      <c r="CW10" s="58">
        <f t="shared" ca="1" si="5"/>
        <v>0</v>
      </c>
      <c r="CX10" s="58">
        <f t="shared" ca="1" si="5"/>
        <v>0</v>
      </c>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row>
    <row r="11" spans="1:150" x14ac:dyDescent="0.25">
      <c r="A11" s="57" t="s">
        <v>803</v>
      </c>
      <c r="B11" s="62">
        <v>0.3</v>
      </c>
      <c r="C11" s="58">
        <f t="shared" ca="1" si="2"/>
        <v>0</v>
      </c>
      <c r="D11" s="58">
        <f t="shared" ca="1" si="2"/>
        <v>0</v>
      </c>
      <c r="E11" s="58">
        <f t="shared" ca="1" si="2"/>
        <v>0</v>
      </c>
      <c r="F11" s="58">
        <f t="shared" ca="1" si="2"/>
        <v>1</v>
      </c>
      <c r="G11" s="58">
        <f t="shared" ca="1" si="2"/>
        <v>1</v>
      </c>
      <c r="H11" s="58">
        <f t="shared" ca="1" si="2"/>
        <v>0</v>
      </c>
      <c r="I11" s="58">
        <f t="shared" ca="1" si="2"/>
        <v>0</v>
      </c>
      <c r="J11" s="58">
        <f t="shared" ca="1" si="2"/>
        <v>0</v>
      </c>
      <c r="K11" s="58">
        <f t="shared" ca="1" si="2"/>
        <v>0</v>
      </c>
      <c r="L11" s="58">
        <f t="shared" ca="1" si="2"/>
        <v>1</v>
      </c>
      <c r="M11" s="58">
        <f t="shared" ca="1" si="2"/>
        <v>0</v>
      </c>
      <c r="N11" s="58">
        <f t="shared" ca="1" si="2"/>
        <v>0</v>
      </c>
      <c r="O11" s="58">
        <f t="shared" ca="1" si="2"/>
        <v>0</v>
      </c>
      <c r="P11" s="58">
        <f t="shared" ca="1" si="2"/>
        <v>1</v>
      </c>
      <c r="Q11" s="58">
        <f t="shared" ca="1" si="2"/>
        <v>0</v>
      </c>
      <c r="R11" s="58">
        <f t="shared" ca="1" si="2"/>
        <v>0</v>
      </c>
      <c r="S11" s="58">
        <f t="shared" ca="1" si="4"/>
        <v>0</v>
      </c>
      <c r="T11" s="58">
        <f t="shared" ca="1" si="4"/>
        <v>1</v>
      </c>
      <c r="U11" s="58">
        <f t="shared" ca="1" si="4"/>
        <v>0</v>
      </c>
      <c r="V11" s="58">
        <f t="shared" ca="1" si="4"/>
        <v>0</v>
      </c>
      <c r="W11" s="58">
        <f t="shared" ca="1" si="4"/>
        <v>0</v>
      </c>
      <c r="X11" s="58">
        <f t="shared" ca="1" si="4"/>
        <v>0</v>
      </c>
      <c r="Y11" s="58">
        <f t="shared" ca="1" si="4"/>
        <v>0</v>
      </c>
      <c r="Z11" s="58">
        <f t="shared" ca="1" si="4"/>
        <v>0</v>
      </c>
      <c r="AA11" s="58">
        <f t="shared" ca="1" si="4"/>
        <v>0</v>
      </c>
      <c r="AB11" s="58">
        <f t="shared" ca="1" si="4"/>
        <v>1</v>
      </c>
      <c r="AC11" s="58">
        <f t="shared" ca="1" si="4"/>
        <v>1</v>
      </c>
      <c r="AD11" s="58">
        <f t="shared" ca="1" si="4"/>
        <v>0</v>
      </c>
      <c r="AE11" s="58">
        <f t="shared" ca="1" si="4"/>
        <v>0</v>
      </c>
      <c r="AF11" s="58">
        <f t="shared" ca="1" si="4"/>
        <v>0</v>
      </c>
      <c r="AG11" s="58">
        <f t="shared" ca="1" si="4"/>
        <v>0</v>
      </c>
      <c r="AH11" s="58">
        <f t="shared" ca="1" si="4"/>
        <v>1</v>
      </c>
      <c r="AI11" s="58">
        <f t="shared" ca="1" si="4"/>
        <v>0</v>
      </c>
      <c r="AJ11" s="58">
        <f t="shared" ca="1" si="4"/>
        <v>1</v>
      </c>
      <c r="AK11" s="58">
        <f t="shared" ca="1" si="4"/>
        <v>1</v>
      </c>
      <c r="AL11" s="58">
        <f t="shared" ca="1" si="4"/>
        <v>0</v>
      </c>
      <c r="AM11" s="58">
        <f t="shared" ca="1" si="4"/>
        <v>0</v>
      </c>
      <c r="AN11" s="58">
        <f t="shared" ca="1" si="4"/>
        <v>0</v>
      </c>
      <c r="AO11" s="58">
        <f t="shared" ca="1" si="4"/>
        <v>0</v>
      </c>
      <c r="AP11" s="58">
        <f t="shared" ca="1" si="4"/>
        <v>0</v>
      </c>
      <c r="AQ11" s="58">
        <f t="shared" ca="1" si="4"/>
        <v>0</v>
      </c>
      <c r="AR11" s="58">
        <f t="shared" ca="1" si="4"/>
        <v>1</v>
      </c>
      <c r="AS11" s="58">
        <f t="shared" ca="1" si="4"/>
        <v>0</v>
      </c>
      <c r="AT11" s="58">
        <f t="shared" ca="1" si="4"/>
        <v>0</v>
      </c>
      <c r="AU11" s="58">
        <f t="shared" ca="1" si="4"/>
        <v>1</v>
      </c>
      <c r="AV11" s="58">
        <f t="shared" ca="1" si="4"/>
        <v>0</v>
      </c>
      <c r="AW11" s="58">
        <f t="shared" ca="1" si="4"/>
        <v>0</v>
      </c>
      <c r="AX11" s="58">
        <f t="shared" ca="1" si="4"/>
        <v>0</v>
      </c>
      <c r="AY11" s="58">
        <f t="shared" ca="1" si="4"/>
        <v>0</v>
      </c>
      <c r="AZ11" s="58">
        <f t="shared" ca="1" si="4"/>
        <v>0</v>
      </c>
      <c r="BA11" s="58">
        <f t="shared" ca="1" si="4"/>
        <v>0</v>
      </c>
      <c r="BB11" s="58">
        <f t="shared" ca="1" si="4"/>
        <v>0</v>
      </c>
      <c r="BC11" s="58">
        <f t="shared" ca="1" si="4"/>
        <v>0</v>
      </c>
      <c r="BD11" s="58">
        <f t="shared" ca="1" si="4"/>
        <v>1</v>
      </c>
      <c r="BE11" s="58">
        <f t="shared" ca="1" si="4"/>
        <v>1</v>
      </c>
      <c r="BF11" s="58">
        <f t="shared" ca="1" si="4"/>
        <v>0</v>
      </c>
      <c r="BG11" s="58">
        <f t="shared" ca="1" si="4"/>
        <v>0</v>
      </c>
      <c r="BH11" s="58">
        <f t="shared" ca="1" si="4"/>
        <v>0</v>
      </c>
      <c r="BI11" s="58">
        <f t="shared" ca="1" si="4"/>
        <v>1</v>
      </c>
      <c r="BJ11" s="58">
        <f t="shared" ca="1" si="4"/>
        <v>0</v>
      </c>
      <c r="BK11" s="58">
        <f t="shared" ca="1" si="4"/>
        <v>0</v>
      </c>
      <c r="BL11" s="58">
        <f t="shared" ca="1" si="4"/>
        <v>0</v>
      </c>
      <c r="BM11" s="58">
        <f t="shared" ca="1" si="4"/>
        <v>1</v>
      </c>
      <c r="BN11" s="58">
        <f t="shared" ca="1" si="4"/>
        <v>1</v>
      </c>
      <c r="BO11" s="58">
        <f t="shared" ca="1" si="4"/>
        <v>0</v>
      </c>
      <c r="BP11" s="58">
        <f t="shared" ca="1" si="4"/>
        <v>0</v>
      </c>
      <c r="BQ11" s="58">
        <f t="shared" ca="1" si="4"/>
        <v>1</v>
      </c>
      <c r="BR11" s="58">
        <f t="shared" ca="1" si="4"/>
        <v>0</v>
      </c>
      <c r="BS11" s="58">
        <f t="shared" ca="1" si="4"/>
        <v>1</v>
      </c>
      <c r="BT11" s="58">
        <f t="shared" ca="1" si="4"/>
        <v>0</v>
      </c>
      <c r="BU11" s="58">
        <f t="shared" ca="1" si="4"/>
        <v>0</v>
      </c>
      <c r="BV11" s="58">
        <f t="shared" ca="1" si="4"/>
        <v>0</v>
      </c>
      <c r="BW11" s="58">
        <f t="shared" ca="1" si="4"/>
        <v>1</v>
      </c>
      <c r="BX11" s="58">
        <f t="shared" ca="1" si="4"/>
        <v>0</v>
      </c>
      <c r="BY11" s="58">
        <f t="shared" ca="1" si="4"/>
        <v>0</v>
      </c>
      <c r="BZ11" s="58">
        <f t="shared" ca="1" si="4"/>
        <v>0</v>
      </c>
      <c r="CA11" s="58">
        <f t="shared" ca="1" si="5"/>
        <v>1</v>
      </c>
      <c r="CB11" s="58">
        <f t="shared" ca="1" si="5"/>
        <v>0</v>
      </c>
      <c r="CC11" s="58">
        <f t="shared" ca="1" si="5"/>
        <v>0</v>
      </c>
      <c r="CD11" s="58">
        <f t="shared" ca="1" si="5"/>
        <v>1</v>
      </c>
      <c r="CE11" s="58">
        <f t="shared" ca="1" si="5"/>
        <v>0</v>
      </c>
      <c r="CF11" s="58">
        <f t="shared" ca="1" si="5"/>
        <v>0</v>
      </c>
      <c r="CG11" s="58">
        <f t="shared" ca="1" si="5"/>
        <v>0</v>
      </c>
      <c r="CH11" s="58">
        <f t="shared" ca="1" si="5"/>
        <v>0</v>
      </c>
      <c r="CI11" s="58">
        <f t="shared" ca="1" si="5"/>
        <v>0</v>
      </c>
      <c r="CJ11" s="58">
        <f t="shared" ca="1" si="5"/>
        <v>0</v>
      </c>
      <c r="CK11" s="58">
        <f t="shared" ca="1" si="5"/>
        <v>0</v>
      </c>
      <c r="CL11" s="58">
        <f t="shared" ca="1" si="5"/>
        <v>1</v>
      </c>
      <c r="CM11" s="58">
        <f t="shared" ca="1" si="5"/>
        <v>0</v>
      </c>
      <c r="CN11" s="58">
        <f t="shared" ca="1" si="5"/>
        <v>0</v>
      </c>
      <c r="CO11" s="58">
        <f t="shared" ca="1" si="5"/>
        <v>1</v>
      </c>
      <c r="CP11" s="58">
        <f t="shared" ca="1" si="5"/>
        <v>0</v>
      </c>
      <c r="CQ11" s="58">
        <f t="shared" ca="1" si="5"/>
        <v>0</v>
      </c>
      <c r="CR11" s="58">
        <f t="shared" ca="1" si="5"/>
        <v>0</v>
      </c>
      <c r="CS11" s="58">
        <f t="shared" ca="1" si="5"/>
        <v>0</v>
      </c>
      <c r="CT11" s="58">
        <f t="shared" ca="1" si="5"/>
        <v>0</v>
      </c>
      <c r="CU11" s="58">
        <f t="shared" ca="1" si="5"/>
        <v>0</v>
      </c>
      <c r="CV11" s="58">
        <f t="shared" ca="1" si="5"/>
        <v>1</v>
      </c>
      <c r="CW11" s="58">
        <f t="shared" ca="1" si="5"/>
        <v>0</v>
      </c>
      <c r="CX11" s="58">
        <f t="shared" ca="1" si="5"/>
        <v>0</v>
      </c>
    </row>
    <row r="12" spans="1:150" x14ac:dyDescent="0.25">
      <c r="A12" s="57" t="s">
        <v>841</v>
      </c>
      <c r="B12" s="62">
        <v>0.2</v>
      </c>
      <c r="C12" s="58">
        <f t="shared" ca="1" si="2"/>
        <v>0</v>
      </c>
      <c r="D12" s="58">
        <f t="shared" ca="1" si="2"/>
        <v>0</v>
      </c>
      <c r="E12" s="58">
        <f t="shared" ca="1" si="2"/>
        <v>0</v>
      </c>
      <c r="F12" s="58">
        <f t="shared" ca="1" si="2"/>
        <v>0</v>
      </c>
      <c r="G12" s="58">
        <f t="shared" ca="1" si="2"/>
        <v>0</v>
      </c>
      <c r="H12" s="58">
        <f t="shared" ca="1" si="2"/>
        <v>0</v>
      </c>
      <c r="I12" s="58">
        <f t="shared" ca="1" si="2"/>
        <v>1</v>
      </c>
      <c r="J12" s="58">
        <f t="shared" ca="1" si="2"/>
        <v>1</v>
      </c>
      <c r="K12" s="58">
        <f t="shared" ca="1" si="2"/>
        <v>0</v>
      </c>
      <c r="L12" s="58">
        <f t="shared" ca="1" si="2"/>
        <v>0</v>
      </c>
      <c r="M12" s="58">
        <f t="shared" ca="1" si="2"/>
        <v>0</v>
      </c>
      <c r="N12" s="58">
        <f t="shared" ca="1" si="2"/>
        <v>0</v>
      </c>
      <c r="O12" s="58">
        <f t="shared" ca="1" si="2"/>
        <v>1</v>
      </c>
      <c r="P12" s="58">
        <f t="shared" ca="1" si="2"/>
        <v>0</v>
      </c>
      <c r="Q12" s="58">
        <f t="shared" ca="1" si="2"/>
        <v>0</v>
      </c>
      <c r="R12" s="58">
        <f t="shared" ca="1" si="2"/>
        <v>0</v>
      </c>
      <c r="S12" s="58">
        <f t="shared" ref="S12:CD15" ca="1" si="6">IF((RANDBETWEEN(0,100)/100)&lt;$B12,1,0)</f>
        <v>0</v>
      </c>
      <c r="T12" s="58">
        <f t="shared" ca="1" si="6"/>
        <v>0</v>
      </c>
      <c r="U12" s="58">
        <f t="shared" ca="1" si="6"/>
        <v>1</v>
      </c>
      <c r="V12" s="58">
        <f t="shared" ca="1" si="6"/>
        <v>1</v>
      </c>
      <c r="W12" s="58">
        <f t="shared" ca="1" si="6"/>
        <v>0</v>
      </c>
      <c r="X12" s="58">
        <f t="shared" ca="1" si="6"/>
        <v>0</v>
      </c>
      <c r="Y12" s="58">
        <f t="shared" ca="1" si="6"/>
        <v>0</v>
      </c>
      <c r="Z12" s="58">
        <f t="shared" ca="1" si="6"/>
        <v>0</v>
      </c>
      <c r="AA12" s="58">
        <f t="shared" ca="1" si="6"/>
        <v>0</v>
      </c>
      <c r="AB12" s="58">
        <f t="shared" ca="1" si="6"/>
        <v>0</v>
      </c>
      <c r="AC12" s="58">
        <f t="shared" ca="1" si="6"/>
        <v>0</v>
      </c>
      <c r="AD12" s="58">
        <f t="shared" ca="1" si="6"/>
        <v>0</v>
      </c>
      <c r="AE12" s="58">
        <f t="shared" ca="1" si="6"/>
        <v>1</v>
      </c>
      <c r="AF12" s="58">
        <f t="shared" ca="1" si="6"/>
        <v>0</v>
      </c>
      <c r="AG12" s="58">
        <f t="shared" ca="1" si="6"/>
        <v>0</v>
      </c>
      <c r="AH12" s="58">
        <f t="shared" ca="1" si="6"/>
        <v>0</v>
      </c>
      <c r="AI12" s="58">
        <f t="shared" ca="1" si="6"/>
        <v>1</v>
      </c>
      <c r="AJ12" s="58">
        <f t="shared" ca="1" si="6"/>
        <v>0</v>
      </c>
      <c r="AK12" s="58">
        <f t="shared" ca="1" si="6"/>
        <v>0</v>
      </c>
      <c r="AL12" s="58">
        <f t="shared" ca="1" si="6"/>
        <v>0</v>
      </c>
      <c r="AM12" s="58">
        <f t="shared" ca="1" si="6"/>
        <v>0</v>
      </c>
      <c r="AN12" s="58">
        <f t="shared" ca="1" si="6"/>
        <v>1</v>
      </c>
      <c r="AO12" s="58">
        <f t="shared" ca="1" si="6"/>
        <v>0</v>
      </c>
      <c r="AP12" s="58">
        <f t="shared" ca="1" si="6"/>
        <v>0</v>
      </c>
      <c r="AQ12" s="58">
        <f t="shared" ca="1" si="6"/>
        <v>0</v>
      </c>
      <c r="AR12" s="58">
        <f t="shared" ca="1" si="6"/>
        <v>0</v>
      </c>
      <c r="AS12" s="58">
        <f t="shared" ca="1" si="6"/>
        <v>0</v>
      </c>
      <c r="AT12" s="58">
        <f t="shared" ca="1" si="6"/>
        <v>0</v>
      </c>
      <c r="AU12" s="58">
        <f t="shared" ca="1" si="6"/>
        <v>0</v>
      </c>
      <c r="AV12" s="58">
        <f t="shared" ca="1" si="6"/>
        <v>0</v>
      </c>
      <c r="AW12" s="58">
        <f t="shared" ca="1" si="6"/>
        <v>0</v>
      </c>
      <c r="AX12" s="58">
        <f t="shared" ca="1" si="6"/>
        <v>0</v>
      </c>
      <c r="AY12" s="58">
        <f t="shared" ca="1" si="6"/>
        <v>1</v>
      </c>
      <c r="AZ12" s="58">
        <f t="shared" ca="1" si="6"/>
        <v>0</v>
      </c>
      <c r="BA12" s="58">
        <f t="shared" ca="1" si="6"/>
        <v>0</v>
      </c>
      <c r="BB12" s="58">
        <f t="shared" ca="1" si="6"/>
        <v>1</v>
      </c>
      <c r="BC12" s="58">
        <f t="shared" ca="1" si="6"/>
        <v>1</v>
      </c>
      <c r="BD12" s="58">
        <f t="shared" ca="1" si="6"/>
        <v>1</v>
      </c>
      <c r="BE12" s="58">
        <f t="shared" ca="1" si="6"/>
        <v>1</v>
      </c>
      <c r="BF12" s="58">
        <f t="shared" ca="1" si="6"/>
        <v>1</v>
      </c>
      <c r="BG12" s="58">
        <f t="shared" ca="1" si="6"/>
        <v>0</v>
      </c>
      <c r="BH12" s="58">
        <f t="shared" ca="1" si="6"/>
        <v>0</v>
      </c>
      <c r="BI12" s="58">
        <f t="shared" ca="1" si="6"/>
        <v>1</v>
      </c>
      <c r="BJ12" s="58">
        <f t="shared" ca="1" si="6"/>
        <v>0</v>
      </c>
      <c r="BK12" s="58">
        <f t="shared" ca="1" si="6"/>
        <v>1</v>
      </c>
      <c r="BL12" s="58">
        <f t="shared" ca="1" si="6"/>
        <v>0</v>
      </c>
      <c r="BM12" s="58">
        <f t="shared" ca="1" si="6"/>
        <v>1</v>
      </c>
      <c r="BN12" s="58">
        <f t="shared" ca="1" si="6"/>
        <v>0</v>
      </c>
      <c r="BO12" s="58">
        <f t="shared" ca="1" si="6"/>
        <v>0</v>
      </c>
      <c r="BP12" s="58">
        <f t="shared" ca="1" si="6"/>
        <v>0</v>
      </c>
      <c r="BQ12" s="58">
        <f t="shared" ca="1" si="6"/>
        <v>0</v>
      </c>
      <c r="BR12" s="58">
        <f t="shared" ca="1" si="6"/>
        <v>0</v>
      </c>
      <c r="BS12" s="58">
        <f t="shared" ca="1" si="6"/>
        <v>0</v>
      </c>
      <c r="BT12" s="58">
        <f t="shared" ca="1" si="6"/>
        <v>0</v>
      </c>
      <c r="BU12" s="58">
        <f t="shared" ca="1" si="6"/>
        <v>1</v>
      </c>
      <c r="BV12" s="58">
        <f t="shared" ca="1" si="6"/>
        <v>0</v>
      </c>
      <c r="BW12" s="58">
        <f t="shared" ca="1" si="6"/>
        <v>0</v>
      </c>
      <c r="BX12" s="58">
        <f t="shared" ca="1" si="6"/>
        <v>1</v>
      </c>
      <c r="BY12" s="58">
        <f t="shared" ca="1" si="6"/>
        <v>1</v>
      </c>
      <c r="BZ12" s="58">
        <f t="shared" ca="1" si="6"/>
        <v>1</v>
      </c>
      <c r="CA12" s="58">
        <f t="shared" ca="1" si="6"/>
        <v>0</v>
      </c>
      <c r="CB12" s="58">
        <f t="shared" ca="1" si="6"/>
        <v>0</v>
      </c>
      <c r="CC12" s="58">
        <f t="shared" ca="1" si="6"/>
        <v>0</v>
      </c>
      <c r="CD12" s="58">
        <f t="shared" ca="1" si="6"/>
        <v>0</v>
      </c>
      <c r="CE12" s="58">
        <f t="shared" ca="1" si="5"/>
        <v>0</v>
      </c>
      <c r="CF12" s="58">
        <f t="shared" ca="1" si="5"/>
        <v>0</v>
      </c>
      <c r="CG12" s="58">
        <f t="shared" ca="1" si="5"/>
        <v>0</v>
      </c>
      <c r="CH12" s="58">
        <f t="shared" ca="1" si="5"/>
        <v>0</v>
      </c>
      <c r="CI12" s="58">
        <f t="shared" ca="1" si="5"/>
        <v>0</v>
      </c>
      <c r="CJ12" s="58">
        <f t="shared" ca="1" si="5"/>
        <v>0</v>
      </c>
      <c r="CK12" s="58">
        <f t="shared" ca="1" si="5"/>
        <v>0</v>
      </c>
      <c r="CL12" s="58">
        <f t="shared" ca="1" si="5"/>
        <v>1</v>
      </c>
      <c r="CM12" s="58">
        <f t="shared" ca="1" si="5"/>
        <v>0</v>
      </c>
      <c r="CN12" s="58">
        <f t="shared" ca="1" si="5"/>
        <v>0</v>
      </c>
      <c r="CO12" s="58">
        <f t="shared" ca="1" si="5"/>
        <v>0</v>
      </c>
      <c r="CP12" s="58">
        <f t="shared" ca="1" si="5"/>
        <v>0</v>
      </c>
      <c r="CQ12" s="58">
        <f t="shared" ca="1" si="5"/>
        <v>0</v>
      </c>
      <c r="CR12" s="58">
        <f t="shared" ca="1" si="5"/>
        <v>0</v>
      </c>
      <c r="CS12" s="58">
        <f t="shared" ca="1" si="5"/>
        <v>0</v>
      </c>
      <c r="CT12" s="58">
        <f t="shared" ca="1" si="5"/>
        <v>1</v>
      </c>
      <c r="CU12" s="58">
        <f t="shared" ca="1" si="5"/>
        <v>0</v>
      </c>
      <c r="CV12" s="58">
        <f t="shared" ca="1" si="5"/>
        <v>0</v>
      </c>
      <c r="CW12" s="58">
        <f t="shared" ca="1" si="5"/>
        <v>0</v>
      </c>
      <c r="CX12" s="58">
        <f t="shared" ca="1" si="5"/>
        <v>0</v>
      </c>
    </row>
    <row r="13" spans="1:150" x14ac:dyDescent="0.25">
      <c r="A13" s="57" t="s">
        <v>804</v>
      </c>
      <c r="B13" s="62">
        <v>0.1</v>
      </c>
      <c r="C13" s="58">
        <f t="shared" ca="1" si="2"/>
        <v>0</v>
      </c>
      <c r="D13" s="58">
        <f t="shared" ca="1" si="2"/>
        <v>0</v>
      </c>
      <c r="E13" s="58">
        <f t="shared" ca="1" si="2"/>
        <v>1</v>
      </c>
      <c r="F13" s="58">
        <f t="shared" ca="1" si="2"/>
        <v>0</v>
      </c>
      <c r="G13" s="58">
        <f t="shared" ca="1" si="2"/>
        <v>1</v>
      </c>
      <c r="H13" s="58">
        <f t="shared" ca="1" si="2"/>
        <v>0</v>
      </c>
      <c r="I13" s="58">
        <f t="shared" ca="1" si="2"/>
        <v>0</v>
      </c>
      <c r="J13" s="58">
        <f t="shared" ca="1" si="2"/>
        <v>0</v>
      </c>
      <c r="K13" s="58">
        <f t="shared" ca="1" si="2"/>
        <v>0</v>
      </c>
      <c r="L13" s="58">
        <f t="shared" ca="1" si="2"/>
        <v>0</v>
      </c>
      <c r="M13" s="58">
        <f t="shared" ca="1" si="2"/>
        <v>0</v>
      </c>
      <c r="N13" s="58">
        <f t="shared" ca="1" si="2"/>
        <v>0</v>
      </c>
      <c r="O13" s="58">
        <f t="shared" ca="1" si="2"/>
        <v>0</v>
      </c>
      <c r="P13" s="58">
        <f t="shared" ca="1" si="2"/>
        <v>0</v>
      </c>
      <c r="Q13" s="58">
        <f t="shared" ca="1" si="2"/>
        <v>0</v>
      </c>
      <c r="R13" s="58">
        <f t="shared" ca="1" si="2"/>
        <v>0</v>
      </c>
      <c r="S13" s="58">
        <f t="shared" ca="1" si="6"/>
        <v>0</v>
      </c>
      <c r="T13" s="58">
        <f t="shared" ca="1" si="6"/>
        <v>0</v>
      </c>
      <c r="U13" s="58">
        <f t="shared" ca="1" si="6"/>
        <v>0</v>
      </c>
      <c r="V13" s="58">
        <f t="shared" ca="1" si="6"/>
        <v>0</v>
      </c>
      <c r="W13" s="58">
        <f t="shared" ca="1" si="6"/>
        <v>1</v>
      </c>
      <c r="X13" s="58">
        <f t="shared" ca="1" si="6"/>
        <v>0</v>
      </c>
      <c r="Y13" s="58">
        <f t="shared" ca="1" si="6"/>
        <v>0</v>
      </c>
      <c r="Z13" s="58">
        <f t="shared" ca="1" si="6"/>
        <v>0</v>
      </c>
      <c r="AA13" s="58">
        <f t="shared" ca="1" si="6"/>
        <v>0</v>
      </c>
      <c r="AB13" s="58">
        <f t="shared" ca="1" si="6"/>
        <v>1</v>
      </c>
      <c r="AC13" s="58">
        <f t="shared" ca="1" si="6"/>
        <v>0</v>
      </c>
      <c r="AD13" s="58">
        <f t="shared" ca="1" si="6"/>
        <v>0</v>
      </c>
      <c r="AE13" s="58">
        <f t="shared" ca="1" si="6"/>
        <v>0</v>
      </c>
      <c r="AF13" s="58">
        <f t="shared" ca="1" si="6"/>
        <v>0</v>
      </c>
      <c r="AG13" s="58">
        <f t="shared" ca="1" si="6"/>
        <v>0</v>
      </c>
      <c r="AH13" s="58">
        <f t="shared" ca="1" si="6"/>
        <v>0</v>
      </c>
      <c r="AI13" s="58">
        <f t="shared" ca="1" si="6"/>
        <v>0</v>
      </c>
      <c r="AJ13" s="58">
        <f t="shared" ca="1" si="6"/>
        <v>1</v>
      </c>
      <c r="AK13" s="58">
        <f t="shared" ca="1" si="6"/>
        <v>0</v>
      </c>
      <c r="AL13" s="58">
        <f t="shared" ca="1" si="6"/>
        <v>0</v>
      </c>
      <c r="AM13" s="58">
        <f t="shared" ca="1" si="6"/>
        <v>0</v>
      </c>
      <c r="AN13" s="58">
        <f t="shared" ca="1" si="6"/>
        <v>0</v>
      </c>
      <c r="AO13" s="58">
        <f t="shared" ca="1" si="6"/>
        <v>0</v>
      </c>
      <c r="AP13" s="58">
        <f t="shared" ca="1" si="6"/>
        <v>0</v>
      </c>
      <c r="AQ13" s="58">
        <f t="shared" ca="1" si="6"/>
        <v>0</v>
      </c>
      <c r="AR13" s="58">
        <f t="shared" ca="1" si="6"/>
        <v>0</v>
      </c>
      <c r="AS13" s="58">
        <f t="shared" ca="1" si="6"/>
        <v>0</v>
      </c>
      <c r="AT13" s="58">
        <f t="shared" ca="1" si="6"/>
        <v>0</v>
      </c>
      <c r="AU13" s="58">
        <f t="shared" ca="1" si="6"/>
        <v>0</v>
      </c>
      <c r="AV13" s="58">
        <f t="shared" ca="1" si="6"/>
        <v>0</v>
      </c>
      <c r="AW13" s="58">
        <f t="shared" ca="1" si="6"/>
        <v>0</v>
      </c>
      <c r="AX13" s="58">
        <f t="shared" ca="1" si="6"/>
        <v>0</v>
      </c>
      <c r="AY13" s="58">
        <f t="shared" ca="1" si="6"/>
        <v>0</v>
      </c>
      <c r="AZ13" s="58">
        <f t="shared" ca="1" si="6"/>
        <v>0</v>
      </c>
      <c r="BA13" s="58">
        <f t="shared" ca="1" si="6"/>
        <v>0</v>
      </c>
      <c r="BB13" s="58">
        <f t="shared" ca="1" si="6"/>
        <v>0</v>
      </c>
      <c r="BC13" s="58">
        <f t="shared" ca="1" si="6"/>
        <v>0</v>
      </c>
      <c r="BD13" s="58">
        <f t="shared" ca="1" si="6"/>
        <v>0</v>
      </c>
      <c r="BE13" s="58">
        <f t="shared" ca="1" si="6"/>
        <v>0</v>
      </c>
      <c r="BF13" s="58">
        <f t="shared" ca="1" si="6"/>
        <v>0</v>
      </c>
      <c r="BG13" s="58">
        <f t="shared" ca="1" si="6"/>
        <v>0</v>
      </c>
      <c r="BH13" s="58">
        <f t="shared" ca="1" si="6"/>
        <v>0</v>
      </c>
      <c r="BI13" s="58">
        <f t="shared" ca="1" si="6"/>
        <v>1</v>
      </c>
      <c r="BJ13" s="58">
        <f t="shared" ca="1" si="6"/>
        <v>0</v>
      </c>
      <c r="BK13" s="58">
        <f t="shared" ca="1" si="6"/>
        <v>0</v>
      </c>
      <c r="BL13" s="58">
        <f t="shared" ca="1" si="6"/>
        <v>0</v>
      </c>
      <c r="BM13" s="58">
        <f t="shared" ca="1" si="6"/>
        <v>0</v>
      </c>
      <c r="BN13" s="58">
        <f t="shared" ca="1" si="6"/>
        <v>0</v>
      </c>
      <c r="BO13" s="58">
        <f t="shared" ca="1" si="6"/>
        <v>0</v>
      </c>
      <c r="BP13" s="58">
        <f t="shared" ca="1" si="6"/>
        <v>0</v>
      </c>
      <c r="BQ13" s="58">
        <f t="shared" ca="1" si="6"/>
        <v>0</v>
      </c>
      <c r="BR13" s="58">
        <f t="shared" ca="1" si="6"/>
        <v>0</v>
      </c>
      <c r="BS13" s="58">
        <f t="shared" ca="1" si="6"/>
        <v>0</v>
      </c>
      <c r="BT13" s="58">
        <f t="shared" ca="1" si="6"/>
        <v>0</v>
      </c>
      <c r="BU13" s="58">
        <f t="shared" ca="1" si="6"/>
        <v>0</v>
      </c>
      <c r="BV13" s="58">
        <f t="shared" ca="1" si="6"/>
        <v>0</v>
      </c>
      <c r="BW13" s="58">
        <f t="shared" ca="1" si="6"/>
        <v>0</v>
      </c>
      <c r="BX13" s="58">
        <f t="shared" ca="1" si="6"/>
        <v>0</v>
      </c>
      <c r="BY13" s="58">
        <f t="shared" ca="1" si="6"/>
        <v>1</v>
      </c>
      <c r="BZ13" s="58">
        <f t="shared" ca="1" si="6"/>
        <v>0</v>
      </c>
      <c r="CA13" s="58">
        <f t="shared" ca="1" si="6"/>
        <v>0</v>
      </c>
      <c r="CB13" s="58">
        <f t="shared" ca="1" si="6"/>
        <v>0</v>
      </c>
      <c r="CC13" s="58">
        <f t="shared" ca="1" si="6"/>
        <v>0</v>
      </c>
      <c r="CD13" s="58">
        <f t="shared" ca="1" si="6"/>
        <v>0</v>
      </c>
      <c r="CE13" s="58">
        <f t="shared" ca="1" si="5"/>
        <v>0</v>
      </c>
      <c r="CF13" s="58">
        <f t="shared" ca="1" si="5"/>
        <v>0</v>
      </c>
      <c r="CG13" s="58">
        <f t="shared" ca="1" si="5"/>
        <v>0</v>
      </c>
      <c r="CH13" s="58">
        <f t="shared" ca="1" si="5"/>
        <v>0</v>
      </c>
      <c r="CI13" s="58">
        <f t="shared" ca="1" si="5"/>
        <v>1</v>
      </c>
      <c r="CJ13" s="58">
        <f t="shared" ca="1" si="5"/>
        <v>0</v>
      </c>
      <c r="CK13" s="58">
        <f t="shared" ca="1" si="5"/>
        <v>0</v>
      </c>
      <c r="CL13" s="58">
        <f t="shared" ca="1" si="5"/>
        <v>0</v>
      </c>
      <c r="CM13" s="58">
        <f t="shared" ca="1" si="5"/>
        <v>0</v>
      </c>
      <c r="CN13" s="58">
        <f t="shared" ca="1" si="5"/>
        <v>0</v>
      </c>
      <c r="CO13" s="58">
        <f t="shared" ca="1" si="5"/>
        <v>0</v>
      </c>
      <c r="CP13" s="58">
        <f t="shared" ca="1" si="5"/>
        <v>0</v>
      </c>
      <c r="CQ13" s="58">
        <f t="shared" ca="1" si="5"/>
        <v>0</v>
      </c>
      <c r="CR13" s="58">
        <f t="shared" ca="1" si="5"/>
        <v>0</v>
      </c>
      <c r="CS13" s="58">
        <f t="shared" ca="1" si="5"/>
        <v>0</v>
      </c>
      <c r="CT13" s="58">
        <f t="shared" ca="1" si="5"/>
        <v>0</v>
      </c>
      <c r="CU13" s="58">
        <f t="shared" ca="1" si="5"/>
        <v>0</v>
      </c>
      <c r="CV13" s="58">
        <f t="shared" ca="1" si="5"/>
        <v>0</v>
      </c>
      <c r="CW13" s="58">
        <f t="shared" ca="1" si="5"/>
        <v>0</v>
      </c>
      <c r="CX13" s="58">
        <f t="shared" ca="1" si="5"/>
        <v>0</v>
      </c>
    </row>
    <row r="14" spans="1:150" x14ac:dyDescent="0.25">
      <c r="A14" s="57" t="s">
        <v>805</v>
      </c>
      <c r="B14" s="62">
        <v>0.4</v>
      </c>
      <c r="C14" s="58">
        <f t="shared" ca="1" si="2"/>
        <v>0</v>
      </c>
      <c r="D14" s="58">
        <f t="shared" ca="1" si="2"/>
        <v>1</v>
      </c>
      <c r="E14" s="58">
        <f t="shared" ca="1" si="2"/>
        <v>1</v>
      </c>
      <c r="F14" s="58">
        <f t="shared" ca="1" si="2"/>
        <v>0</v>
      </c>
      <c r="G14" s="58">
        <f t="shared" ca="1" si="2"/>
        <v>0</v>
      </c>
      <c r="H14" s="58">
        <f t="shared" ca="1" si="2"/>
        <v>0</v>
      </c>
      <c r="I14" s="58">
        <f t="shared" ca="1" si="2"/>
        <v>1</v>
      </c>
      <c r="J14" s="58">
        <f t="shared" ca="1" si="2"/>
        <v>0</v>
      </c>
      <c r="K14" s="58">
        <f t="shared" ca="1" si="2"/>
        <v>1</v>
      </c>
      <c r="L14" s="58">
        <f t="shared" ca="1" si="2"/>
        <v>1</v>
      </c>
      <c r="M14" s="58">
        <f t="shared" ca="1" si="2"/>
        <v>0</v>
      </c>
      <c r="N14" s="58">
        <f t="shared" ca="1" si="2"/>
        <v>1</v>
      </c>
      <c r="O14" s="58">
        <f t="shared" ca="1" si="2"/>
        <v>0</v>
      </c>
      <c r="P14" s="58">
        <f t="shared" ca="1" si="2"/>
        <v>1</v>
      </c>
      <c r="Q14" s="58">
        <f t="shared" ca="1" si="2"/>
        <v>0</v>
      </c>
      <c r="R14" s="58">
        <f t="shared" ca="1" si="2"/>
        <v>0</v>
      </c>
      <c r="S14" s="58">
        <f t="shared" ca="1" si="6"/>
        <v>0</v>
      </c>
      <c r="T14" s="58">
        <f t="shared" ca="1" si="6"/>
        <v>0</v>
      </c>
      <c r="U14" s="58">
        <f t="shared" ca="1" si="6"/>
        <v>1</v>
      </c>
      <c r="V14" s="58">
        <f t="shared" ca="1" si="6"/>
        <v>1</v>
      </c>
      <c r="W14" s="58">
        <f t="shared" ca="1" si="6"/>
        <v>1</v>
      </c>
      <c r="X14" s="58">
        <f t="shared" ca="1" si="6"/>
        <v>1</v>
      </c>
      <c r="Y14" s="58">
        <f t="shared" ca="1" si="6"/>
        <v>0</v>
      </c>
      <c r="Z14" s="58">
        <f t="shared" ca="1" si="6"/>
        <v>0</v>
      </c>
      <c r="AA14" s="58">
        <f t="shared" ca="1" si="6"/>
        <v>1</v>
      </c>
      <c r="AB14" s="58">
        <f t="shared" ca="1" si="6"/>
        <v>0</v>
      </c>
      <c r="AC14" s="58">
        <f t="shared" ca="1" si="6"/>
        <v>0</v>
      </c>
      <c r="AD14" s="58">
        <f t="shared" ca="1" si="6"/>
        <v>0</v>
      </c>
      <c r="AE14" s="58">
        <f t="shared" ca="1" si="6"/>
        <v>0</v>
      </c>
      <c r="AF14" s="58">
        <f t="shared" ca="1" si="6"/>
        <v>0</v>
      </c>
      <c r="AG14" s="58">
        <f t="shared" ca="1" si="6"/>
        <v>0</v>
      </c>
      <c r="AH14" s="58">
        <f t="shared" ca="1" si="6"/>
        <v>0</v>
      </c>
      <c r="AI14" s="58">
        <f t="shared" ca="1" si="6"/>
        <v>0</v>
      </c>
      <c r="AJ14" s="58">
        <f t="shared" ca="1" si="6"/>
        <v>1</v>
      </c>
      <c r="AK14" s="58">
        <f t="shared" ca="1" si="6"/>
        <v>1</v>
      </c>
      <c r="AL14" s="58">
        <f t="shared" ca="1" si="6"/>
        <v>0</v>
      </c>
      <c r="AM14" s="58">
        <f t="shared" ca="1" si="6"/>
        <v>1</v>
      </c>
      <c r="AN14" s="58">
        <f t="shared" ca="1" si="6"/>
        <v>0</v>
      </c>
      <c r="AO14" s="58">
        <f t="shared" ca="1" si="6"/>
        <v>1</v>
      </c>
      <c r="AP14" s="58">
        <f t="shared" ca="1" si="6"/>
        <v>0</v>
      </c>
      <c r="AQ14" s="58">
        <f t="shared" ca="1" si="6"/>
        <v>1</v>
      </c>
      <c r="AR14" s="58">
        <f t="shared" ca="1" si="6"/>
        <v>1</v>
      </c>
      <c r="AS14" s="58">
        <f t="shared" ca="1" si="6"/>
        <v>0</v>
      </c>
      <c r="AT14" s="58">
        <f t="shared" ca="1" si="6"/>
        <v>1</v>
      </c>
      <c r="AU14" s="58">
        <f t="shared" ca="1" si="6"/>
        <v>0</v>
      </c>
      <c r="AV14" s="58">
        <f t="shared" ca="1" si="6"/>
        <v>1</v>
      </c>
      <c r="AW14" s="58">
        <f t="shared" ca="1" si="6"/>
        <v>0</v>
      </c>
      <c r="AX14" s="58">
        <f t="shared" ca="1" si="6"/>
        <v>0</v>
      </c>
      <c r="AY14" s="58">
        <f t="shared" ca="1" si="6"/>
        <v>0</v>
      </c>
      <c r="AZ14" s="58">
        <f t="shared" ca="1" si="6"/>
        <v>0</v>
      </c>
      <c r="BA14" s="58">
        <f t="shared" ca="1" si="6"/>
        <v>1</v>
      </c>
      <c r="BB14" s="58">
        <f t="shared" ca="1" si="6"/>
        <v>0</v>
      </c>
      <c r="BC14" s="58">
        <f t="shared" ca="1" si="6"/>
        <v>0</v>
      </c>
      <c r="BD14" s="58">
        <f t="shared" ca="1" si="6"/>
        <v>0</v>
      </c>
      <c r="BE14" s="58">
        <f t="shared" ca="1" si="6"/>
        <v>0</v>
      </c>
      <c r="BF14" s="58">
        <f t="shared" ca="1" si="6"/>
        <v>0</v>
      </c>
      <c r="BG14" s="58">
        <f t="shared" ca="1" si="6"/>
        <v>0</v>
      </c>
      <c r="BH14" s="58">
        <f t="shared" ca="1" si="6"/>
        <v>0</v>
      </c>
      <c r="BI14" s="58">
        <f t="shared" ca="1" si="6"/>
        <v>0</v>
      </c>
      <c r="BJ14" s="58">
        <f t="shared" ca="1" si="6"/>
        <v>1</v>
      </c>
      <c r="BK14" s="58">
        <f t="shared" ca="1" si="6"/>
        <v>0</v>
      </c>
      <c r="BL14" s="58">
        <f t="shared" ca="1" si="6"/>
        <v>0</v>
      </c>
      <c r="BM14" s="58">
        <f t="shared" ca="1" si="6"/>
        <v>1</v>
      </c>
      <c r="BN14" s="58">
        <f t="shared" ca="1" si="6"/>
        <v>0</v>
      </c>
      <c r="BO14" s="58">
        <f t="shared" ca="1" si="6"/>
        <v>0</v>
      </c>
      <c r="BP14" s="58">
        <f t="shared" ca="1" si="6"/>
        <v>0</v>
      </c>
      <c r="BQ14" s="58">
        <f t="shared" ca="1" si="6"/>
        <v>0</v>
      </c>
      <c r="BR14" s="58">
        <f t="shared" ca="1" si="6"/>
        <v>0</v>
      </c>
      <c r="BS14" s="58">
        <f t="shared" ca="1" si="6"/>
        <v>0</v>
      </c>
      <c r="BT14" s="58">
        <f t="shared" ca="1" si="6"/>
        <v>0</v>
      </c>
      <c r="BU14" s="58">
        <f t="shared" ca="1" si="6"/>
        <v>0</v>
      </c>
      <c r="BV14" s="58">
        <f t="shared" ca="1" si="6"/>
        <v>0</v>
      </c>
      <c r="BW14" s="58">
        <f t="shared" ca="1" si="6"/>
        <v>0</v>
      </c>
      <c r="BX14" s="58">
        <f t="shared" ca="1" si="6"/>
        <v>0</v>
      </c>
      <c r="BY14" s="58">
        <f t="shared" ca="1" si="6"/>
        <v>0</v>
      </c>
      <c r="BZ14" s="58">
        <f t="shared" ca="1" si="6"/>
        <v>0</v>
      </c>
      <c r="CA14" s="58">
        <f t="shared" ca="1" si="6"/>
        <v>0</v>
      </c>
      <c r="CB14" s="58">
        <f t="shared" ca="1" si="6"/>
        <v>0</v>
      </c>
      <c r="CC14" s="58">
        <f t="shared" ca="1" si="6"/>
        <v>1</v>
      </c>
      <c r="CD14" s="58">
        <f t="shared" ca="1" si="6"/>
        <v>0</v>
      </c>
      <c r="CE14" s="58">
        <f t="shared" ca="1" si="5"/>
        <v>0</v>
      </c>
      <c r="CF14" s="58">
        <f t="shared" ca="1" si="5"/>
        <v>0</v>
      </c>
      <c r="CG14" s="58">
        <f t="shared" ca="1" si="5"/>
        <v>1</v>
      </c>
      <c r="CH14" s="58">
        <f t="shared" ca="1" si="5"/>
        <v>0</v>
      </c>
      <c r="CI14" s="58">
        <f t="shared" ca="1" si="5"/>
        <v>1</v>
      </c>
      <c r="CJ14" s="58">
        <f t="shared" ca="1" si="5"/>
        <v>0</v>
      </c>
      <c r="CK14" s="58">
        <f t="shared" ca="1" si="5"/>
        <v>0</v>
      </c>
      <c r="CL14" s="58">
        <f t="shared" ca="1" si="5"/>
        <v>0</v>
      </c>
      <c r="CM14" s="58">
        <f t="shared" ca="1" si="5"/>
        <v>1</v>
      </c>
      <c r="CN14" s="58">
        <f t="shared" ca="1" si="5"/>
        <v>1</v>
      </c>
      <c r="CO14" s="58">
        <f t="shared" ca="1" si="5"/>
        <v>0</v>
      </c>
      <c r="CP14" s="58">
        <f t="shared" ca="1" si="5"/>
        <v>0</v>
      </c>
      <c r="CQ14" s="58">
        <f t="shared" ca="1" si="5"/>
        <v>0</v>
      </c>
      <c r="CR14" s="58">
        <f t="shared" ca="1" si="5"/>
        <v>0</v>
      </c>
      <c r="CS14" s="58">
        <f t="shared" ca="1" si="5"/>
        <v>1</v>
      </c>
      <c r="CT14" s="58">
        <f t="shared" ca="1" si="5"/>
        <v>1</v>
      </c>
      <c r="CU14" s="58">
        <f t="shared" ca="1" si="5"/>
        <v>0</v>
      </c>
      <c r="CV14" s="58">
        <f t="shared" ca="1" si="5"/>
        <v>1</v>
      </c>
      <c r="CW14" s="58">
        <f t="shared" ca="1" si="5"/>
        <v>0</v>
      </c>
      <c r="CX14" s="58">
        <f t="shared" ca="1" si="5"/>
        <v>0</v>
      </c>
    </row>
    <row r="15" spans="1:150" ht="25.5" x14ac:dyDescent="0.25">
      <c r="A15" s="57" t="s">
        <v>806</v>
      </c>
      <c r="B15" s="62">
        <v>0.18</v>
      </c>
      <c r="C15" s="58">
        <f t="shared" ca="1" si="2"/>
        <v>1</v>
      </c>
      <c r="D15" s="58">
        <f t="shared" ca="1" si="2"/>
        <v>0</v>
      </c>
      <c r="E15" s="58">
        <f t="shared" ca="1" si="2"/>
        <v>0</v>
      </c>
      <c r="F15" s="58">
        <f t="shared" ca="1" si="2"/>
        <v>0</v>
      </c>
      <c r="G15" s="58">
        <f t="shared" ca="1" si="2"/>
        <v>0</v>
      </c>
      <c r="H15" s="58">
        <f t="shared" ca="1" si="2"/>
        <v>0</v>
      </c>
      <c r="I15" s="58">
        <f t="shared" ca="1" si="2"/>
        <v>1</v>
      </c>
      <c r="J15" s="58">
        <f t="shared" ca="1" si="2"/>
        <v>0</v>
      </c>
      <c r="K15" s="58">
        <f t="shared" ca="1" si="2"/>
        <v>0</v>
      </c>
      <c r="L15" s="58">
        <f t="shared" ca="1" si="2"/>
        <v>0</v>
      </c>
      <c r="M15" s="58">
        <f t="shared" ca="1" si="2"/>
        <v>1</v>
      </c>
      <c r="N15" s="58">
        <f t="shared" ca="1" si="2"/>
        <v>0</v>
      </c>
      <c r="O15" s="58">
        <f t="shared" ca="1" si="2"/>
        <v>0</v>
      </c>
      <c r="P15" s="58">
        <f t="shared" ca="1" si="2"/>
        <v>0</v>
      </c>
      <c r="Q15" s="58">
        <f t="shared" ca="1" si="2"/>
        <v>0</v>
      </c>
      <c r="R15" s="58">
        <f t="shared" ca="1" si="2"/>
        <v>1</v>
      </c>
      <c r="S15" s="58">
        <f t="shared" ca="1" si="6"/>
        <v>0</v>
      </c>
      <c r="T15" s="58">
        <f t="shared" ca="1" si="6"/>
        <v>0</v>
      </c>
      <c r="U15" s="58">
        <f t="shared" ca="1" si="6"/>
        <v>0</v>
      </c>
      <c r="V15" s="58">
        <f t="shared" ca="1" si="6"/>
        <v>0</v>
      </c>
      <c r="W15" s="58">
        <f t="shared" ca="1" si="6"/>
        <v>0</v>
      </c>
      <c r="X15" s="58">
        <f t="shared" ca="1" si="6"/>
        <v>0</v>
      </c>
      <c r="Y15" s="58">
        <f t="shared" ca="1" si="6"/>
        <v>0</v>
      </c>
      <c r="Z15" s="58">
        <f t="shared" ca="1" si="6"/>
        <v>0</v>
      </c>
      <c r="AA15" s="58">
        <f t="shared" ca="1" si="6"/>
        <v>0</v>
      </c>
      <c r="AB15" s="58">
        <f t="shared" ca="1" si="6"/>
        <v>0</v>
      </c>
      <c r="AC15" s="58">
        <f t="shared" ca="1" si="6"/>
        <v>0</v>
      </c>
      <c r="AD15" s="58">
        <f t="shared" ca="1" si="6"/>
        <v>0</v>
      </c>
      <c r="AE15" s="58">
        <f t="shared" ca="1" si="6"/>
        <v>0</v>
      </c>
      <c r="AF15" s="58">
        <f t="shared" ca="1" si="6"/>
        <v>0</v>
      </c>
      <c r="AG15" s="58">
        <f t="shared" ca="1" si="6"/>
        <v>1</v>
      </c>
      <c r="AH15" s="58">
        <f t="shared" ca="1" si="6"/>
        <v>0</v>
      </c>
      <c r="AI15" s="58">
        <f t="shared" ca="1" si="6"/>
        <v>0</v>
      </c>
      <c r="AJ15" s="58">
        <f t="shared" ca="1" si="6"/>
        <v>0</v>
      </c>
      <c r="AK15" s="58">
        <f t="shared" ca="1" si="6"/>
        <v>1</v>
      </c>
      <c r="AL15" s="58">
        <f t="shared" ca="1" si="6"/>
        <v>0</v>
      </c>
      <c r="AM15" s="58">
        <f t="shared" ca="1" si="6"/>
        <v>0</v>
      </c>
      <c r="AN15" s="58">
        <f t="shared" ca="1" si="6"/>
        <v>0</v>
      </c>
      <c r="AO15" s="58">
        <f t="shared" ca="1" si="6"/>
        <v>0</v>
      </c>
      <c r="AP15" s="58">
        <f t="shared" ca="1" si="6"/>
        <v>0</v>
      </c>
      <c r="AQ15" s="58">
        <f t="shared" ca="1" si="6"/>
        <v>0</v>
      </c>
      <c r="AR15" s="58">
        <f t="shared" ca="1" si="6"/>
        <v>0</v>
      </c>
      <c r="AS15" s="58">
        <f t="shared" ca="1" si="6"/>
        <v>0</v>
      </c>
      <c r="AT15" s="58">
        <f t="shared" ca="1" si="6"/>
        <v>0</v>
      </c>
      <c r="AU15" s="58">
        <f t="shared" ca="1" si="6"/>
        <v>0</v>
      </c>
      <c r="AV15" s="58">
        <f t="shared" ca="1" si="6"/>
        <v>1</v>
      </c>
      <c r="AW15" s="58">
        <f t="shared" ca="1" si="6"/>
        <v>0</v>
      </c>
      <c r="AX15" s="58">
        <f t="shared" ca="1" si="6"/>
        <v>0</v>
      </c>
      <c r="AY15" s="58">
        <f t="shared" ca="1" si="6"/>
        <v>1</v>
      </c>
      <c r="AZ15" s="58">
        <f t="shared" ca="1" si="6"/>
        <v>0</v>
      </c>
      <c r="BA15" s="58">
        <f t="shared" ca="1" si="6"/>
        <v>0</v>
      </c>
      <c r="BB15" s="58">
        <f t="shared" ca="1" si="6"/>
        <v>0</v>
      </c>
      <c r="BC15" s="58">
        <f t="shared" ca="1" si="6"/>
        <v>0</v>
      </c>
      <c r="BD15" s="58">
        <f t="shared" ca="1" si="6"/>
        <v>0</v>
      </c>
      <c r="BE15" s="58">
        <f t="shared" ca="1" si="6"/>
        <v>0</v>
      </c>
      <c r="BF15" s="58">
        <f t="shared" ca="1" si="6"/>
        <v>0</v>
      </c>
      <c r="BG15" s="58">
        <f t="shared" ca="1" si="6"/>
        <v>0</v>
      </c>
      <c r="BH15" s="58">
        <f t="shared" ca="1" si="6"/>
        <v>0</v>
      </c>
      <c r="BI15" s="58">
        <f t="shared" ca="1" si="6"/>
        <v>1</v>
      </c>
      <c r="BJ15" s="58">
        <f t="shared" ca="1" si="6"/>
        <v>0</v>
      </c>
      <c r="BK15" s="58">
        <f t="shared" ca="1" si="6"/>
        <v>0</v>
      </c>
      <c r="BL15" s="58">
        <f t="shared" ca="1" si="6"/>
        <v>1</v>
      </c>
      <c r="BM15" s="58">
        <f t="shared" ca="1" si="6"/>
        <v>0</v>
      </c>
      <c r="BN15" s="58">
        <f t="shared" ca="1" si="6"/>
        <v>0</v>
      </c>
      <c r="BO15" s="58">
        <f t="shared" ca="1" si="6"/>
        <v>0</v>
      </c>
      <c r="BP15" s="58">
        <f t="shared" ca="1" si="6"/>
        <v>1</v>
      </c>
      <c r="BQ15" s="58">
        <f t="shared" ca="1" si="6"/>
        <v>0</v>
      </c>
      <c r="BR15" s="58">
        <f t="shared" ca="1" si="6"/>
        <v>1</v>
      </c>
      <c r="BS15" s="58">
        <f t="shared" ca="1" si="6"/>
        <v>0</v>
      </c>
      <c r="BT15" s="58">
        <f t="shared" ca="1" si="6"/>
        <v>1</v>
      </c>
      <c r="BU15" s="58">
        <f t="shared" ca="1" si="6"/>
        <v>1</v>
      </c>
      <c r="BV15" s="58">
        <f t="shared" ca="1" si="6"/>
        <v>0</v>
      </c>
      <c r="BW15" s="58">
        <f t="shared" ca="1" si="6"/>
        <v>0</v>
      </c>
      <c r="BX15" s="58">
        <f t="shared" ca="1" si="6"/>
        <v>0</v>
      </c>
      <c r="BY15" s="58">
        <f t="shared" ca="1" si="6"/>
        <v>0</v>
      </c>
      <c r="BZ15" s="58">
        <f t="shared" ca="1" si="6"/>
        <v>0</v>
      </c>
      <c r="CA15" s="58">
        <f t="shared" ca="1" si="6"/>
        <v>0</v>
      </c>
      <c r="CB15" s="58">
        <f t="shared" ca="1" si="6"/>
        <v>1</v>
      </c>
      <c r="CC15" s="58">
        <f t="shared" ca="1" si="6"/>
        <v>1</v>
      </c>
      <c r="CD15" s="58">
        <f t="shared" ref="CD15:CX18" ca="1" si="7">IF((RANDBETWEEN(0,100)/100)&lt;$B15,1,0)</f>
        <v>0</v>
      </c>
      <c r="CE15" s="58">
        <f t="shared" ca="1" si="7"/>
        <v>0</v>
      </c>
      <c r="CF15" s="58">
        <f t="shared" ca="1" si="7"/>
        <v>0</v>
      </c>
      <c r="CG15" s="58">
        <f t="shared" ca="1" si="7"/>
        <v>0</v>
      </c>
      <c r="CH15" s="58">
        <f t="shared" ca="1" si="7"/>
        <v>0</v>
      </c>
      <c r="CI15" s="58">
        <f t="shared" ca="1" si="7"/>
        <v>1</v>
      </c>
      <c r="CJ15" s="58">
        <f t="shared" ca="1" si="7"/>
        <v>0</v>
      </c>
      <c r="CK15" s="58">
        <f t="shared" ca="1" si="7"/>
        <v>0</v>
      </c>
      <c r="CL15" s="58">
        <f t="shared" ca="1" si="7"/>
        <v>0</v>
      </c>
      <c r="CM15" s="58">
        <f t="shared" ca="1" si="7"/>
        <v>0</v>
      </c>
      <c r="CN15" s="58">
        <f t="shared" ca="1" si="7"/>
        <v>0</v>
      </c>
      <c r="CO15" s="58">
        <f t="shared" ca="1" si="7"/>
        <v>0</v>
      </c>
      <c r="CP15" s="58">
        <f t="shared" ca="1" si="7"/>
        <v>1</v>
      </c>
      <c r="CQ15" s="58">
        <f t="shared" ca="1" si="7"/>
        <v>0</v>
      </c>
      <c r="CR15" s="58">
        <f t="shared" ca="1" si="7"/>
        <v>0</v>
      </c>
      <c r="CS15" s="58">
        <f t="shared" ca="1" si="7"/>
        <v>0</v>
      </c>
      <c r="CT15" s="58">
        <f t="shared" ca="1" si="7"/>
        <v>1</v>
      </c>
      <c r="CU15" s="58">
        <f t="shared" ca="1" si="7"/>
        <v>1</v>
      </c>
      <c r="CV15" s="58">
        <f t="shared" ca="1" si="7"/>
        <v>0</v>
      </c>
      <c r="CW15" s="58">
        <f t="shared" ca="1" si="7"/>
        <v>0</v>
      </c>
      <c r="CX15" s="58">
        <f t="shared" ca="1" si="7"/>
        <v>0</v>
      </c>
    </row>
    <row r="16" spans="1:150" x14ac:dyDescent="0.25">
      <c r="A16" s="57" t="s">
        <v>842</v>
      </c>
      <c r="B16" s="62">
        <v>0.26</v>
      </c>
      <c r="C16" s="58">
        <f t="shared" ca="1" si="2"/>
        <v>0</v>
      </c>
      <c r="D16" s="58">
        <f t="shared" ca="1" si="2"/>
        <v>0</v>
      </c>
      <c r="E16" s="58">
        <f t="shared" ca="1" si="2"/>
        <v>0</v>
      </c>
      <c r="F16" s="58">
        <f t="shared" ca="1" si="2"/>
        <v>0</v>
      </c>
      <c r="G16" s="58">
        <f t="shared" ca="1" si="2"/>
        <v>1</v>
      </c>
      <c r="H16" s="58">
        <f t="shared" ca="1" si="2"/>
        <v>1</v>
      </c>
      <c r="I16" s="58">
        <f t="shared" ca="1" si="2"/>
        <v>1</v>
      </c>
      <c r="J16" s="58">
        <f t="shared" ca="1" si="2"/>
        <v>0</v>
      </c>
      <c r="K16" s="58">
        <f t="shared" ca="1" si="2"/>
        <v>0</v>
      </c>
      <c r="L16" s="58">
        <f t="shared" ca="1" si="2"/>
        <v>0</v>
      </c>
      <c r="M16" s="58">
        <f t="shared" ca="1" si="2"/>
        <v>1</v>
      </c>
      <c r="N16" s="58">
        <f t="shared" ca="1" si="2"/>
        <v>0</v>
      </c>
      <c r="O16" s="58">
        <f t="shared" ca="1" si="2"/>
        <v>0</v>
      </c>
      <c r="P16" s="58">
        <f t="shared" ca="1" si="2"/>
        <v>0</v>
      </c>
      <c r="Q16" s="58">
        <f t="shared" ca="1" si="2"/>
        <v>0</v>
      </c>
      <c r="R16" s="58">
        <f t="shared" ca="1" si="2"/>
        <v>0</v>
      </c>
      <c r="S16" s="58">
        <f t="shared" ref="S16:CD19" ca="1" si="8">IF((RANDBETWEEN(0,100)/100)&lt;$B16,1,0)</f>
        <v>0</v>
      </c>
      <c r="T16" s="58">
        <f t="shared" ca="1" si="8"/>
        <v>0</v>
      </c>
      <c r="U16" s="58">
        <f t="shared" ca="1" si="8"/>
        <v>0</v>
      </c>
      <c r="V16" s="58">
        <f t="shared" ca="1" si="8"/>
        <v>1</v>
      </c>
      <c r="W16" s="58">
        <f t="shared" ca="1" si="8"/>
        <v>1</v>
      </c>
      <c r="X16" s="58">
        <f t="shared" ca="1" si="8"/>
        <v>0</v>
      </c>
      <c r="Y16" s="58">
        <f t="shared" ca="1" si="8"/>
        <v>1</v>
      </c>
      <c r="Z16" s="58">
        <f t="shared" ca="1" si="8"/>
        <v>0</v>
      </c>
      <c r="AA16" s="58">
        <f t="shared" ca="1" si="8"/>
        <v>0</v>
      </c>
      <c r="AB16" s="58">
        <f t="shared" ca="1" si="8"/>
        <v>0</v>
      </c>
      <c r="AC16" s="58">
        <f t="shared" ca="1" si="8"/>
        <v>0</v>
      </c>
      <c r="AD16" s="58">
        <f t="shared" ca="1" si="8"/>
        <v>0</v>
      </c>
      <c r="AE16" s="58">
        <f t="shared" ca="1" si="8"/>
        <v>0</v>
      </c>
      <c r="AF16" s="58">
        <f t="shared" ca="1" si="8"/>
        <v>0</v>
      </c>
      <c r="AG16" s="58">
        <f t="shared" ca="1" si="8"/>
        <v>0</v>
      </c>
      <c r="AH16" s="58">
        <f t="shared" ca="1" si="8"/>
        <v>0</v>
      </c>
      <c r="AI16" s="58">
        <f t="shared" ca="1" si="8"/>
        <v>0</v>
      </c>
      <c r="AJ16" s="58">
        <f t="shared" ca="1" si="8"/>
        <v>0</v>
      </c>
      <c r="AK16" s="58">
        <f t="shared" ca="1" si="8"/>
        <v>0</v>
      </c>
      <c r="AL16" s="58">
        <f t="shared" ca="1" si="8"/>
        <v>0</v>
      </c>
      <c r="AM16" s="58">
        <f t="shared" ca="1" si="8"/>
        <v>0</v>
      </c>
      <c r="AN16" s="58">
        <f t="shared" ca="1" si="8"/>
        <v>0</v>
      </c>
      <c r="AO16" s="58">
        <f t="shared" ca="1" si="8"/>
        <v>0</v>
      </c>
      <c r="AP16" s="58">
        <f t="shared" ca="1" si="8"/>
        <v>0</v>
      </c>
      <c r="AQ16" s="58">
        <f t="shared" ca="1" si="8"/>
        <v>0</v>
      </c>
      <c r="AR16" s="58">
        <f t="shared" ca="1" si="8"/>
        <v>0</v>
      </c>
      <c r="AS16" s="58">
        <f t="shared" ca="1" si="8"/>
        <v>0</v>
      </c>
      <c r="AT16" s="58">
        <f t="shared" ca="1" si="8"/>
        <v>0</v>
      </c>
      <c r="AU16" s="58">
        <f t="shared" ca="1" si="8"/>
        <v>0</v>
      </c>
      <c r="AV16" s="58">
        <f t="shared" ca="1" si="8"/>
        <v>0</v>
      </c>
      <c r="AW16" s="58">
        <f t="shared" ca="1" si="8"/>
        <v>1</v>
      </c>
      <c r="AX16" s="58">
        <f t="shared" ca="1" si="8"/>
        <v>0</v>
      </c>
      <c r="AY16" s="58">
        <f t="shared" ca="1" si="8"/>
        <v>0</v>
      </c>
      <c r="AZ16" s="58">
        <f t="shared" ca="1" si="8"/>
        <v>0</v>
      </c>
      <c r="BA16" s="58">
        <f t="shared" ca="1" si="8"/>
        <v>1</v>
      </c>
      <c r="BB16" s="58">
        <f t="shared" ca="1" si="8"/>
        <v>0</v>
      </c>
      <c r="BC16" s="58">
        <f t="shared" ca="1" si="8"/>
        <v>0</v>
      </c>
      <c r="BD16" s="58">
        <f t="shared" ca="1" si="8"/>
        <v>1</v>
      </c>
      <c r="BE16" s="58">
        <f t="shared" ca="1" si="8"/>
        <v>0</v>
      </c>
      <c r="BF16" s="58">
        <f t="shared" ca="1" si="8"/>
        <v>0</v>
      </c>
      <c r="BG16" s="58">
        <f t="shared" ca="1" si="8"/>
        <v>0</v>
      </c>
      <c r="BH16" s="58">
        <f t="shared" ca="1" si="8"/>
        <v>0</v>
      </c>
      <c r="BI16" s="58">
        <f t="shared" ca="1" si="8"/>
        <v>0</v>
      </c>
      <c r="BJ16" s="58">
        <f t="shared" ca="1" si="8"/>
        <v>0</v>
      </c>
      <c r="BK16" s="58">
        <f t="shared" ca="1" si="8"/>
        <v>0</v>
      </c>
      <c r="BL16" s="58">
        <f t="shared" ca="1" si="8"/>
        <v>0</v>
      </c>
      <c r="BM16" s="58">
        <f t="shared" ca="1" si="8"/>
        <v>1</v>
      </c>
      <c r="BN16" s="58">
        <f t="shared" ca="1" si="8"/>
        <v>0</v>
      </c>
      <c r="BO16" s="58">
        <f t="shared" ca="1" si="8"/>
        <v>0</v>
      </c>
      <c r="BP16" s="58">
        <f t="shared" ca="1" si="8"/>
        <v>0</v>
      </c>
      <c r="BQ16" s="58">
        <f t="shared" ca="1" si="8"/>
        <v>0</v>
      </c>
      <c r="BR16" s="58">
        <f t="shared" ca="1" si="8"/>
        <v>1</v>
      </c>
      <c r="BS16" s="58">
        <f t="shared" ca="1" si="8"/>
        <v>0</v>
      </c>
      <c r="BT16" s="58">
        <f t="shared" ca="1" si="8"/>
        <v>1</v>
      </c>
      <c r="BU16" s="58">
        <f t="shared" ca="1" si="8"/>
        <v>0</v>
      </c>
      <c r="BV16" s="58">
        <f t="shared" ca="1" si="8"/>
        <v>0</v>
      </c>
      <c r="BW16" s="58">
        <f t="shared" ca="1" si="8"/>
        <v>1</v>
      </c>
      <c r="BX16" s="58">
        <f t="shared" ca="1" si="8"/>
        <v>0</v>
      </c>
      <c r="BY16" s="58">
        <f t="shared" ca="1" si="8"/>
        <v>0</v>
      </c>
      <c r="BZ16" s="58">
        <f t="shared" ca="1" si="8"/>
        <v>0</v>
      </c>
      <c r="CA16" s="58">
        <f t="shared" ca="1" si="8"/>
        <v>0</v>
      </c>
      <c r="CB16" s="58">
        <f t="shared" ca="1" si="8"/>
        <v>0</v>
      </c>
      <c r="CC16" s="58">
        <f t="shared" ca="1" si="8"/>
        <v>1</v>
      </c>
      <c r="CD16" s="58">
        <f t="shared" ca="1" si="8"/>
        <v>0</v>
      </c>
      <c r="CE16" s="58">
        <f t="shared" ca="1" si="7"/>
        <v>0</v>
      </c>
      <c r="CF16" s="58">
        <f t="shared" ca="1" si="7"/>
        <v>0</v>
      </c>
      <c r="CG16" s="58">
        <f t="shared" ca="1" si="7"/>
        <v>0</v>
      </c>
      <c r="CH16" s="58">
        <f t="shared" ca="1" si="7"/>
        <v>0</v>
      </c>
      <c r="CI16" s="58">
        <f t="shared" ca="1" si="7"/>
        <v>0</v>
      </c>
      <c r="CJ16" s="58">
        <f t="shared" ca="1" si="7"/>
        <v>1</v>
      </c>
      <c r="CK16" s="58">
        <f t="shared" ca="1" si="7"/>
        <v>0</v>
      </c>
      <c r="CL16" s="58">
        <f t="shared" ca="1" si="7"/>
        <v>1</v>
      </c>
      <c r="CM16" s="58">
        <f t="shared" ca="1" si="7"/>
        <v>0</v>
      </c>
      <c r="CN16" s="58">
        <f t="shared" ca="1" si="7"/>
        <v>1</v>
      </c>
      <c r="CO16" s="58">
        <f t="shared" ca="1" si="7"/>
        <v>0</v>
      </c>
      <c r="CP16" s="58">
        <f t="shared" ca="1" si="7"/>
        <v>0</v>
      </c>
      <c r="CQ16" s="58">
        <f t="shared" ca="1" si="7"/>
        <v>1</v>
      </c>
      <c r="CR16" s="58">
        <f t="shared" ca="1" si="7"/>
        <v>0</v>
      </c>
      <c r="CS16" s="58">
        <f t="shared" ca="1" si="7"/>
        <v>1</v>
      </c>
      <c r="CT16" s="58">
        <f t="shared" ca="1" si="7"/>
        <v>0</v>
      </c>
      <c r="CU16" s="58">
        <f t="shared" ca="1" si="7"/>
        <v>0</v>
      </c>
      <c r="CV16" s="58">
        <f t="shared" ca="1" si="7"/>
        <v>0</v>
      </c>
      <c r="CW16" s="58">
        <f t="shared" ca="1" si="7"/>
        <v>0</v>
      </c>
      <c r="CX16" s="58">
        <f t="shared" ca="1" si="7"/>
        <v>0</v>
      </c>
    </row>
    <row r="17" spans="1:102" x14ac:dyDescent="0.25">
      <c r="A17" s="57" t="s">
        <v>807</v>
      </c>
      <c r="B17" s="62">
        <v>0.15</v>
      </c>
      <c r="C17" s="58">
        <f t="shared" ca="1" si="2"/>
        <v>0</v>
      </c>
      <c r="D17" s="58">
        <f t="shared" ca="1" si="2"/>
        <v>0</v>
      </c>
      <c r="E17" s="58">
        <f t="shared" ca="1" si="2"/>
        <v>1</v>
      </c>
      <c r="F17" s="58">
        <f t="shared" ca="1" si="2"/>
        <v>0</v>
      </c>
      <c r="G17" s="58">
        <f t="shared" ca="1" si="2"/>
        <v>0</v>
      </c>
      <c r="H17" s="58">
        <f t="shared" ca="1" si="2"/>
        <v>0</v>
      </c>
      <c r="I17" s="58">
        <f t="shared" ca="1" si="2"/>
        <v>0</v>
      </c>
      <c r="J17" s="58">
        <f t="shared" ca="1" si="2"/>
        <v>0</v>
      </c>
      <c r="K17" s="58">
        <f t="shared" ca="1" si="2"/>
        <v>0</v>
      </c>
      <c r="L17" s="58">
        <f t="shared" ca="1" si="2"/>
        <v>0</v>
      </c>
      <c r="M17" s="58">
        <f t="shared" ca="1" si="2"/>
        <v>0</v>
      </c>
      <c r="N17" s="58">
        <f t="shared" ca="1" si="2"/>
        <v>0</v>
      </c>
      <c r="O17" s="58">
        <f t="shared" ca="1" si="2"/>
        <v>1</v>
      </c>
      <c r="P17" s="58">
        <f t="shared" ca="1" si="2"/>
        <v>0</v>
      </c>
      <c r="Q17" s="58">
        <f t="shared" ca="1" si="2"/>
        <v>0</v>
      </c>
      <c r="R17" s="58">
        <f t="shared" ca="1" si="2"/>
        <v>0</v>
      </c>
      <c r="S17" s="58">
        <f t="shared" ca="1" si="8"/>
        <v>1</v>
      </c>
      <c r="T17" s="58">
        <f t="shared" ca="1" si="8"/>
        <v>0</v>
      </c>
      <c r="U17" s="58">
        <f t="shared" ca="1" si="8"/>
        <v>0</v>
      </c>
      <c r="V17" s="58">
        <f t="shared" ca="1" si="8"/>
        <v>1</v>
      </c>
      <c r="W17" s="58">
        <f t="shared" ca="1" si="8"/>
        <v>0</v>
      </c>
      <c r="X17" s="58">
        <f t="shared" ca="1" si="8"/>
        <v>0</v>
      </c>
      <c r="Y17" s="58">
        <f t="shared" ca="1" si="8"/>
        <v>0</v>
      </c>
      <c r="Z17" s="58">
        <f t="shared" ca="1" si="8"/>
        <v>0</v>
      </c>
      <c r="AA17" s="58">
        <f t="shared" ca="1" si="8"/>
        <v>0</v>
      </c>
      <c r="AB17" s="58">
        <f t="shared" ca="1" si="8"/>
        <v>0</v>
      </c>
      <c r="AC17" s="58">
        <f t="shared" ca="1" si="8"/>
        <v>0</v>
      </c>
      <c r="AD17" s="58">
        <f t="shared" ca="1" si="8"/>
        <v>0</v>
      </c>
      <c r="AE17" s="58">
        <f t="shared" ca="1" si="8"/>
        <v>0</v>
      </c>
      <c r="AF17" s="58">
        <f t="shared" ca="1" si="8"/>
        <v>0</v>
      </c>
      <c r="AG17" s="58">
        <f t="shared" ca="1" si="8"/>
        <v>0</v>
      </c>
      <c r="AH17" s="58">
        <f t="shared" ca="1" si="8"/>
        <v>0</v>
      </c>
      <c r="AI17" s="58">
        <f t="shared" ca="1" si="8"/>
        <v>1</v>
      </c>
      <c r="AJ17" s="58">
        <f t="shared" ca="1" si="8"/>
        <v>0</v>
      </c>
      <c r="AK17" s="58">
        <f t="shared" ca="1" si="8"/>
        <v>0</v>
      </c>
      <c r="AL17" s="58">
        <f t="shared" ca="1" si="8"/>
        <v>1</v>
      </c>
      <c r="AM17" s="58">
        <f t="shared" ca="1" si="8"/>
        <v>0</v>
      </c>
      <c r="AN17" s="58">
        <f t="shared" ca="1" si="8"/>
        <v>0</v>
      </c>
      <c r="AO17" s="58">
        <f t="shared" ca="1" si="8"/>
        <v>0</v>
      </c>
      <c r="AP17" s="58">
        <f t="shared" ca="1" si="8"/>
        <v>0</v>
      </c>
      <c r="AQ17" s="58">
        <f t="shared" ca="1" si="8"/>
        <v>0</v>
      </c>
      <c r="AR17" s="58">
        <f t="shared" ca="1" si="8"/>
        <v>0</v>
      </c>
      <c r="AS17" s="58">
        <f t="shared" ca="1" si="8"/>
        <v>0</v>
      </c>
      <c r="AT17" s="58">
        <f t="shared" ca="1" si="8"/>
        <v>1</v>
      </c>
      <c r="AU17" s="58">
        <f t="shared" ca="1" si="8"/>
        <v>0</v>
      </c>
      <c r="AV17" s="58">
        <f t="shared" ca="1" si="8"/>
        <v>0</v>
      </c>
      <c r="AW17" s="58">
        <f t="shared" ca="1" si="8"/>
        <v>0</v>
      </c>
      <c r="AX17" s="58">
        <f t="shared" ca="1" si="8"/>
        <v>0</v>
      </c>
      <c r="AY17" s="58">
        <f t="shared" ca="1" si="8"/>
        <v>0</v>
      </c>
      <c r="AZ17" s="58">
        <f t="shared" ca="1" si="8"/>
        <v>0</v>
      </c>
      <c r="BA17" s="58">
        <f t="shared" ca="1" si="8"/>
        <v>0</v>
      </c>
      <c r="BB17" s="58">
        <f t="shared" ca="1" si="8"/>
        <v>0</v>
      </c>
      <c r="BC17" s="58">
        <f t="shared" ca="1" si="8"/>
        <v>0</v>
      </c>
      <c r="BD17" s="58">
        <f t="shared" ca="1" si="8"/>
        <v>0</v>
      </c>
      <c r="BE17" s="58">
        <f t="shared" ca="1" si="8"/>
        <v>0</v>
      </c>
      <c r="BF17" s="58">
        <f t="shared" ca="1" si="8"/>
        <v>0</v>
      </c>
      <c r="BG17" s="58">
        <f t="shared" ca="1" si="8"/>
        <v>0</v>
      </c>
      <c r="BH17" s="58">
        <f t="shared" ca="1" si="8"/>
        <v>0</v>
      </c>
      <c r="BI17" s="58">
        <f t="shared" ca="1" si="8"/>
        <v>0</v>
      </c>
      <c r="BJ17" s="58">
        <f t="shared" ca="1" si="8"/>
        <v>0</v>
      </c>
      <c r="BK17" s="58">
        <f t="shared" ca="1" si="8"/>
        <v>0</v>
      </c>
      <c r="BL17" s="58">
        <f t="shared" ca="1" si="8"/>
        <v>1</v>
      </c>
      <c r="BM17" s="58">
        <f t="shared" ca="1" si="8"/>
        <v>0</v>
      </c>
      <c r="BN17" s="58">
        <f t="shared" ca="1" si="8"/>
        <v>0</v>
      </c>
      <c r="BO17" s="58">
        <f t="shared" ca="1" si="8"/>
        <v>0</v>
      </c>
      <c r="BP17" s="58">
        <f t="shared" ca="1" si="8"/>
        <v>0</v>
      </c>
      <c r="BQ17" s="58">
        <f t="shared" ca="1" si="8"/>
        <v>0</v>
      </c>
      <c r="BR17" s="58">
        <f t="shared" ca="1" si="8"/>
        <v>0</v>
      </c>
      <c r="BS17" s="58">
        <f t="shared" ca="1" si="8"/>
        <v>0</v>
      </c>
      <c r="BT17" s="58">
        <f t="shared" ca="1" si="8"/>
        <v>0</v>
      </c>
      <c r="BU17" s="58">
        <f t="shared" ca="1" si="8"/>
        <v>0</v>
      </c>
      <c r="BV17" s="58">
        <f t="shared" ca="1" si="8"/>
        <v>0</v>
      </c>
      <c r="BW17" s="58">
        <f t="shared" ca="1" si="8"/>
        <v>0</v>
      </c>
      <c r="BX17" s="58">
        <f t="shared" ca="1" si="8"/>
        <v>0</v>
      </c>
      <c r="BY17" s="58">
        <f t="shared" ca="1" si="8"/>
        <v>0</v>
      </c>
      <c r="BZ17" s="58">
        <f t="shared" ca="1" si="8"/>
        <v>0</v>
      </c>
      <c r="CA17" s="58">
        <f t="shared" ca="1" si="8"/>
        <v>0</v>
      </c>
      <c r="CB17" s="58">
        <f t="shared" ca="1" si="8"/>
        <v>0</v>
      </c>
      <c r="CC17" s="58">
        <f t="shared" ca="1" si="8"/>
        <v>0</v>
      </c>
      <c r="CD17" s="58">
        <f t="shared" ca="1" si="8"/>
        <v>0</v>
      </c>
      <c r="CE17" s="58">
        <f t="shared" ca="1" si="7"/>
        <v>0</v>
      </c>
      <c r="CF17" s="58">
        <f t="shared" ca="1" si="7"/>
        <v>0</v>
      </c>
      <c r="CG17" s="58">
        <f t="shared" ca="1" si="7"/>
        <v>0</v>
      </c>
      <c r="CH17" s="58">
        <f t="shared" ca="1" si="7"/>
        <v>0</v>
      </c>
      <c r="CI17" s="58">
        <f t="shared" ca="1" si="7"/>
        <v>0</v>
      </c>
      <c r="CJ17" s="58">
        <f t="shared" ca="1" si="7"/>
        <v>0</v>
      </c>
      <c r="CK17" s="58">
        <f t="shared" ca="1" si="7"/>
        <v>1</v>
      </c>
      <c r="CL17" s="58">
        <f t="shared" ca="1" si="7"/>
        <v>0</v>
      </c>
      <c r="CM17" s="58">
        <f t="shared" ca="1" si="7"/>
        <v>0</v>
      </c>
      <c r="CN17" s="58">
        <f t="shared" ca="1" si="7"/>
        <v>0</v>
      </c>
      <c r="CO17" s="58">
        <f t="shared" ca="1" si="7"/>
        <v>0</v>
      </c>
      <c r="CP17" s="58">
        <f t="shared" ca="1" si="7"/>
        <v>0</v>
      </c>
      <c r="CQ17" s="58">
        <f t="shared" ca="1" si="7"/>
        <v>0</v>
      </c>
      <c r="CR17" s="58">
        <f t="shared" ca="1" si="7"/>
        <v>0</v>
      </c>
      <c r="CS17" s="58">
        <f t="shared" ca="1" si="7"/>
        <v>0</v>
      </c>
      <c r="CT17" s="58">
        <f t="shared" ca="1" si="7"/>
        <v>0</v>
      </c>
      <c r="CU17" s="58">
        <f t="shared" ca="1" si="7"/>
        <v>0</v>
      </c>
      <c r="CV17" s="58">
        <f t="shared" ca="1" si="7"/>
        <v>1</v>
      </c>
      <c r="CW17" s="58">
        <f t="shared" ca="1" si="7"/>
        <v>1</v>
      </c>
      <c r="CX17" s="58">
        <f t="shared" ca="1" si="7"/>
        <v>1</v>
      </c>
    </row>
    <row r="18" spans="1:102" x14ac:dyDescent="0.25">
      <c r="A18" s="57" t="s">
        <v>808</v>
      </c>
      <c r="B18" s="62">
        <v>0.25</v>
      </c>
      <c r="C18" s="58">
        <f t="shared" ca="1" si="2"/>
        <v>0</v>
      </c>
      <c r="D18" s="58">
        <f t="shared" ca="1" si="2"/>
        <v>0</v>
      </c>
      <c r="E18" s="58">
        <f t="shared" ca="1" si="2"/>
        <v>0</v>
      </c>
      <c r="F18" s="58">
        <f t="shared" ca="1" si="2"/>
        <v>1</v>
      </c>
      <c r="G18" s="58">
        <f t="shared" ca="1" si="2"/>
        <v>1</v>
      </c>
      <c r="H18" s="58">
        <f t="shared" ca="1" si="2"/>
        <v>0</v>
      </c>
      <c r="I18" s="58">
        <f t="shared" ca="1" si="2"/>
        <v>1</v>
      </c>
      <c r="J18" s="58">
        <f t="shared" ca="1" si="2"/>
        <v>0</v>
      </c>
      <c r="K18" s="58">
        <f t="shared" ca="1" si="2"/>
        <v>1</v>
      </c>
      <c r="L18" s="58">
        <f t="shared" ca="1" si="2"/>
        <v>0</v>
      </c>
      <c r="M18" s="58">
        <f t="shared" ca="1" si="2"/>
        <v>0</v>
      </c>
      <c r="N18" s="58">
        <f t="shared" ca="1" si="2"/>
        <v>0</v>
      </c>
      <c r="O18" s="58">
        <f t="shared" ca="1" si="2"/>
        <v>0</v>
      </c>
      <c r="P18" s="58">
        <f t="shared" ca="1" si="2"/>
        <v>0</v>
      </c>
      <c r="Q18" s="58">
        <f t="shared" ca="1" si="2"/>
        <v>0</v>
      </c>
      <c r="R18" s="58">
        <f t="shared" ca="1" si="2"/>
        <v>0</v>
      </c>
      <c r="S18" s="58">
        <f t="shared" ca="1" si="8"/>
        <v>0</v>
      </c>
      <c r="T18" s="58">
        <f t="shared" ca="1" si="8"/>
        <v>1</v>
      </c>
      <c r="U18" s="58">
        <f t="shared" ca="1" si="8"/>
        <v>0</v>
      </c>
      <c r="V18" s="58">
        <f t="shared" ca="1" si="8"/>
        <v>0</v>
      </c>
      <c r="W18" s="58">
        <f t="shared" ca="1" si="8"/>
        <v>0</v>
      </c>
      <c r="X18" s="58">
        <f t="shared" ca="1" si="8"/>
        <v>1</v>
      </c>
      <c r="Y18" s="58">
        <f t="shared" ca="1" si="8"/>
        <v>0</v>
      </c>
      <c r="Z18" s="58">
        <f t="shared" ca="1" si="8"/>
        <v>0</v>
      </c>
      <c r="AA18" s="58">
        <f t="shared" ca="1" si="8"/>
        <v>0</v>
      </c>
      <c r="AB18" s="58">
        <f t="shared" ca="1" si="8"/>
        <v>0</v>
      </c>
      <c r="AC18" s="58">
        <f t="shared" ca="1" si="8"/>
        <v>0</v>
      </c>
      <c r="AD18" s="58">
        <f t="shared" ca="1" si="8"/>
        <v>1</v>
      </c>
      <c r="AE18" s="58">
        <f t="shared" ca="1" si="8"/>
        <v>0</v>
      </c>
      <c r="AF18" s="58">
        <f t="shared" ca="1" si="8"/>
        <v>0</v>
      </c>
      <c r="AG18" s="58">
        <f t="shared" ca="1" si="8"/>
        <v>0</v>
      </c>
      <c r="AH18" s="58">
        <f t="shared" ca="1" si="8"/>
        <v>0</v>
      </c>
      <c r="AI18" s="58">
        <f t="shared" ca="1" si="8"/>
        <v>1</v>
      </c>
      <c r="AJ18" s="58">
        <f t="shared" ca="1" si="8"/>
        <v>0</v>
      </c>
      <c r="AK18" s="58">
        <f t="shared" ca="1" si="8"/>
        <v>1</v>
      </c>
      <c r="AL18" s="58">
        <f t="shared" ca="1" si="8"/>
        <v>0</v>
      </c>
      <c r="AM18" s="58">
        <f t="shared" ca="1" si="8"/>
        <v>0</v>
      </c>
      <c r="AN18" s="58">
        <f t="shared" ca="1" si="8"/>
        <v>0</v>
      </c>
      <c r="AO18" s="58">
        <f t="shared" ca="1" si="8"/>
        <v>1</v>
      </c>
      <c r="AP18" s="58">
        <f t="shared" ca="1" si="8"/>
        <v>0</v>
      </c>
      <c r="AQ18" s="58">
        <f t="shared" ca="1" si="8"/>
        <v>0</v>
      </c>
      <c r="AR18" s="58">
        <f t="shared" ca="1" si="8"/>
        <v>0</v>
      </c>
      <c r="AS18" s="58">
        <f t="shared" ca="1" si="8"/>
        <v>0</v>
      </c>
      <c r="AT18" s="58">
        <f t="shared" ca="1" si="8"/>
        <v>0</v>
      </c>
      <c r="AU18" s="58">
        <f t="shared" ca="1" si="8"/>
        <v>1</v>
      </c>
      <c r="AV18" s="58">
        <f t="shared" ca="1" si="8"/>
        <v>0</v>
      </c>
      <c r="AW18" s="58">
        <f t="shared" ca="1" si="8"/>
        <v>1</v>
      </c>
      <c r="AX18" s="58">
        <f t="shared" ca="1" si="8"/>
        <v>1</v>
      </c>
      <c r="AY18" s="58">
        <f t="shared" ca="1" si="8"/>
        <v>0</v>
      </c>
      <c r="AZ18" s="58">
        <f t="shared" ca="1" si="8"/>
        <v>1</v>
      </c>
      <c r="BA18" s="58">
        <f t="shared" ca="1" si="8"/>
        <v>1</v>
      </c>
      <c r="BB18" s="58">
        <f t="shared" ca="1" si="8"/>
        <v>0</v>
      </c>
      <c r="BC18" s="58">
        <f t="shared" ca="1" si="8"/>
        <v>0</v>
      </c>
      <c r="BD18" s="58">
        <f t="shared" ca="1" si="8"/>
        <v>1</v>
      </c>
      <c r="BE18" s="58">
        <f t="shared" ca="1" si="8"/>
        <v>0</v>
      </c>
      <c r="BF18" s="58">
        <f t="shared" ca="1" si="8"/>
        <v>0</v>
      </c>
      <c r="BG18" s="58">
        <f t="shared" ca="1" si="8"/>
        <v>0</v>
      </c>
      <c r="BH18" s="58">
        <f t="shared" ca="1" si="8"/>
        <v>0</v>
      </c>
      <c r="BI18" s="58">
        <f t="shared" ca="1" si="8"/>
        <v>0</v>
      </c>
      <c r="BJ18" s="58">
        <f t="shared" ca="1" si="8"/>
        <v>0</v>
      </c>
      <c r="BK18" s="58">
        <f t="shared" ca="1" si="8"/>
        <v>1</v>
      </c>
      <c r="BL18" s="58">
        <f t="shared" ca="1" si="8"/>
        <v>1</v>
      </c>
      <c r="BM18" s="58">
        <f t="shared" ca="1" si="8"/>
        <v>0</v>
      </c>
      <c r="BN18" s="58">
        <f t="shared" ca="1" si="8"/>
        <v>1</v>
      </c>
      <c r="BO18" s="58">
        <f t="shared" ca="1" si="8"/>
        <v>0</v>
      </c>
      <c r="BP18" s="58">
        <f t="shared" ca="1" si="8"/>
        <v>0</v>
      </c>
      <c r="BQ18" s="58">
        <f t="shared" ca="1" si="8"/>
        <v>1</v>
      </c>
      <c r="BR18" s="58">
        <f t="shared" ca="1" si="8"/>
        <v>0</v>
      </c>
      <c r="BS18" s="58">
        <f t="shared" ca="1" si="8"/>
        <v>0</v>
      </c>
      <c r="BT18" s="58">
        <f t="shared" ca="1" si="8"/>
        <v>0</v>
      </c>
      <c r="BU18" s="58">
        <f t="shared" ca="1" si="8"/>
        <v>1</v>
      </c>
      <c r="BV18" s="58">
        <f t="shared" ca="1" si="8"/>
        <v>1</v>
      </c>
      <c r="BW18" s="58">
        <f t="shared" ca="1" si="8"/>
        <v>0</v>
      </c>
      <c r="BX18" s="58">
        <f t="shared" ca="1" si="8"/>
        <v>0</v>
      </c>
      <c r="BY18" s="58">
        <f t="shared" ca="1" si="8"/>
        <v>0</v>
      </c>
      <c r="BZ18" s="58">
        <f t="shared" ca="1" si="8"/>
        <v>1</v>
      </c>
      <c r="CA18" s="58">
        <f t="shared" ca="1" si="8"/>
        <v>0</v>
      </c>
      <c r="CB18" s="58">
        <f t="shared" ca="1" si="8"/>
        <v>0</v>
      </c>
      <c r="CC18" s="58">
        <f t="shared" ca="1" si="8"/>
        <v>1</v>
      </c>
      <c r="CD18" s="58">
        <f t="shared" ca="1" si="8"/>
        <v>1</v>
      </c>
      <c r="CE18" s="58">
        <f t="shared" ca="1" si="7"/>
        <v>0</v>
      </c>
      <c r="CF18" s="58">
        <f t="shared" ca="1" si="7"/>
        <v>0</v>
      </c>
      <c r="CG18" s="58">
        <f t="shared" ca="1" si="7"/>
        <v>1</v>
      </c>
      <c r="CH18" s="58">
        <f t="shared" ca="1" si="7"/>
        <v>1</v>
      </c>
      <c r="CI18" s="58">
        <f t="shared" ca="1" si="7"/>
        <v>1</v>
      </c>
      <c r="CJ18" s="58">
        <f t="shared" ca="1" si="7"/>
        <v>0</v>
      </c>
      <c r="CK18" s="58">
        <f t="shared" ca="1" si="7"/>
        <v>0</v>
      </c>
      <c r="CL18" s="58">
        <f t="shared" ca="1" si="7"/>
        <v>0</v>
      </c>
      <c r="CM18" s="58">
        <f t="shared" ca="1" si="7"/>
        <v>0</v>
      </c>
      <c r="CN18" s="58">
        <f t="shared" ca="1" si="7"/>
        <v>0</v>
      </c>
      <c r="CO18" s="58">
        <f t="shared" ca="1" si="7"/>
        <v>0</v>
      </c>
      <c r="CP18" s="58">
        <f t="shared" ca="1" si="7"/>
        <v>0</v>
      </c>
      <c r="CQ18" s="58">
        <f t="shared" ca="1" si="7"/>
        <v>0</v>
      </c>
      <c r="CR18" s="58">
        <f t="shared" ca="1" si="7"/>
        <v>0</v>
      </c>
      <c r="CS18" s="58">
        <f t="shared" ca="1" si="7"/>
        <v>0</v>
      </c>
      <c r="CT18" s="58">
        <f t="shared" ca="1" si="7"/>
        <v>0</v>
      </c>
      <c r="CU18" s="58">
        <f t="shared" ca="1" si="7"/>
        <v>0</v>
      </c>
      <c r="CV18" s="58">
        <f t="shared" ca="1" si="7"/>
        <v>0</v>
      </c>
      <c r="CW18" s="58">
        <f t="shared" ca="1" si="7"/>
        <v>1</v>
      </c>
      <c r="CX18" s="58">
        <f t="shared" ca="1" si="7"/>
        <v>1</v>
      </c>
    </row>
    <row r="19" spans="1:102" x14ac:dyDescent="0.25">
      <c r="A19" s="57" t="s">
        <v>843</v>
      </c>
      <c r="B19" s="62">
        <v>0.2</v>
      </c>
      <c r="C19" s="58">
        <f t="shared" ca="1" si="2"/>
        <v>0</v>
      </c>
      <c r="D19" s="58">
        <f t="shared" ca="1" si="2"/>
        <v>0</v>
      </c>
      <c r="E19" s="58">
        <f t="shared" ca="1" si="2"/>
        <v>1</v>
      </c>
      <c r="F19" s="58">
        <f t="shared" ca="1" si="2"/>
        <v>1</v>
      </c>
      <c r="G19" s="58">
        <f t="shared" ca="1" si="2"/>
        <v>0</v>
      </c>
      <c r="H19" s="58">
        <f t="shared" ca="1" si="2"/>
        <v>0</v>
      </c>
      <c r="I19" s="58">
        <f t="shared" ca="1" si="2"/>
        <v>0</v>
      </c>
      <c r="J19" s="58">
        <f t="shared" ca="1" si="2"/>
        <v>0</v>
      </c>
      <c r="K19" s="58">
        <f t="shared" ca="1" si="2"/>
        <v>0</v>
      </c>
      <c r="L19" s="58">
        <f t="shared" ca="1" si="2"/>
        <v>0</v>
      </c>
      <c r="M19" s="58">
        <f t="shared" ca="1" si="2"/>
        <v>0</v>
      </c>
      <c r="N19" s="58">
        <f t="shared" ca="1" si="2"/>
        <v>0</v>
      </c>
      <c r="O19" s="58">
        <f t="shared" ca="1" si="2"/>
        <v>0</v>
      </c>
      <c r="P19" s="58">
        <f t="shared" ca="1" si="2"/>
        <v>0</v>
      </c>
      <c r="Q19" s="58">
        <f t="shared" ca="1" si="2"/>
        <v>1</v>
      </c>
      <c r="R19" s="58">
        <f t="shared" ca="1" si="2"/>
        <v>0</v>
      </c>
      <c r="S19" s="58">
        <f t="shared" ca="1" si="8"/>
        <v>0</v>
      </c>
      <c r="T19" s="58">
        <f t="shared" ca="1" si="8"/>
        <v>0</v>
      </c>
      <c r="U19" s="58">
        <f t="shared" ca="1" si="8"/>
        <v>0</v>
      </c>
      <c r="V19" s="58">
        <f t="shared" ca="1" si="8"/>
        <v>0</v>
      </c>
      <c r="W19" s="58">
        <f t="shared" ca="1" si="8"/>
        <v>1</v>
      </c>
      <c r="X19" s="58">
        <f t="shared" ca="1" si="8"/>
        <v>0</v>
      </c>
      <c r="Y19" s="58">
        <f t="shared" ca="1" si="8"/>
        <v>0</v>
      </c>
      <c r="Z19" s="58">
        <f t="shared" ca="1" si="8"/>
        <v>1</v>
      </c>
      <c r="AA19" s="58">
        <f t="shared" ca="1" si="8"/>
        <v>0</v>
      </c>
      <c r="AB19" s="58">
        <f t="shared" ca="1" si="8"/>
        <v>1</v>
      </c>
      <c r="AC19" s="58">
        <f t="shared" ca="1" si="8"/>
        <v>0</v>
      </c>
      <c r="AD19" s="58">
        <f t="shared" ca="1" si="8"/>
        <v>0</v>
      </c>
      <c r="AE19" s="58">
        <f t="shared" ca="1" si="8"/>
        <v>1</v>
      </c>
      <c r="AF19" s="58">
        <f t="shared" ca="1" si="8"/>
        <v>0</v>
      </c>
      <c r="AG19" s="58">
        <f t="shared" ca="1" si="8"/>
        <v>0</v>
      </c>
      <c r="AH19" s="58">
        <f t="shared" ca="1" si="8"/>
        <v>0</v>
      </c>
      <c r="AI19" s="58">
        <f t="shared" ca="1" si="8"/>
        <v>0</v>
      </c>
      <c r="AJ19" s="58">
        <f t="shared" ca="1" si="8"/>
        <v>1</v>
      </c>
      <c r="AK19" s="58">
        <f t="shared" ca="1" si="8"/>
        <v>0</v>
      </c>
      <c r="AL19" s="58">
        <f t="shared" ca="1" si="8"/>
        <v>0</v>
      </c>
      <c r="AM19" s="58">
        <f t="shared" ca="1" si="8"/>
        <v>0</v>
      </c>
      <c r="AN19" s="58">
        <f t="shared" ca="1" si="8"/>
        <v>0</v>
      </c>
      <c r="AO19" s="58">
        <f t="shared" ca="1" si="8"/>
        <v>0</v>
      </c>
      <c r="AP19" s="58">
        <f t="shared" ca="1" si="8"/>
        <v>0</v>
      </c>
      <c r="AQ19" s="58">
        <f t="shared" ca="1" si="8"/>
        <v>0</v>
      </c>
      <c r="AR19" s="58">
        <f t="shared" ca="1" si="8"/>
        <v>0</v>
      </c>
      <c r="AS19" s="58">
        <f t="shared" ca="1" si="8"/>
        <v>1</v>
      </c>
      <c r="AT19" s="58">
        <f t="shared" ca="1" si="8"/>
        <v>0</v>
      </c>
      <c r="AU19" s="58">
        <f t="shared" ca="1" si="8"/>
        <v>0</v>
      </c>
      <c r="AV19" s="58">
        <f t="shared" ca="1" si="8"/>
        <v>1</v>
      </c>
      <c r="AW19" s="58">
        <f t="shared" ca="1" si="8"/>
        <v>0</v>
      </c>
      <c r="AX19" s="58">
        <f t="shared" ca="1" si="8"/>
        <v>0</v>
      </c>
      <c r="AY19" s="58">
        <f t="shared" ca="1" si="8"/>
        <v>0</v>
      </c>
      <c r="AZ19" s="58">
        <f t="shared" ca="1" si="8"/>
        <v>0</v>
      </c>
      <c r="BA19" s="58">
        <f t="shared" ca="1" si="8"/>
        <v>0</v>
      </c>
      <c r="BB19" s="58">
        <f t="shared" ca="1" si="8"/>
        <v>0</v>
      </c>
      <c r="BC19" s="58">
        <f t="shared" ca="1" si="8"/>
        <v>0</v>
      </c>
      <c r="BD19" s="58">
        <f t="shared" ca="1" si="8"/>
        <v>0</v>
      </c>
      <c r="BE19" s="58">
        <f t="shared" ca="1" si="8"/>
        <v>0</v>
      </c>
      <c r="BF19" s="58">
        <f t="shared" ca="1" si="8"/>
        <v>1</v>
      </c>
      <c r="BG19" s="58">
        <f t="shared" ca="1" si="8"/>
        <v>0</v>
      </c>
      <c r="BH19" s="58">
        <f t="shared" ca="1" si="8"/>
        <v>1</v>
      </c>
      <c r="BI19" s="58">
        <f t="shared" ca="1" si="8"/>
        <v>0</v>
      </c>
      <c r="BJ19" s="58">
        <f t="shared" ca="1" si="8"/>
        <v>0</v>
      </c>
      <c r="BK19" s="58">
        <f t="shared" ca="1" si="8"/>
        <v>0</v>
      </c>
      <c r="BL19" s="58">
        <f t="shared" ca="1" si="8"/>
        <v>0</v>
      </c>
      <c r="BM19" s="58">
        <f t="shared" ca="1" si="8"/>
        <v>0</v>
      </c>
      <c r="BN19" s="58">
        <f t="shared" ca="1" si="8"/>
        <v>0</v>
      </c>
      <c r="BO19" s="58">
        <f t="shared" ca="1" si="8"/>
        <v>0</v>
      </c>
      <c r="BP19" s="58">
        <f t="shared" ca="1" si="8"/>
        <v>1</v>
      </c>
      <c r="BQ19" s="58">
        <f t="shared" ca="1" si="8"/>
        <v>0</v>
      </c>
      <c r="BR19" s="58">
        <f t="shared" ca="1" si="8"/>
        <v>0</v>
      </c>
      <c r="BS19" s="58">
        <f t="shared" ca="1" si="8"/>
        <v>0</v>
      </c>
      <c r="BT19" s="58">
        <f t="shared" ca="1" si="8"/>
        <v>0</v>
      </c>
      <c r="BU19" s="58">
        <f t="shared" ca="1" si="8"/>
        <v>0</v>
      </c>
      <c r="BV19" s="58">
        <f t="shared" ca="1" si="8"/>
        <v>0</v>
      </c>
      <c r="BW19" s="58">
        <f t="shared" ca="1" si="8"/>
        <v>0</v>
      </c>
      <c r="BX19" s="58">
        <f t="shared" ca="1" si="8"/>
        <v>0</v>
      </c>
      <c r="BY19" s="58">
        <f t="shared" ca="1" si="8"/>
        <v>1</v>
      </c>
      <c r="BZ19" s="58">
        <f t="shared" ca="1" si="8"/>
        <v>0</v>
      </c>
      <c r="CA19" s="58">
        <f t="shared" ca="1" si="8"/>
        <v>0</v>
      </c>
      <c r="CB19" s="58">
        <f t="shared" ca="1" si="8"/>
        <v>1</v>
      </c>
      <c r="CC19" s="58">
        <f t="shared" ca="1" si="8"/>
        <v>0</v>
      </c>
      <c r="CD19" s="58">
        <f t="shared" ref="CD19:CX19" ca="1" si="9">IF((RANDBETWEEN(0,100)/100)&lt;$B19,1,0)</f>
        <v>0</v>
      </c>
      <c r="CE19" s="58">
        <f t="shared" ca="1" si="9"/>
        <v>0</v>
      </c>
      <c r="CF19" s="58">
        <f t="shared" ca="1" si="9"/>
        <v>0</v>
      </c>
      <c r="CG19" s="58">
        <f t="shared" ca="1" si="9"/>
        <v>0</v>
      </c>
      <c r="CH19" s="58">
        <f t="shared" ca="1" si="9"/>
        <v>0</v>
      </c>
      <c r="CI19" s="58">
        <f t="shared" ca="1" si="9"/>
        <v>1</v>
      </c>
      <c r="CJ19" s="58">
        <f t="shared" ca="1" si="9"/>
        <v>0</v>
      </c>
      <c r="CK19" s="58">
        <f t="shared" ca="1" si="9"/>
        <v>0</v>
      </c>
      <c r="CL19" s="58">
        <f t="shared" ca="1" si="9"/>
        <v>0</v>
      </c>
      <c r="CM19" s="58">
        <f t="shared" ca="1" si="9"/>
        <v>0</v>
      </c>
      <c r="CN19" s="58">
        <f t="shared" ca="1" si="9"/>
        <v>0</v>
      </c>
      <c r="CO19" s="58">
        <f t="shared" ca="1" si="9"/>
        <v>0</v>
      </c>
      <c r="CP19" s="58">
        <f t="shared" ca="1" si="9"/>
        <v>1</v>
      </c>
      <c r="CQ19" s="58">
        <f t="shared" ca="1" si="9"/>
        <v>0</v>
      </c>
      <c r="CR19" s="58">
        <f t="shared" ca="1" si="9"/>
        <v>1</v>
      </c>
      <c r="CS19" s="58">
        <f t="shared" ca="1" si="9"/>
        <v>0</v>
      </c>
      <c r="CT19" s="58">
        <f t="shared" ca="1" si="9"/>
        <v>0</v>
      </c>
      <c r="CU19" s="58">
        <f t="shared" ca="1" si="9"/>
        <v>1</v>
      </c>
      <c r="CV19" s="58">
        <f t="shared" ca="1" si="9"/>
        <v>0</v>
      </c>
      <c r="CW19" s="58">
        <f t="shared" ca="1" si="9"/>
        <v>0</v>
      </c>
      <c r="CX19" s="58">
        <f t="shared" ca="1" si="9"/>
        <v>0</v>
      </c>
    </row>
    <row r="20" spans="1:102" x14ac:dyDescent="0.25">
      <c r="A20" s="57" t="s">
        <v>809</v>
      </c>
      <c r="B20" s="62">
        <v>0.1</v>
      </c>
      <c r="C20" s="58">
        <f t="shared" ca="1" si="2"/>
        <v>0</v>
      </c>
      <c r="D20" s="58">
        <f t="shared" ca="1" si="2"/>
        <v>0</v>
      </c>
      <c r="E20" s="58">
        <f t="shared" ca="1" si="2"/>
        <v>0</v>
      </c>
      <c r="F20" s="58">
        <f t="shared" ca="1" si="2"/>
        <v>0</v>
      </c>
      <c r="G20" s="58">
        <f t="shared" ca="1" si="2"/>
        <v>0</v>
      </c>
      <c r="H20" s="58">
        <f t="shared" ca="1" si="2"/>
        <v>0</v>
      </c>
      <c r="I20" s="58">
        <f t="shared" ca="1" si="2"/>
        <v>0</v>
      </c>
      <c r="J20" s="58">
        <f t="shared" ca="1" si="2"/>
        <v>0</v>
      </c>
      <c r="K20" s="58">
        <f t="shared" ca="1" si="2"/>
        <v>0</v>
      </c>
      <c r="L20" s="58">
        <f t="shared" ca="1" si="2"/>
        <v>0</v>
      </c>
      <c r="M20" s="58">
        <f t="shared" ca="1" si="2"/>
        <v>0</v>
      </c>
      <c r="N20" s="58">
        <f t="shared" ca="1" si="2"/>
        <v>0</v>
      </c>
      <c r="O20" s="58">
        <f t="shared" ca="1" si="2"/>
        <v>1</v>
      </c>
      <c r="P20" s="58">
        <f t="shared" ref="P20:CA24" ca="1" si="10">IF((RANDBETWEEN(0,100)/100)&lt;$B20,1,0)</f>
        <v>1</v>
      </c>
      <c r="Q20" s="58">
        <f t="shared" ca="1" si="10"/>
        <v>0</v>
      </c>
      <c r="R20" s="58">
        <f t="shared" ca="1" si="10"/>
        <v>0</v>
      </c>
      <c r="S20" s="58">
        <f t="shared" ca="1" si="10"/>
        <v>0</v>
      </c>
      <c r="T20" s="58">
        <f t="shared" ca="1" si="10"/>
        <v>0</v>
      </c>
      <c r="U20" s="58">
        <f t="shared" ca="1" si="10"/>
        <v>0</v>
      </c>
      <c r="V20" s="58">
        <f t="shared" ca="1" si="10"/>
        <v>0</v>
      </c>
      <c r="W20" s="58">
        <f t="shared" ca="1" si="10"/>
        <v>0</v>
      </c>
      <c r="X20" s="58">
        <f t="shared" ca="1" si="10"/>
        <v>0</v>
      </c>
      <c r="Y20" s="58">
        <f t="shared" ca="1" si="10"/>
        <v>0</v>
      </c>
      <c r="Z20" s="58">
        <f t="shared" ca="1" si="10"/>
        <v>1</v>
      </c>
      <c r="AA20" s="58">
        <f t="shared" ca="1" si="10"/>
        <v>0</v>
      </c>
      <c r="AB20" s="58">
        <f t="shared" ca="1" si="10"/>
        <v>0</v>
      </c>
      <c r="AC20" s="58">
        <f t="shared" ca="1" si="10"/>
        <v>1</v>
      </c>
      <c r="AD20" s="58">
        <f t="shared" ca="1" si="10"/>
        <v>0</v>
      </c>
      <c r="AE20" s="58">
        <f t="shared" ca="1" si="10"/>
        <v>0</v>
      </c>
      <c r="AF20" s="58">
        <f t="shared" ca="1" si="10"/>
        <v>0</v>
      </c>
      <c r="AG20" s="58">
        <f t="shared" ca="1" si="10"/>
        <v>0</v>
      </c>
      <c r="AH20" s="58">
        <f t="shared" ca="1" si="10"/>
        <v>0</v>
      </c>
      <c r="AI20" s="58">
        <f t="shared" ca="1" si="10"/>
        <v>0</v>
      </c>
      <c r="AJ20" s="58">
        <f t="shared" ca="1" si="10"/>
        <v>0</v>
      </c>
      <c r="AK20" s="58">
        <f t="shared" ca="1" si="10"/>
        <v>0</v>
      </c>
      <c r="AL20" s="58">
        <f t="shared" ca="1" si="10"/>
        <v>0</v>
      </c>
      <c r="AM20" s="58">
        <f t="shared" ca="1" si="10"/>
        <v>0</v>
      </c>
      <c r="AN20" s="58">
        <f t="shared" ca="1" si="10"/>
        <v>0</v>
      </c>
      <c r="AO20" s="58">
        <f t="shared" ca="1" si="10"/>
        <v>0</v>
      </c>
      <c r="AP20" s="58">
        <f t="shared" ca="1" si="10"/>
        <v>0</v>
      </c>
      <c r="AQ20" s="58">
        <f t="shared" ca="1" si="10"/>
        <v>1</v>
      </c>
      <c r="AR20" s="58">
        <f t="shared" ca="1" si="10"/>
        <v>0</v>
      </c>
      <c r="AS20" s="58">
        <f t="shared" ca="1" si="10"/>
        <v>0</v>
      </c>
      <c r="AT20" s="58">
        <f t="shared" ca="1" si="10"/>
        <v>0</v>
      </c>
      <c r="AU20" s="58">
        <f t="shared" ca="1" si="10"/>
        <v>0</v>
      </c>
      <c r="AV20" s="58">
        <f t="shared" ca="1" si="10"/>
        <v>0</v>
      </c>
      <c r="AW20" s="58">
        <f t="shared" ca="1" si="10"/>
        <v>0</v>
      </c>
      <c r="AX20" s="58">
        <f t="shared" ca="1" si="10"/>
        <v>0</v>
      </c>
      <c r="AY20" s="58">
        <f t="shared" ca="1" si="10"/>
        <v>1</v>
      </c>
      <c r="AZ20" s="58">
        <f t="shared" ca="1" si="10"/>
        <v>0</v>
      </c>
      <c r="BA20" s="58">
        <f t="shared" ca="1" si="10"/>
        <v>0</v>
      </c>
      <c r="BB20" s="58">
        <f t="shared" ca="1" si="10"/>
        <v>1</v>
      </c>
      <c r="BC20" s="58">
        <f t="shared" ca="1" si="10"/>
        <v>1</v>
      </c>
      <c r="BD20" s="58">
        <f t="shared" ca="1" si="10"/>
        <v>1</v>
      </c>
      <c r="BE20" s="58">
        <f t="shared" ca="1" si="10"/>
        <v>0</v>
      </c>
      <c r="BF20" s="58">
        <f t="shared" ca="1" si="10"/>
        <v>0</v>
      </c>
      <c r="BG20" s="58">
        <f t="shared" ca="1" si="10"/>
        <v>0</v>
      </c>
      <c r="BH20" s="58">
        <f t="shared" ca="1" si="10"/>
        <v>0</v>
      </c>
      <c r="BI20" s="58">
        <f t="shared" ca="1" si="10"/>
        <v>0</v>
      </c>
      <c r="BJ20" s="58">
        <f t="shared" ca="1" si="10"/>
        <v>0</v>
      </c>
      <c r="BK20" s="58">
        <f t="shared" ca="1" si="10"/>
        <v>0</v>
      </c>
      <c r="BL20" s="58">
        <f t="shared" ca="1" si="10"/>
        <v>1</v>
      </c>
      <c r="BM20" s="58">
        <f t="shared" ca="1" si="10"/>
        <v>0</v>
      </c>
      <c r="BN20" s="58">
        <f t="shared" ca="1" si="10"/>
        <v>0</v>
      </c>
      <c r="BO20" s="58">
        <f t="shared" ca="1" si="10"/>
        <v>0</v>
      </c>
      <c r="BP20" s="58">
        <f t="shared" ca="1" si="10"/>
        <v>0</v>
      </c>
      <c r="BQ20" s="58">
        <f t="shared" ca="1" si="10"/>
        <v>0</v>
      </c>
      <c r="BR20" s="58">
        <f t="shared" ca="1" si="10"/>
        <v>0</v>
      </c>
      <c r="BS20" s="58">
        <f t="shared" ca="1" si="10"/>
        <v>0</v>
      </c>
      <c r="BT20" s="58">
        <f t="shared" ca="1" si="10"/>
        <v>0</v>
      </c>
      <c r="BU20" s="58">
        <f t="shared" ca="1" si="10"/>
        <v>0</v>
      </c>
      <c r="BV20" s="58">
        <f t="shared" ca="1" si="10"/>
        <v>0</v>
      </c>
      <c r="BW20" s="58">
        <f t="shared" ca="1" si="10"/>
        <v>0</v>
      </c>
      <c r="BX20" s="58">
        <f t="shared" ca="1" si="10"/>
        <v>0</v>
      </c>
      <c r="BY20" s="58">
        <f t="shared" ca="1" si="10"/>
        <v>0</v>
      </c>
      <c r="BZ20" s="58">
        <f t="shared" ca="1" si="10"/>
        <v>0</v>
      </c>
      <c r="CA20" s="58">
        <f t="shared" ca="1" si="10"/>
        <v>0</v>
      </c>
      <c r="CB20" s="58">
        <f t="shared" ref="CB20:CX32" ca="1" si="11">IF((RANDBETWEEN(0,100)/100)&lt;$B20,1,0)</f>
        <v>1</v>
      </c>
      <c r="CC20" s="58">
        <f t="shared" ca="1" si="11"/>
        <v>0</v>
      </c>
      <c r="CD20" s="58">
        <f t="shared" ca="1" si="11"/>
        <v>1</v>
      </c>
      <c r="CE20" s="58">
        <f t="shared" ca="1" si="11"/>
        <v>0</v>
      </c>
      <c r="CF20" s="58">
        <f t="shared" ca="1" si="11"/>
        <v>0</v>
      </c>
      <c r="CG20" s="58">
        <f t="shared" ca="1" si="11"/>
        <v>0</v>
      </c>
      <c r="CH20" s="58">
        <f t="shared" ca="1" si="11"/>
        <v>0</v>
      </c>
      <c r="CI20" s="58">
        <f t="shared" ca="1" si="11"/>
        <v>0</v>
      </c>
      <c r="CJ20" s="58">
        <f t="shared" ca="1" si="11"/>
        <v>0</v>
      </c>
      <c r="CK20" s="58">
        <f t="shared" ca="1" si="11"/>
        <v>0</v>
      </c>
      <c r="CL20" s="58">
        <f t="shared" ca="1" si="11"/>
        <v>1</v>
      </c>
      <c r="CM20" s="58">
        <f t="shared" ca="1" si="11"/>
        <v>1</v>
      </c>
      <c r="CN20" s="58">
        <f t="shared" ca="1" si="11"/>
        <v>0</v>
      </c>
      <c r="CO20" s="58">
        <f t="shared" ca="1" si="11"/>
        <v>0</v>
      </c>
      <c r="CP20" s="58">
        <f t="shared" ca="1" si="11"/>
        <v>0</v>
      </c>
      <c r="CQ20" s="58">
        <f t="shared" ca="1" si="11"/>
        <v>0</v>
      </c>
      <c r="CR20" s="58">
        <f t="shared" ca="1" si="11"/>
        <v>0</v>
      </c>
      <c r="CS20" s="58">
        <f t="shared" ca="1" si="11"/>
        <v>0</v>
      </c>
      <c r="CT20" s="58">
        <f t="shared" ca="1" si="11"/>
        <v>1</v>
      </c>
      <c r="CU20" s="58">
        <f t="shared" ca="1" si="11"/>
        <v>0</v>
      </c>
      <c r="CV20" s="58">
        <f t="shared" ca="1" si="11"/>
        <v>0</v>
      </c>
      <c r="CW20" s="58">
        <f t="shared" ca="1" si="11"/>
        <v>0</v>
      </c>
      <c r="CX20" s="58">
        <f t="shared" ca="1" si="11"/>
        <v>0</v>
      </c>
    </row>
    <row r="21" spans="1:102" ht="25.5" x14ac:dyDescent="0.25">
      <c r="A21" s="57" t="s">
        <v>810</v>
      </c>
      <c r="B21" s="62">
        <v>0.17</v>
      </c>
      <c r="C21" s="58">
        <f t="shared" ref="C21:R36" ca="1" si="12">IF((RANDBETWEEN(0,100)/100)&lt;$B21,1,0)</f>
        <v>0</v>
      </c>
      <c r="D21" s="58">
        <f t="shared" ca="1" si="12"/>
        <v>0</v>
      </c>
      <c r="E21" s="58">
        <f t="shared" ca="1" si="12"/>
        <v>0</v>
      </c>
      <c r="F21" s="58">
        <f t="shared" ca="1" si="12"/>
        <v>0</v>
      </c>
      <c r="G21" s="58">
        <f t="shared" ca="1" si="12"/>
        <v>1</v>
      </c>
      <c r="H21" s="58">
        <f t="shared" ca="1" si="12"/>
        <v>1</v>
      </c>
      <c r="I21" s="58">
        <f t="shared" ca="1" si="12"/>
        <v>0</v>
      </c>
      <c r="J21" s="58">
        <f t="shared" ca="1" si="12"/>
        <v>0</v>
      </c>
      <c r="K21" s="58">
        <f t="shared" ca="1" si="12"/>
        <v>0</v>
      </c>
      <c r="L21" s="58">
        <f t="shared" ca="1" si="12"/>
        <v>1</v>
      </c>
      <c r="M21" s="58">
        <f t="shared" ca="1" si="12"/>
        <v>0</v>
      </c>
      <c r="N21" s="58">
        <f t="shared" ca="1" si="12"/>
        <v>0</v>
      </c>
      <c r="O21" s="58">
        <f t="shared" ca="1" si="12"/>
        <v>0</v>
      </c>
      <c r="P21" s="58">
        <f t="shared" ca="1" si="12"/>
        <v>1</v>
      </c>
      <c r="Q21" s="58">
        <f t="shared" ca="1" si="12"/>
        <v>0</v>
      </c>
      <c r="R21" s="58">
        <f t="shared" ca="1" si="12"/>
        <v>0</v>
      </c>
      <c r="S21" s="58">
        <f t="shared" ca="1" si="10"/>
        <v>0</v>
      </c>
      <c r="T21" s="58">
        <f t="shared" ca="1" si="10"/>
        <v>1</v>
      </c>
      <c r="U21" s="58">
        <f t="shared" ca="1" si="10"/>
        <v>0</v>
      </c>
      <c r="V21" s="58">
        <f t="shared" ca="1" si="10"/>
        <v>0</v>
      </c>
      <c r="W21" s="58">
        <f t="shared" ca="1" si="10"/>
        <v>1</v>
      </c>
      <c r="X21" s="58">
        <f t="shared" ca="1" si="10"/>
        <v>1</v>
      </c>
      <c r="Y21" s="58">
        <f t="shared" ca="1" si="10"/>
        <v>0</v>
      </c>
      <c r="Z21" s="58">
        <f t="shared" ca="1" si="10"/>
        <v>0</v>
      </c>
      <c r="AA21" s="58">
        <f t="shared" ca="1" si="10"/>
        <v>0</v>
      </c>
      <c r="AB21" s="58">
        <f t="shared" ca="1" si="10"/>
        <v>0</v>
      </c>
      <c r="AC21" s="58">
        <f t="shared" ca="1" si="10"/>
        <v>0</v>
      </c>
      <c r="AD21" s="58">
        <f t="shared" ca="1" si="10"/>
        <v>0</v>
      </c>
      <c r="AE21" s="58">
        <f t="shared" ca="1" si="10"/>
        <v>0</v>
      </c>
      <c r="AF21" s="58">
        <f t="shared" ca="1" si="10"/>
        <v>0</v>
      </c>
      <c r="AG21" s="58">
        <f t="shared" ca="1" si="10"/>
        <v>0</v>
      </c>
      <c r="AH21" s="58">
        <f t="shared" ca="1" si="10"/>
        <v>0</v>
      </c>
      <c r="AI21" s="58">
        <f t="shared" ca="1" si="10"/>
        <v>0</v>
      </c>
      <c r="AJ21" s="58">
        <f t="shared" ca="1" si="10"/>
        <v>0</v>
      </c>
      <c r="AK21" s="58">
        <f t="shared" ca="1" si="10"/>
        <v>0</v>
      </c>
      <c r="AL21" s="58">
        <f t="shared" ca="1" si="10"/>
        <v>0</v>
      </c>
      <c r="AM21" s="58">
        <f t="shared" ca="1" si="10"/>
        <v>0</v>
      </c>
      <c r="AN21" s="58">
        <f t="shared" ca="1" si="10"/>
        <v>0</v>
      </c>
      <c r="AO21" s="58">
        <f t="shared" ca="1" si="10"/>
        <v>0</v>
      </c>
      <c r="AP21" s="58">
        <f t="shared" ca="1" si="10"/>
        <v>0</v>
      </c>
      <c r="AQ21" s="58">
        <f t="shared" ca="1" si="10"/>
        <v>0</v>
      </c>
      <c r="AR21" s="58">
        <f t="shared" ca="1" si="10"/>
        <v>0</v>
      </c>
      <c r="AS21" s="58">
        <f t="shared" ca="1" si="10"/>
        <v>1</v>
      </c>
      <c r="AT21" s="58">
        <f t="shared" ca="1" si="10"/>
        <v>0</v>
      </c>
      <c r="AU21" s="58">
        <f t="shared" ca="1" si="10"/>
        <v>0</v>
      </c>
      <c r="AV21" s="58">
        <f t="shared" ca="1" si="10"/>
        <v>1</v>
      </c>
      <c r="AW21" s="58">
        <f t="shared" ca="1" si="10"/>
        <v>0</v>
      </c>
      <c r="AX21" s="58">
        <f t="shared" ca="1" si="10"/>
        <v>0</v>
      </c>
      <c r="AY21" s="58">
        <f t="shared" ca="1" si="10"/>
        <v>0</v>
      </c>
      <c r="AZ21" s="58">
        <f t="shared" ca="1" si="10"/>
        <v>0</v>
      </c>
      <c r="BA21" s="58">
        <f t="shared" ca="1" si="10"/>
        <v>0</v>
      </c>
      <c r="BB21" s="58">
        <f t="shared" ca="1" si="10"/>
        <v>0</v>
      </c>
      <c r="BC21" s="58">
        <f t="shared" ca="1" si="10"/>
        <v>0</v>
      </c>
      <c r="BD21" s="58">
        <f t="shared" ca="1" si="10"/>
        <v>0</v>
      </c>
      <c r="BE21" s="58">
        <f t="shared" ca="1" si="10"/>
        <v>0</v>
      </c>
      <c r="BF21" s="58">
        <f t="shared" ca="1" si="10"/>
        <v>0</v>
      </c>
      <c r="BG21" s="58">
        <f t="shared" ca="1" si="10"/>
        <v>0</v>
      </c>
      <c r="BH21" s="58">
        <f t="shared" ca="1" si="10"/>
        <v>1</v>
      </c>
      <c r="BI21" s="58">
        <f t="shared" ca="1" si="10"/>
        <v>0</v>
      </c>
      <c r="BJ21" s="58">
        <f t="shared" ca="1" si="10"/>
        <v>0</v>
      </c>
      <c r="BK21" s="58">
        <f t="shared" ca="1" si="10"/>
        <v>0</v>
      </c>
      <c r="BL21" s="58">
        <f t="shared" ca="1" si="10"/>
        <v>0</v>
      </c>
      <c r="BM21" s="58">
        <f t="shared" ca="1" si="10"/>
        <v>0</v>
      </c>
      <c r="BN21" s="58">
        <f t="shared" ca="1" si="10"/>
        <v>0</v>
      </c>
      <c r="BO21" s="58">
        <f t="shared" ca="1" si="10"/>
        <v>0</v>
      </c>
      <c r="BP21" s="58">
        <f t="shared" ca="1" si="10"/>
        <v>0</v>
      </c>
      <c r="BQ21" s="58">
        <f t="shared" ca="1" si="10"/>
        <v>0</v>
      </c>
      <c r="BR21" s="58">
        <f t="shared" ca="1" si="10"/>
        <v>1</v>
      </c>
      <c r="BS21" s="58">
        <f t="shared" ca="1" si="10"/>
        <v>0</v>
      </c>
      <c r="BT21" s="58">
        <f t="shared" ca="1" si="10"/>
        <v>0</v>
      </c>
      <c r="BU21" s="58">
        <f t="shared" ca="1" si="10"/>
        <v>1</v>
      </c>
      <c r="BV21" s="58">
        <f t="shared" ca="1" si="10"/>
        <v>0</v>
      </c>
      <c r="BW21" s="58">
        <f t="shared" ca="1" si="10"/>
        <v>0</v>
      </c>
      <c r="BX21" s="58">
        <f t="shared" ca="1" si="10"/>
        <v>0</v>
      </c>
      <c r="BY21" s="58">
        <f t="shared" ca="1" si="10"/>
        <v>0</v>
      </c>
      <c r="BZ21" s="58">
        <f t="shared" ca="1" si="10"/>
        <v>1</v>
      </c>
      <c r="CA21" s="58">
        <f t="shared" ca="1" si="10"/>
        <v>0</v>
      </c>
      <c r="CB21" s="58">
        <f t="shared" ca="1" si="11"/>
        <v>0</v>
      </c>
      <c r="CC21" s="58">
        <f t="shared" ca="1" si="11"/>
        <v>0</v>
      </c>
      <c r="CD21" s="58">
        <f t="shared" ca="1" si="11"/>
        <v>0</v>
      </c>
      <c r="CE21" s="58">
        <f t="shared" ca="1" si="11"/>
        <v>0</v>
      </c>
      <c r="CF21" s="58">
        <f t="shared" ca="1" si="11"/>
        <v>0</v>
      </c>
      <c r="CG21" s="58">
        <f t="shared" ca="1" si="11"/>
        <v>0</v>
      </c>
      <c r="CH21" s="58">
        <f t="shared" ca="1" si="11"/>
        <v>0</v>
      </c>
      <c r="CI21" s="58">
        <f t="shared" ca="1" si="11"/>
        <v>1</v>
      </c>
      <c r="CJ21" s="58">
        <f t="shared" ca="1" si="11"/>
        <v>0</v>
      </c>
      <c r="CK21" s="58">
        <f t="shared" ca="1" si="11"/>
        <v>0</v>
      </c>
      <c r="CL21" s="58">
        <f t="shared" ca="1" si="11"/>
        <v>0</v>
      </c>
      <c r="CM21" s="58">
        <f t="shared" ca="1" si="11"/>
        <v>1</v>
      </c>
      <c r="CN21" s="58">
        <f t="shared" ca="1" si="11"/>
        <v>0</v>
      </c>
      <c r="CO21" s="58">
        <f t="shared" ca="1" si="11"/>
        <v>0</v>
      </c>
      <c r="CP21" s="58">
        <f t="shared" ca="1" si="11"/>
        <v>0</v>
      </c>
      <c r="CQ21" s="58">
        <f t="shared" ca="1" si="11"/>
        <v>0</v>
      </c>
      <c r="CR21" s="58">
        <f t="shared" ca="1" si="11"/>
        <v>0</v>
      </c>
      <c r="CS21" s="58">
        <f t="shared" ca="1" si="11"/>
        <v>1</v>
      </c>
      <c r="CT21" s="58">
        <f t="shared" ca="1" si="11"/>
        <v>0</v>
      </c>
      <c r="CU21" s="58">
        <f t="shared" ca="1" si="11"/>
        <v>0</v>
      </c>
      <c r="CV21" s="58">
        <f t="shared" ca="1" si="11"/>
        <v>1</v>
      </c>
      <c r="CW21" s="58">
        <f t="shared" ca="1" si="11"/>
        <v>0</v>
      </c>
      <c r="CX21" s="58">
        <f t="shared" ca="1" si="11"/>
        <v>1</v>
      </c>
    </row>
    <row r="22" spans="1:102" x14ac:dyDescent="0.25">
      <c r="A22" s="57" t="s">
        <v>844</v>
      </c>
      <c r="B22" s="62">
        <v>0.24</v>
      </c>
      <c r="C22" s="58">
        <f t="shared" ca="1" si="12"/>
        <v>0</v>
      </c>
      <c r="D22" s="58">
        <f t="shared" ca="1" si="12"/>
        <v>0</v>
      </c>
      <c r="E22" s="58">
        <f t="shared" ca="1" si="12"/>
        <v>1</v>
      </c>
      <c r="F22" s="58">
        <f t="shared" ca="1" si="12"/>
        <v>0</v>
      </c>
      <c r="G22" s="58">
        <f t="shared" ca="1" si="12"/>
        <v>0</v>
      </c>
      <c r="H22" s="58">
        <f t="shared" ca="1" si="12"/>
        <v>0</v>
      </c>
      <c r="I22" s="58">
        <f t="shared" ca="1" si="12"/>
        <v>0</v>
      </c>
      <c r="J22" s="58">
        <f t="shared" ca="1" si="12"/>
        <v>0</v>
      </c>
      <c r="K22" s="58">
        <f t="shared" ca="1" si="12"/>
        <v>0</v>
      </c>
      <c r="L22" s="58">
        <f t="shared" ca="1" si="12"/>
        <v>0</v>
      </c>
      <c r="M22" s="58">
        <f t="shared" ca="1" si="12"/>
        <v>0</v>
      </c>
      <c r="N22" s="58">
        <f t="shared" ca="1" si="12"/>
        <v>0</v>
      </c>
      <c r="O22" s="58">
        <f t="shared" ca="1" si="12"/>
        <v>0</v>
      </c>
      <c r="P22" s="58">
        <f t="shared" ca="1" si="12"/>
        <v>0</v>
      </c>
      <c r="Q22" s="58">
        <f t="shared" ca="1" si="12"/>
        <v>0</v>
      </c>
      <c r="R22" s="58">
        <f t="shared" ca="1" si="12"/>
        <v>1</v>
      </c>
      <c r="S22" s="58">
        <f t="shared" ca="1" si="10"/>
        <v>0</v>
      </c>
      <c r="T22" s="58">
        <f t="shared" ca="1" si="10"/>
        <v>0</v>
      </c>
      <c r="U22" s="58">
        <f t="shared" ca="1" si="10"/>
        <v>0</v>
      </c>
      <c r="V22" s="58">
        <f t="shared" ca="1" si="10"/>
        <v>1</v>
      </c>
      <c r="W22" s="58">
        <f t="shared" ca="1" si="10"/>
        <v>0</v>
      </c>
      <c r="X22" s="58">
        <f t="shared" ca="1" si="10"/>
        <v>0</v>
      </c>
      <c r="Y22" s="58">
        <f t="shared" ca="1" si="10"/>
        <v>0</v>
      </c>
      <c r="Z22" s="58">
        <f t="shared" ca="1" si="10"/>
        <v>1</v>
      </c>
      <c r="AA22" s="58">
        <f t="shared" ca="1" si="10"/>
        <v>1</v>
      </c>
      <c r="AB22" s="58">
        <f t="shared" ca="1" si="10"/>
        <v>1</v>
      </c>
      <c r="AC22" s="58">
        <f t="shared" ca="1" si="10"/>
        <v>0</v>
      </c>
      <c r="AD22" s="58">
        <f t="shared" ca="1" si="10"/>
        <v>0</v>
      </c>
      <c r="AE22" s="58">
        <f t="shared" ca="1" si="10"/>
        <v>0</v>
      </c>
      <c r="AF22" s="58">
        <f t="shared" ca="1" si="10"/>
        <v>0</v>
      </c>
      <c r="AG22" s="58">
        <f t="shared" ca="1" si="10"/>
        <v>1</v>
      </c>
      <c r="AH22" s="58">
        <f t="shared" ca="1" si="10"/>
        <v>0</v>
      </c>
      <c r="AI22" s="58">
        <f t="shared" ca="1" si="10"/>
        <v>0</v>
      </c>
      <c r="AJ22" s="58">
        <f t="shared" ca="1" si="10"/>
        <v>0</v>
      </c>
      <c r="AK22" s="58">
        <f t="shared" ca="1" si="10"/>
        <v>0</v>
      </c>
      <c r="AL22" s="58">
        <f t="shared" ca="1" si="10"/>
        <v>1</v>
      </c>
      <c r="AM22" s="58">
        <f t="shared" ca="1" si="10"/>
        <v>0</v>
      </c>
      <c r="AN22" s="58">
        <f t="shared" ca="1" si="10"/>
        <v>0</v>
      </c>
      <c r="AO22" s="58">
        <f t="shared" ca="1" si="10"/>
        <v>0</v>
      </c>
      <c r="AP22" s="58">
        <f t="shared" ca="1" si="10"/>
        <v>0</v>
      </c>
      <c r="AQ22" s="58">
        <f t="shared" ca="1" si="10"/>
        <v>0</v>
      </c>
      <c r="AR22" s="58">
        <f t="shared" ca="1" si="10"/>
        <v>0</v>
      </c>
      <c r="AS22" s="58">
        <f t="shared" ca="1" si="10"/>
        <v>0</v>
      </c>
      <c r="AT22" s="58">
        <f t="shared" ca="1" si="10"/>
        <v>0</v>
      </c>
      <c r="AU22" s="58">
        <f t="shared" ca="1" si="10"/>
        <v>0</v>
      </c>
      <c r="AV22" s="58">
        <f t="shared" ca="1" si="10"/>
        <v>1</v>
      </c>
      <c r="AW22" s="58">
        <f t="shared" ca="1" si="10"/>
        <v>0</v>
      </c>
      <c r="AX22" s="58">
        <f t="shared" ca="1" si="10"/>
        <v>0</v>
      </c>
      <c r="AY22" s="58">
        <f t="shared" ca="1" si="10"/>
        <v>0</v>
      </c>
      <c r="AZ22" s="58">
        <f t="shared" ca="1" si="10"/>
        <v>0</v>
      </c>
      <c r="BA22" s="58">
        <f t="shared" ca="1" si="10"/>
        <v>0</v>
      </c>
      <c r="BB22" s="58">
        <f t="shared" ca="1" si="10"/>
        <v>0</v>
      </c>
      <c r="BC22" s="58">
        <f t="shared" ca="1" si="10"/>
        <v>1</v>
      </c>
      <c r="BD22" s="58">
        <f t="shared" ca="1" si="10"/>
        <v>1</v>
      </c>
      <c r="BE22" s="58">
        <f t="shared" ca="1" si="10"/>
        <v>0</v>
      </c>
      <c r="BF22" s="58">
        <f t="shared" ca="1" si="10"/>
        <v>0</v>
      </c>
      <c r="BG22" s="58">
        <f t="shared" ca="1" si="10"/>
        <v>0</v>
      </c>
      <c r="BH22" s="58">
        <f t="shared" ca="1" si="10"/>
        <v>0</v>
      </c>
      <c r="BI22" s="58">
        <f t="shared" ca="1" si="10"/>
        <v>0</v>
      </c>
      <c r="BJ22" s="58">
        <f t="shared" ca="1" si="10"/>
        <v>0</v>
      </c>
      <c r="BK22" s="58">
        <f t="shared" ca="1" si="10"/>
        <v>0</v>
      </c>
      <c r="BL22" s="58">
        <f t="shared" ca="1" si="10"/>
        <v>0</v>
      </c>
      <c r="BM22" s="58">
        <f t="shared" ca="1" si="10"/>
        <v>0</v>
      </c>
      <c r="BN22" s="58">
        <f t="shared" ca="1" si="10"/>
        <v>0</v>
      </c>
      <c r="BO22" s="58">
        <f t="shared" ca="1" si="10"/>
        <v>0</v>
      </c>
      <c r="BP22" s="58">
        <f t="shared" ca="1" si="10"/>
        <v>0</v>
      </c>
      <c r="BQ22" s="58">
        <f t="shared" ca="1" si="10"/>
        <v>0</v>
      </c>
      <c r="BR22" s="58">
        <f t="shared" ca="1" si="10"/>
        <v>0</v>
      </c>
      <c r="BS22" s="58">
        <f t="shared" ca="1" si="10"/>
        <v>0</v>
      </c>
      <c r="BT22" s="58">
        <f t="shared" ca="1" si="10"/>
        <v>0</v>
      </c>
      <c r="BU22" s="58">
        <f t="shared" ca="1" si="10"/>
        <v>1</v>
      </c>
      <c r="BV22" s="58">
        <f t="shared" ca="1" si="10"/>
        <v>0</v>
      </c>
      <c r="BW22" s="58">
        <f t="shared" ca="1" si="10"/>
        <v>0</v>
      </c>
      <c r="BX22" s="58">
        <f t="shared" ca="1" si="10"/>
        <v>0</v>
      </c>
      <c r="BY22" s="58">
        <f t="shared" ca="1" si="10"/>
        <v>0</v>
      </c>
      <c r="BZ22" s="58">
        <f t="shared" ca="1" si="10"/>
        <v>0</v>
      </c>
      <c r="CA22" s="58">
        <f t="shared" ca="1" si="10"/>
        <v>0</v>
      </c>
      <c r="CB22" s="58">
        <f t="shared" ca="1" si="11"/>
        <v>0</v>
      </c>
      <c r="CC22" s="58">
        <f t="shared" ca="1" si="11"/>
        <v>1</v>
      </c>
      <c r="CD22" s="58">
        <f t="shared" ca="1" si="11"/>
        <v>0</v>
      </c>
      <c r="CE22" s="58">
        <f t="shared" ca="1" si="11"/>
        <v>0</v>
      </c>
      <c r="CF22" s="58">
        <f t="shared" ca="1" si="11"/>
        <v>0</v>
      </c>
      <c r="CG22" s="58">
        <f t="shared" ca="1" si="11"/>
        <v>0</v>
      </c>
      <c r="CH22" s="58">
        <f t="shared" ca="1" si="11"/>
        <v>0</v>
      </c>
      <c r="CI22" s="58">
        <f t="shared" ca="1" si="11"/>
        <v>0</v>
      </c>
      <c r="CJ22" s="58">
        <f t="shared" ca="1" si="11"/>
        <v>0</v>
      </c>
      <c r="CK22" s="58">
        <f t="shared" ca="1" si="11"/>
        <v>0</v>
      </c>
      <c r="CL22" s="58">
        <f t="shared" ca="1" si="11"/>
        <v>0</v>
      </c>
      <c r="CM22" s="58">
        <f t="shared" ca="1" si="11"/>
        <v>0</v>
      </c>
      <c r="CN22" s="58">
        <f t="shared" ca="1" si="11"/>
        <v>1</v>
      </c>
      <c r="CO22" s="58">
        <f t="shared" ca="1" si="11"/>
        <v>0</v>
      </c>
      <c r="CP22" s="58">
        <f t="shared" ca="1" si="11"/>
        <v>0</v>
      </c>
      <c r="CQ22" s="58">
        <f t="shared" ca="1" si="11"/>
        <v>0</v>
      </c>
      <c r="CR22" s="58">
        <f t="shared" ca="1" si="11"/>
        <v>0</v>
      </c>
      <c r="CS22" s="58">
        <f t="shared" ca="1" si="11"/>
        <v>1</v>
      </c>
      <c r="CT22" s="58">
        <f t="shared" ca="1" si="11"/>
        <v>0</v>
      </c>
      <c r="CU22" s="58">
        <f t="shared" ca="1" si="11"/>
        <v>0</v>
      </c>
      <c r="CV22" s="58">
        <f t="shared" ca="1" si="11"/>
        <v>0</v>
      </c>
      <c r="CW22" s="58">
        <f t="shared" ca="1" si="11"/>
        <v>1</v>
      </c>
      <c r="CX22" s="58">
        <f t="shared" ca="1" si="11"/>
        <v>0</v>
      </c>
    </row>
    <row r="23" spans="1:102" x14ac:dyDescent="0.25">
      <c r="A23" s="57" t="s">
        <v>811</v>
      </c>
      <c r="B23" s="62">
        <v>0.1</v>
      </c>
      <c r="C23" s="58">
        <f t="shared" ca="1" si="12"/>
        <v>0</v>
      </c>
      <c r="D23" s="58">
        <f t="shared" ca="1" si="12"/>
        <v>0</v>
      </c>
      <c r="E23" s="58">
        <f t="shared" ca="1" si="12"/>
        <v>0</v>
      </c>
      <c r="F23" s="58">
        <f t="shared" ca="1" si="12"/>
        <v>0</v>
      </c>
      <c r="G23" s="58">
        <f t="shared" ca="1" si="12"/>
        <v>0</v>
      </c>
      <c r="H23" s="58">
        <f t="shared" ca="1" si="12"/>
        <v>0</v>
      </c>
      <c r="I23" s="58">
        <f t="shared" ca="1" si="12"/>
        <v>0</v>
      </c>
      <c r="J23" s="58">
        <f t="shared" ca="1" si="12"/>
        <v>0</v>
      </c>
      <c r="K23" s="58">
        <f t="shared" ca="1" si="12"/>
        <v>0</v>
      </c>
      <c r="L23" s="58">
        <f t="shared" ca="1" si="12"/>
        <v>0</v>
      </c>
      <c r="M23" s="58">
        <f t="shared" ca="1" si="12"/>
        <v>1</v>
      </c>
      <c r="N23" s="58">
        <f t="shared" ca="1" si="12"/>
        <v>0</v>
      </c>
      <c r="O23" s="58">
        <f t="shared" ca="1" si="12"/>
        <v>0</v>
      </c>
      <c r="P23" s="58">
        <f t="shared" ca="1" si="12"/>
        <v>0</v>
      </c>
      <c r="Q23" s="58">
        <f t="shared" ca="1" si="12"/>
        <v>0</v>
      </c>
      <c r="R23" s="58">
        <f t="shared" ca="1" si="12"/>
        <v>0</v>
      </c>
      <c r="S23" s="58">
        <f t="shared" ca="1" si="10"/>
        <v>1</v>
      </c>
      <c r="T23" s="58">
        <f t="shared" ca="1" si="10"/>
        <v>0</v>
      </c>
      <c r="U23" s="58">
        <f t="shared" ca="1" si="10"/>
        <v>0</v>
      </c>
      <c r="V23" s="58">
        <f t="shared" ca="1" si="10"/>
        <v>0</v>
      </c>
      <c r="W23" s="58">
        <f t="shared" ca="1" si="10"/>
        <v>0</v>
      </c>
      <c r="X23" s="58">
        <f t="shared" ca="1" si="10"/>
        <v>0</v>
      </c>
      <c r="Y23" s="58">
        <f t="shared" ca="1" si="10"/>
        <v>0</v>
      </c>
      <c r="Z23" s="58">
        <f t="shared" ca="1" si="10"/>
        <v>0</v>
      </c>
      <c r="AA23" s="58">
        <f t="shared" ca="1" si="10"/>
        <v>0</v>
      </c>
      <c r="AB23" s="58">
        <f t="shared" ca="1" si="10"/>
        <v>0</v>
      </c>
      <c r="AC23" s="58">
        <f t="shared" ca="1" si="10"/>
        <v>0</v>
      </c>
      <c r="AD23" s="58">
        <f t="shared" ca="1" si="10"/>
        <v>0</v>
      </c>
      <c r="AE23" s="58">
        <f t="shared" ca="1" si="10"/>
        <v>1</v>
      </c>
      <c r="AF23" s="58">
        <f t="shared" ca="1" si="10"/>
        <v>0</v>
      </c>
      <c r="AG23" s="58">
        <f t="shared" ca="1" si="10"/>
        <v>0</v>
      </c>
      <c r="AH23" s="58">
        <f t="shared" ca="1" si="10"/>
        <v>0</v>
      </c>
      <c r="AI23" s="58">
        <f t="shared" ca="1" si="10"/>
        <v>0</v>
      </c>
      <c r="AJ23" s="58">
        <f t="shared" ca="1" si="10"/>
        <v>0</v>
      </c>
      <c r="AK23" s="58">
        <f t="shared" ca="1" si="10"/>
        <v>0</v>
      </c>
      <c r="AL23" s="58">
        <f t="shared" ca="1" si="10"/>
        <v>0</v>
      </c>
      <c r="AM23" s="58">
        <f t="shared" ca="1" si="10"/>
        <v>0</v>
      </c>
      <c r="AN23" s="58">
        <f t="shared" ca="1" si="10"/>
        <v>0</v>
      </c>
      <c r="AO23" s="58">
        <f t="shared" ca="1" si="10"/>
        <v>0</v>
      </c>
      <c r="AP23" s="58">
        <f t="shared" ca="1" si="10"/>
        <v>0</v>
      </c>
      <c r="AQ23" s="58">
        <f t="shared" ca="1" si="10"/>
        <v>0</v>
      </c>
      <c r="AR23" s="58">
        <f t="shared" ca="1" si="10"/>
        <v>0</v>
      </c>
      <c r="AS23" s="58">
        <f t="shared" ca="1" si="10"/>
        <v>0</v>
      </c>
      <c r="AT23" s="58">
        <f t="shared" ca="1" si="10"/>
        <v>0</v>
      </c>
      <c r="AU23" s="58">
        <f t="shared" ca="1" si="10"/>
        <v>0</v>
      </c>
      <c r="AV23" s="58">
        <f t="shared" ca="1" si="10"/>
        <v>0</v>
      </c>
      <c r="AW23" s="58">
        <f t="shared" ca="1" si="10"/>
        <v>0</v>
      </c>
      <c r="AX23" s="58">
        <f t="shared" ca="1" si="10"/>
        <v>0</v>
      </c>
      <c r="AY23" s="58">
        <f t="shared" ca="1" si="10"/>
        <v>0</v>
      </c>
      <c r="AZ23" s="58">
        <f t="shared" ca="1" si="10"/>
        <v>0</v>
      </c>
      <c r="BA23" s="58">
        <f t="shared" ca="1" si="10"/>
        <v>1</v>
      </c>
      <c r="BB23" s="58">
        <f t="shared" ca="1" si="10"/>
        <v>0</v>
      </c>
      <c r="BC23" s="58">
        <f t="shared" ca="1" si="10"/>
        <v>0</v>
      </c>
      <c r="BD23" s="58">
        <f t="shared" ca="1" si="10"/>
        <v>0</v>
      </c>
      <c r="BE23" s="58">
        <f t="shared" ca="1" si="10"/>
        <v>0</v>
      </c>
      <c r="BF23" s="58">
        <f t="shared" ca="1" si="10"/>
        <v>1</v>
      </c>
      <c r="BG23" s="58">
        <f t="shared" ca="1" si="10"/>
        <v>0</v>
      </c>
      <c r="BH23" s="58">
        <f t="shared" ca="1" si="10"/>
        <v>0</v>
      </c>
      <c r="BI23" s="58">
        <f t="shared" ca="1" si="10"/>
        <v>1</v>
      </c>
      <c r="BJ23" s="58">
        <f t="shared" ca="1" si="10"/>
        <v>0</v>
      </c>
      <c r="BK23" s="58">
        <f t="shared" ca="1" si="10"/>
        <v>0</v>
      </c>
      <c r="BL23" s="58">
        <f t="shared" ca="1" si="10"/>
        <v>0</v>
      </c>
      <c r="BM23" s="58">
        <f t="shared" ca="1" si="10"/>
        <v>0</v>
      </c>
      <c r="BN23" s="58">
        <f t="shared" ca="1" si="10"/>
        <v>0</v>
      </c>
      <c r="BO23" s="58">
        <f t="shared" ca="1" si="10"/>
        <v>0</v>
      </c>
      <c r="BP23" s="58">
        <f t="shared" ca="1" si="10"/>
        <v>0</v>
      </c>
      <c r="BQ23" s="58">
        <f t="shared" ca="1" si="10"/>
        <v>0</v>
      </c>
      <c r="BR23" s="58">
        <f t="shared" ca="1" si="10"/>
        <v>0</v>
      </c>
      <c r="BS23" s="58">
        <f t="shared" ca="1" si="10"/>
        <v>0</v>
      </c>
      <c r="BT23" s="58">
        <f t="shared" ca="1" si="10"/>
        <v>0</v>
      </c>
      <c r="BU23" s="58">
        <f t="shared" ca="1" si="10"/>
        <v>0</v>
      </c>
      <c r="BV23" s="58">
        <f t="shared" ca="1" si="10"/>
        <v>1</v>
      </c>
      <c r="BW23" s="58">
        <f t="shared" ca="1" si="10"/>
        <v>0</v>
      </c>
      <c r="BX23" s="58">
        <f t="shared" ca="1" si="10"/>
        <v>0</v>
      </c>
      <c r="BY23" s="58">
        <f t="shared" ca="1" si="10"/>
        <v>0</v>
      </c>
      <c r="BZ23" s="58">
        <f t="shared" ca="1" si="10"/>
        <v>0</v>
      </c>
      <c r="CA23" s="58">
        <f t="shared" ca="1" si="10"/>
        <v>0</v>
      </c>
      <c r="CB23" s="58">
        <f t="shared" ca="1" si="11"/>
        <v>0</v>
      </c>
      <c r="CC23" s="58">
        <f t="shared" ca="1" si="11"/>
        <v>1</v>
      </c>
      <c r="CD23" s="58">
        <f t="shared" ca="1" si="11"/>
        <v>0</v>
      </c>
      <c r="CE23" s="58">
        <f t="shared" ca="1" si="11"/>
        <v>0</v>
      </c>
      <c r="CF23" s="58">
        <f t="shared" ca="1" si="11"/>
        <v>0</v>
      </c>
      <c r="CG23" s="58">
        <f t="shared" ca="1" si="11"/>
        <v>0</v>
      </c>
      <c r="CH23" s="58">
        <f t="shared" ca="1" si="11"/>
        <v>0</v>
      </c>
      <c r="CI23" s="58">
        <f t="shared" ca="1" si="11"/>
        <v>0</v>
      </c>
      <c r="CJ23" s="58">
        <f t="shared" ca="1" si="11"/>
        <v>0</v>
      </c>
      <c r="CK23" s="58">
        <f t="shared" ca="1" si="11"/>
        <v>0</v>
      </c>
      <c r="CL23" s="58">
        <f t="shared" ca="1" si="11"/>
        <v>0</v>
      </c>
      <c r="CM23" s="58">
        <f t="shared" ca="1" si="11"/>
        <v>0</v>
      </c>
      <c r="CN23" s="58">
        <f t="shared" ca="1" si="11"/>
        <v>0</v>
      </c>
      <c r="CO23" s="58">
        <f t="shared" ca="1" si="11"/>
        <v>0</v>
      </c>
      <c r="CP23" s="58">
        <f t="shared" ca="1" si="11"/>
        <v>0</v>
      </c>
      <c r="CQ23" s="58">
        <f t="shared" ca="1" si="11"/>
        <v>0</v>
      </c>
      <c r="CR23" s="58">
        <f t="shared" ca="1" si="11"/>
        <v>1</v>
      </c>
      <c r="CS23" s="58">
        <f t="shared" ca="1" si="11"/>
        <v>0</v>
      </c>
      <c r="CT23" s="58">
        <f t="shared" ca="1" si="11"/>
        <v>0</v>
      </c>
      <c r="CU23" s="58">
        <f t="shared" ca="1" si="11"/>
        <v>0</v>
      </c>
      <c r="CV23" s="58">
        <f t="shared" ca="1" si="11"/>
        <v>0</v>
      </c>
      <c r="CW23" s="58">
        <f t="shared" ca="1" si="11"/>
        <v>0</v>
      </c>
      <c r="CX23" s="58">
        <f t="shared" ca="1" si="11"/>
        <v>0</v>
      </c>
    </row>
    <row r="24" spans="1:102" x14ac:dyDescent="0.25">
      <c r="A24" s="57" t="s">
        <v>812</v>
      </c>
      <c r="B24" s="62">
        <v>0.25</v>
      </c>
      <c r="C24" s="58">
        <f t="shared" ca="1" si="12"/>
        <v>1</v>
      </c>
      <c r="D24" s="58">
        <f t="shared" ca="1" si="12"/>
        <v>0</v>
      </c>
      <c r="E24" s="58">
        <f t="shared" ca="1" si="12"/>
        <v>1</v>
      </c>
      <c r="F24" s="58">
        <f t="shared" ca="1" si="12"/>
        <v>0</v>
      </c>
      <c r="G24" s="58">
        <f t="shared" ca="1" si="12"/>
        <v>0</v>
      </c>
      <c r="H24" s="58">
        <f t="shared" ca="1" si="12"/>
        <v>0</v>
      </c>
      <c r="I24" s="58">
        <f t="shared" ca="1" si="12"/>
        <v>0</v>
      </c>
      <c r="J24" s="58">
        <f t="shared" ca="1" si="12"/>
        <v>0</v>
      </c>
      <c r="K24" s="58">
        <f t="shared" ca="1" si="12"/>
        <v>0</v>
      </c>
      <c r="L24" s="58">
        <f t="shared" ca="1" si="12"/>
        <v>0</v>
      </c>
      <c r="M24" s="58">
        <f t="shared" ca="1" si="12"/>
        <v>0</v>
      </c>
      <c r="N24" s="58">
        <f t="shared" ca="1" si="12"/>
        <v>0</v>
      </c>
      <c r="O24" s="58">
        <f t="shared" ca="1" si="12"/>
        <v>0</v>
      </c>
      <c r="P24" s="58">
        <f t="shared" ca="1" si="12"/>
        <v>0</v>
      </c>
      <c r="Q24" s="58">
        <f t="shared" ca="1" si="12"/>
        <v>0</v>
      </c>
      <c r="R24" s="58">
        <f t="shared" ca="1" si="12"/>
        <v>1</v>
      </c>
      <c r="S24" s="58">
        <f t="shared" ca="1" si="10"/>
        <v>0</v>
      </c>
      <c r="T24" s="58">
        <f t="shared" ca="1" si="10"/>
        <v>0</v>
      </c>
      <c r="U24" s="58">
        <f t="shared" ca="1" si="10"/>
        <v>0</v>
      </c>
      <c r="V24" s="58">
        <f t="shared" ca="1" si="10"/>
        <v>1</v>
      </c>
      <c r="W24" s="58">
        <f t="shared" ca="1" si="10"/>
        <v>0</v>
      </c>
      <c r="X24" s="58">
        <f t="shared" ca="1" si="10"/>
        <v>0</v>
      </c>
      <c r="Y24" s="58">
        <f t="shared" ca="1" si="10"/>
        <v>1</v>
      </c>
      <c r="Z24" s="58">
        <f t="shared" ca="1" si="10"/>
        <v>1</v>
      </c>
      <c r="AA24" s="58">
        <f t="shared" ref="AA24:AP37" ca="1" si="13">IF((RANDBETWEEN(0,100)/100)&lt;$B24,1,0)</f>
        <v>0</v>
      </c>
      <c r="AB24" s="58">
        <f t="shared" ca="1" si="13"/>
        <v>0</v>
      </c>
      <c r="AC24" s="58">
        <f t="shared" ca="1" si="13"/>
        <v>0</v>
      </c>
      <c r="AD24" s="58">
        <f t="shared" ca="1" si="13"/>
        <v>0</v>
      </c>
      <c r="AE24" s="58">
        <f t="shared" ca="1" si="13"/>
        <v>1</v>
      </c>
      <c r="AF24" s="58">
        <f t="shared" ca="1" si="13"/>
        <v>0</v>
      </c>
      <c r="AG24" s="58">
        <f t="shared" ca="1" si="13"/>
        <v>0</v>
      </c>
      <c r="AH24" s="58">
        <f t="shared" ca="1" si="13"/>
        <v>0</v>
      </c>
      <c r="AI24" s="58">
        <f t="shared" ca="1" si="13"/>
        <v>1</v>
      </c>
      <c r="AJ24" s="58">
        <f t="shared" ca="1" si="13"/>
        <v>0</v>
      </c>
      <c r="AK24" s="58">
        <f t="shared" ca="1" si="13"/>
        <v>0</v>
      </c>
      <c r="AL24" s="58">
        <f t="shared" ca="1" si="13"/>
        <v>0</v>
      </c>
      <c r="AM24" s="58">
        <f t="shared" ca="1" si="13"/>
        <v>1</v>
      </c>
      <c r="AN24" s="58">
        <f t="shared" ca="1" si="13"/>
        <v>0</v>
      </c>
      <c r="AO24" s="58">
        <f t="shared" ca="1" si="13"/>
        <v>0</v>
      </c>
      <c r="AP24" s="58">
        <f t="shared" ca="1" si="13"/>
        <v>0</v>
      </c>
      <c r="AQ24" s="58">
        <f t="shared" ref="AQ24:BF37" ca="1" si="14">IF((RANDBETWEEN(0,100)/100)&lt;$B24,1,0)</f>
        <v>0</v>
      </c>
      <c r="AR24" s="58">
        <f t="shared" ca="1" si="14"/>
        <v>1</v>
      </c>
      <c r="AS24" s="58">
        <f t="shared" ca="1" si="14"/>
        <v>0</v>
      </c>
      <c r="AT24" s="58">
        <f t="shared" ca="1" si="14"/>
        <v>0</v>
      </c>
      <c r="AU24" s="58">
        <f t="shared" ca="1" si="14"/>
        <v>0</v>
      </c>
      <c r="AV24" s="58">
        <f t="shared" ca="1" si="14"/>
        <v>0</v>
      </c>
      <c r="AW24" s="58">
        <f t="shared" ca="1" si="14"/>
        <v>0</v>
      </c>
      <c r="AX24" s="58">
        <f t="shared" ca="1" si="14"/>
        <v>0</v>
      </c>
      <c r="AY24" s="58">
        <f t="shared" ca="1" si="14"/>
        <v>1</v>
      </c>
      <c r="AZ24" s="58">
        <f t="shared" ca="1" si="14"/>
        <v>0</v>
      </c>
      <c r="BA24" s="58">
        <f t="shared" ca="1" si="14"/>
        <v>0</v>
      </c>
      <c r="BB24" s="58">
        <f t="shared" ca="1" si="14"/>
        <v>1</v>
      </c>
      <c r="BC24" s="58">
        <f t="shared" ca="1" si="14"/>
        <v>1</v>
      </c>
      <c r="BD24" s="58">
        <f t="shared" ca="1" si="14"/>
        <v>0</v>
      </c>
      <c r="BE24" s="58">
        <f t="shared" ca="1" si="14"/>
        <v>0</v>
      </c>
      <c r="BF24" s="58">
        <f t="shared" ca="1" si="14"/>
        <v>0</v>
      </c>
      <c r="BG24" s="58">
        <f t="shared" ref="BG24:BV37" ca="1" si="15">IF((RANDBETWEEN(0,100)/100)&lt;$B24,1,0)</f>
        <v>0</v>
      </c>
      <c r="BH24" s="58">
        <f t="shared" ca="1" si="15"/>
        <v>1</v>
      </c>
      <c r="BI24" s="58">
        <f t="shared" ca="1" si="15"/>
        <v>1</v>
      </c>
      <c r="BJ24" s="58">
        <f t="shared" ca="1" si="15"/>
        <v>0</v>
      </c>
      <c r="BK24" s="58">
        <f t="shared" ca="1" si="15"/>
        <v>0</v>
      </c>
      <c r="BL24" s="58">
        <f t="shared" ca="1" si="15"/>
        <v>1</v>
      </c>
      <c r="BM24" s="58">
        <f t="shared" ca="1" si="15"/>
        <v>1</v>
      </c>
      <c r="BN24" s="58">
        <f t="shared" ca="1" si="15"/>
        <v>0</v>
      </c>
      <c r="BO24" s="58">
        <f t="shared" ca="1" si="15"/>
        <v>0</v>
      </c>
      <c r="BP24" s="58">
        <f t="shared" ca="1" si="15"/>
        <v>1</v>
      </c>
      <c r="BQ24" s="58">
        <f t="shared" ca="1" si="15"/>
        <v>0</v>
      </c>
      <c r="BR24" s="58">
        <f t="shared" ca="1" si="15"/>
        <v>0</v>
      </c>
      <c r="BS24" s="58">
        <f t="shared" ca="1" si="15"/>
        <v>0</v>
      </c>
      <c r="BT24" s="58">
        <f t="shared" ca="1" si="15"/>
        <v>1</v>
      </c>
      <c r="BU24" s="58">
        <f t="shared" ca="1" si="15"/>
        <v>0</v>
      </c>
      <c r="BV24" s="58">
        <f t="shared" ca="1" si="15"/>
        <v>0</v>
      </c>
      <c r="BW24" s="58">
        <f t="shared" ref="BW24:CL37" ca="1" si="16">IF((RANDBETWEEN(0,100)/100)&lt;$B24,1,0)</f>
        <v>1</v>
      </c>
      <c r="BX24" s="58">
        <f t="shared" ca="1" si="16"/>
        <v>0</v>
      </c>
      <c r="BY24" s="58">
        <f t="shared" ca="1" si="16"/>
        <v>0</v>
      </c>
      <c r="BZ24" s="58">
        <f t="shared" ca="1" si="16"/>
        <v>0</v>
      </c>
      <c r="CA24" s="58">
        <f t="shared" ca="1" si="16"/>
        <v>1</v>
      </c>
      <c r="CB24" s="58">
        <f t="shared" ca="1" si="16"/>
        <v>0</v>
      </c>
      <c r="CC24" s="58">
        <f t="shared" ca="1" si="16"/>
        <v>0</v>
      </c>
      <c r="CD24" s="58">
        <f t="shared" ca="1" si="16"/>
        <v>1</v>
      </c>
      <c r="CE24" s="58">
        <f t="shared" ca="1" si="11"/>
        <v>0</v>
      </c>
      <c r="CF24" s="58">
        <f t="shared" ca="1" si="11"/>
        <v>0</v>
      </c>
      <c r="CG24" s="58">
        <f t="shared" ca="1" si="11"/>
        <v>0</v>
      </c>
      <c r="CH24" s="58">
        <f t="shared" ca="1" si="11"/>
        <v>0</v>
      </c>
      <c r="CI24" s="58">
        <f t="shared" ca="1" si="11"/>
        <v>0</v>
      </c>
      <c r="CJ24" s="58">
        <f t="shared" ca="1" si="11"/>
        <v>1</v>
      </c>
      <c r="CK24" s="58">
        <f t="shared" ca="1" si="11"/>
        <v>0</v>
      </c>
      <c r="CL24" s="58">
        <f t="shared" ca="1" si="11"/>
        <v>1</v>
      </c>
      <c r="CM24" s="58">
        <f t="shared" ca="1" si="11"/>
        <v>0</v>
      </c>
      <c r="CN24" s="58">
        <f t="shared" ca="1" si="11"/>
        <v>0</v>
      </c>
      <c r="CO24" s="58">
        <f t="shared" ca="1" si="11"/>
        <v>1</v>
      </c>
      <c r="CP24" s="58">
        <f t="shared" ca="1" si="11"/>
        <v>1</v>
      </c>
      <c r="CQ24" s="58">
        <f t="shared" ca="1" si="11"/>
        <v>0</v>
      </c>
      <c r="CR24" s="58">
        <f t="shared" ca="1" si="11"/>
        <v>1</v>
      </c>
      <c r="CS24" s="58">
        <f t="shared" ca="1" si="11"/>
        <v>0</v>
      </c>
      <c r="CT24" s="58">
        <f t="shared" ca="1" si="11"/>
        <v>0</v>
      </c>
      <c r="CU24" s="58">
        <f t="shared" ca="1" si="11"/>
        <v>0</v>
      </c>
      <c r="CV24" s="58">
        <f t="shared" ca="1" si="11"/>
        <v>0</v>
      </c>
      <c r="CW24" s="58">
        <f t="shared" ca="1" si="11"/>
        <v>0</v>
      </c>
      <c r="CX24" s="58">
        <f t="shared" ca="1" si="11"/>
        <v>1</v>
      </c>
    </row>
    <row r="25" spans="1:102" x14ac:dyDescent="0.25">
      <c r="A25" s="57" t="s">
        <v>845</v>
      </c>
      <c r="B25" s="62">
        <v>0.2</v>
      </c>
      <c r="C25" s="58">
        <f t="shared" ca="1" si="12"/>
        <v>0</v>
      </c>
      <c r="D25" s="58">
        <f t="shared" ca="1" si="12"/>
        <v>0</v>
      </c>
      <c r="E25" s="58">
        <f t="shared" ca="1" si="12"/>
        <v>0</v>
      </c>
      <c r="F25" s="58">
        <f t="shared" ca="1" si="12"/>
        <v>0</v>
      </c>
      <c r="G25" s="58">
        <f t="shared" ca="1" si="12"/>
        <v>0</v>
      </c>
      <c r="H25" s="58">
        <f t="shared" ca="1" si="12"/>
        <v>0</v>
      </c>
      <c r="I25" s="58">
        <f t="shared" ca="1" si="12"/>
        <v>1</v>
      </c>
      <c r="J25" s="58">
        <f t="shared" ca="1" si="12"/>
        <v>1</v>
      </c>
      <c r="K25" s="58">
        <f t="shared" ca="1" si="12"/>
        <v>0</v>
      </c>
      <c r="L25" s="58">
        <f t="shared" ca="1" si="12"/>
        <v>0</v>
      </c>
      <c r="M25" s="58">
        <f t="shared" ca="1" si="12"/>
        <v>1</v>
      </c>
      <c r="N25" s="58">
        <f t="shared" ca="1" si="12"/>
        <v>0</v>
      </c>
      <c r="O25" s="58">
        <f t="shared" ca="1" si="12"/>
        <v>0</v>
      </c>
      <c r="P25" s="58">
        <f t="shared" ca="1" si="12"/>
        <v>0</v>
      </c>
      <c r="Q25" s="58">
        <f t="shared" ca="1" si="12"/>
        <v>0</v>
      </c>
      <c r="R25" s="58">
        <f t="shared" ca="1" si="12"/>
        <v>0</v>
      </c>
      <c r="S25" s="58">
        <f t="shared" ref="S25:AH37" ca="1" si="17">IF((RANDBETWEEN(0,100)/100)&lt;$B25,1,0)</f>
        <v>0</v>
      </c>
      <c r="T25" s="58">
        <f t="shared" ca="1" si="17"/>
        <v>0</v>
      </c>
      <c r="U25" s="58">
        <f t="shared" ca="1" si="17"/>
        <v>0</v>
      </c>
      <c r="V25" s="58">
        <f t="shared" ca="1" si="17"/>
        <v>1</v>
      </c>
      <c r="W25" s="58">
        <f t="shared" ca="1" si="17"/>
        <v>0</v>
      </c>
      <c r="X25" s="58">
        <f t="shared" ca="1" si="17"/>
        <v>0</v>
      </c>
      <c r="Y25" s="58">
        <f t="shared" ca="1" si="17"/>
        <v>0</v>
      </c>
      <c r="Z25" s="58">
        <f t="shared" ca="1" si="17"/>
        <v>0</v>
      </c>
      <c r="AA25" s="58">
        <f t="shared" ca="1" si="17"/>
        <v>0</v>
      </c>
      <c r="AB25" s="58">
        <f t="shared" ca="1" si="17"/>
        <v>1</v>
      </c>
      <c r="AC25" s="58">
        <f t="shared" ca="1" si="17"/>
        <v>0</v>
      </c>
      <c r="AD25" s="58">
        <f t="shared" ca="1" si="17"/>
        <v>0</v>
      </c>
      <c r="AE25" s="58">
        <f t="shared" ca="1" si="17"/>
        <v>0</v>
      </c>
      <c r="AF25" s="58">
        <f t="shared" ca="1" si="17"/>
        <v>0</v>
      </c>
      <c r="AG25" s="58">
        <f t="shared" ca="1" si="17"/>
        <v>0</v>
      </c>
      <c r="AH25" s="58">
        <f t="shared" ca="1" si="17"/>
        <v>0</v>
      </c>
      <c r="AI25" s="58">
        <f t="shared" ca="1" si="13"/>
        <v>0</v>
      </c>
      <c r="AJ25" s="58">
        <f t="shared" ca="1" si="13"/>
        <v>0</v>
      </c>
      <c r="AK25" s="58">
        <f t="shared" ca="1" si="13"/>
        <v>0</v>
      </c>
      <c r="AL25" s="58">
        <f t="shared" ca="1" si="13"/>
        <v>0</v>
      </c>
      <c r="AM25" s="58">
        <f t="shared" ca="1" si="13"/>
        <v>0</v>
      </c>
      <c r="AN25" s="58">
        <f t="shared" ca="1" si="13"/>
        <v>1</v>
      </c>
      <c r="AO25" s="58">
        <f t="shared" ca="1" si="13"/>
        <v>0</v>
      </c>
      <c r="AP25" s="58">
        <f t="shared" ca="1" si="13"/>
        <v>0</v>
      </c>
      <c r="AQ25" s="58">
        <f t="shared" ca="1" si="14"/>
        <v>0</v>
      </c>
      <c r="AR25" s="58">
        <f t="shared" ca="1" si="14"/>
        <v>0</v>
      </c>
      <c r="AS25" s="58">
        <f t="shared" ca="1" si="14"/>
        <v>0</v>
      </c>
      <c r="AT25" s="58">
        <f t="shared" ca="1" si="14"/>
        <v>1</v>
      </c>
      <c r="AU25" s="58">
        <f t="shared" ca="1" si="14"/>
        <v>0</v>
      </c>
      <c r="AV25" s="58">
        <f t="shared" ca="1" si="14"/>
        <v>0</v>
      </c>
      <c r="AW25" s="58">
        <f t="shared" ca="1" si="14"/>
        <v>1</v>
      </c>
      <c r="AX25" s="58">
        <f t="shared" ca="1" si="14"/>
        <v>0</v>
      </c>
      <c r="AY25" s="58">
        <f t="shared" ca="1" si="14"/>
        <v>0</v>
      </c>
      <c r="AZ25" s="58">
        <f t="shared" ca="1" si="14"/>
        <v>0</v>
      </c>
      <c r="BA25" s="58">
        <f t="shared" ca="1" si="14"/>
        <v>0</v>
      </c>
      <c r="BB25" s="58">
        <f t="shared" ca="1" si="14"/>
        <v>0</v>
      </c>
      <c r="BC25" s="58">
        <f t="shared" ca="1" si="14"/>
        <v>1</v>
      </c>
      <c r="BD25" s="58">
        <f t="shared" ca="1" si="14"/>
        <v>0</v>
      </c>
      <c r="BE25" s="58">
        <f t="shared" ca="1" si="14"/>
        <v>0</v>
      </c>
      <c r="BF25" s="58">
        <f t="shared" ca="1" si="14"/>
        <v>0</v>
      </c>
      <c r="BG25" s="58">
        <f t="shared" ca="1" si="15"/>
        <v>0</v>
      </c>
      <c r="BH25" s="58">
        <f t="shared" ca="1" si="15"/>
        <v>0</v>
      </c>
      <c r="BI25" s="58">
        <f t="shared" ca="1" si="15"/>
        <v>0</v>
      </c>
      <c r="BJ25" s="58">
        <f t="shared" ca="1" si="15"/>
        <v>0</v>
      </c>
      <c r="BK25" s="58">
        <f t="shared" ca="1" si="15"/>
        <v>0</v>
      </c>
      <c r="BL25" s="58">
        <f t="shared" ca="1" si="15"/>
        <v>0</v>
      </c>
      <c r="BM25" s="58">
        <f t="shared" ca="1" si="15"/>
        <v>0</v>
      </c>
      <c r="BN25" s="58">
        <f t="shared" ca="1" si="15"/>
        <v>0</v>
      </c>
      <c r="BO25" s="58">
        <f t="shared" ca="1" si="15"/>
        <v>0</v>
      </c>
      <c r="BP25" s="58">
        <f t="shared" ca="1" si="15"/>
        <v>0</v>
      </c>
      <c r="BQ25" s="58">
        <f t="shared" ca="1" si="15"/>
        <v>1</v>
      </c>
      <c r="BR25" s="58">
        <f t="shared" ca="1" si="15"/>
        <v>0</v>
      </c>
      <c r="BS25" s="58">
        <f t="shared" ca="1" si="15"/>
        <v>0</v>
      </c>
      <c r="BT25" s="58">
        <f t="shared" ca="1" si="15"/>
        <v>0</v>
      </c>
      <c r="BU25" s="58">
        <f t="shared" ca="1" si="15"/>
        <v>0</v>
      </c>
      <c r="BV25" s="58">
        <f t="shared" ca="1" si="15"/>
        <v>0</v>
      </c>
      <c r="BW25" s="58">
        <f t="shared" ca="1" si="16"/>
        <v>0</v>
      </c>
      <c r="BX25" s="58">
        <f t="shared" ca="1" si="16"/>
        <v>0</v>
      </c>
      <c r="BY25" s="58">
        <f t="shared" ca="1" si="16"/>
        <v>0</v>
      </c>
      <c r="BZ25" s="58">
        <f t="shared" ca="1" si="16"/>
        <v>0</v>
      </c>
      <c r="CA25" s="58">
        <f t="shared" ca="1" si="16"/>
        <v>0</v>
      </c>
      <c r="CB25" s="58">
        <f t="shared" ca="1" si="16"/>
        <v>0</v>
      </c>
      <c r="CC25" s="58">
        <f t="shared" ca="1" si="16"/>
        <v>0</v>
      </c>
      <c r="CD25" s="58">
        <f t="shared" ca="1" si="16"/>
        <v>1</v>
      </c>
      <c r="CE25" s="58">
        <f t="shared" ca="1" si="11"/>
        <v>1</v>
      </c>
      <c r="CF25" s="58">
        <f t="shared" ca="1" si="11"/>
        <v>0</v>
      </c>
      <c r="CG25" s="58">
        <f t="shared" ca="1" si="11"/>
        <v>0</v>
      </c>
      <c r="CH25" s="58">
        <f t="shared" ca="1" si="11"/>
        <v>0</v>
      </c>
      <c r="CI25" s="58">
        <f t="shared" ca="1" si="11"/>
        <v>1</v>
      </c>
      <c r="CJ25" s="58">
        <f t="shared" ca="1" si="11"/>
        <v>0</v>
      </c>
      <c r="CK25" s="58">
        <f t="shared" ca="1" si="11"/>
        <v>0</v>
      </c>
      <c r="CL25" s="58">
        <f t="shared" ca="1" si="11"/>
        <v>0</v>
      </c>
      <c r="CM25" s="58">
        <f t="shared" ca="1" si="11"/>
        <v>0</v>
      </c>
      <c r="CN25" s="58">
        <f t="shared" ca="1" si="11"/>
        <v>0</v>
      </c>
      <c r="CO25" s="58">
        <f t="shared" ca="1" si="11"/>
        <v>0</v>
      </c>
      <c r="CP25" s="58">
        <f t="shared" ca="1" si="11"/>
        <v>0</v>
      </c>
      <c r="CQ25" s="58">
        <f t="shared" ca="1" si="11"/>
        <v>0</v>
      </c>
      <c r="CR25" s="58">
        <f t="shared" ca="1" si="11"/>
        <v>1</v>
      </c>
      <c r="CS25" s="58">
        <f t="shared" ca="1" si="11"/>
        <v>0</v>
      </c>
      <c r="CT25" s="58">
        <f t="shared" ca="1" si="11"/>
        <v>0</v>
      </c>
      <c r="CU25" s="58">
        <f t="shared" ca="1" si="11"/>
        <v>0</v>
      </c>
      <c r="CV25" s="58">
        <f t="shared" ca="1" si="11"/>
        <v>0</v>
      </c>
      <c r="CW25" s="58">
        <f t="shared" ca="1" si="11"/>
        <v>0</v>
      </c>
      <c r="CX25" s="58">
        <f t="shared" ca="1" si="11"/>
        <v>0</v>
      </c>
    </row>
    <row r="26" spans="1:102" x14ac:dyDescent="0.25">
      <c r="A26" s="57" t="s">
        <v>813</v>
      </c>
      <c r="B26" s="62">
        <v>0.3</v>
      </c>
      <c r="C26" s="58">
        <f t="shared" ca="1" si="12"/>
        <v>0</v>
      </c>
      <c r="D26" s="58">
        <f t="shared" ca="1" si="12"/>
        <v>0</v>
      </c>
      <c r="E26" s="58">
        <f t="shared" ca="1" si="12"/>
        <v>0</v>
      </c>
      <c r="F26" s="58">
        <f t="shared" ca="1" si="12"/>
        <v>1</v>
      </c>
      <c r="G26" s="58">
        <f t="shared" ca="1" si="12"/>
        <v>0</v>
      </c>
      <c r="H26" s="58">
        <f t="shared" ca="1" si="12"/>
        <v>0</v>
      </c>
      <c r="I26" s="58">
        <f t="shared" ca="1" si="12"/>
        <v>0</v>
      </c>
      <c r="J26" s="58">
        <f t="shared" ca="1" si="12"/>
        <v>1</v>
      </c>
      <c r="K26" s="58">
        <f t="shared" ca="1" si="12"/>
        <v>1</v>
      </c>
      <c r="L26" s="58">
        <f t="shared" ca="1" si="12"/>
        <v>0</v>
      </c>
      <c r="M26" s="58">
        <f t="shared" ca="1" si="12"/>
        <v>0</v>
      </c>
      <c r="N26" s="58">
        <f t="shared" ca="1" si="12"/>
        <v>0</v>
      </c>
      <c r="O26" s="58">
        <f t="shared" ca="1" si="12"/>
        <v>1</v>
      </c>
      <c r="P26" s="58">
        <f t="shared" ca="1" si="12"/>
        <v>0</v>
      </c>
      <c r="Q26" s="58">
        <f t="shared" ca="1" si="12"/>
        <v>0</v>
      </c>
      <c r="R26" s="58">
        <f t="shared" ca="1" si="12"/>
        <v>0</v>
      </c>
      <c r="S26" s="58">
        <f t="shared" ca="1" si="17"/>
        <v>0</v>
      </c>
      <c r="T26" s="58">
        <f t="shared" ca="1" si="17"/>
        <v>1</v>
      </c>
      <c r="U26" s="58">
        <f t="shared" ca="1" si="17"/>
        <v>0</v>
      </c>
      <c r="V26" s="58">
        <f t="shared" ca="1" si="17"/>
        <v>1</v>
      </c>
      <c r="W26" s="58">
        <f t="shared" ca="1" si="17"/>
        <v>0</v>
      </c>
      <c r="X26" s="58">
        <f t="shared" ca="1" si="17"/>
        <v>0</v>
      </c>
      <c r="Y26" s="58">
        <f t="shared" ca="1" si="17"/>
        <v>1</v>
      </c>
      <c r="Z26" s="58">
        <f t="shared" ca="1" si="17"/>
        <v>0</v>
      </c>
      <c r="AA26" s="58">
        <f t="shared" ca="1" si="17"/>
        <v>0</v>
      </c>
      <c r="AB26" s="58">
        <f t="shared" ca="1" si="17"/>
        <v>0</v>
      </c>
      <c r="AC26" s="58">
        <f t="shared" ca="1" si="17"/>
        <v>1</v>
      </c>
      <c r="AD26" s="58">
        <f t="shared" ca="1" si="17"/>
        <v>0</v>
      </c>
      <c r="AE26" s="58">
        <f t="shared" ca="1" si="17"/>
        <v>0</v>
      </c>
      <c r="AF26" s="58">
        <f t="shared" ca="1" si="17"/>
        <v>1</v>
      </c>
      <c r="AG26" s="58">
        <f t="shared" ca="1" si="17"/>
        <v>0</v>
      </c>
      <c r="AH26" s="58">
        <f t="shared" ca="1" si="17"/>
        <v>0</v>
      </c>
      <c r="AI26" s="58">
        <f t="shared" ca="1" si="13"/>
        <v>0</v>
      </c>
      <c r="AJ26" s="58">
        <f t="shared" ca="1" si="13"/>
        <v>0</v>
      </c>
      <c r="AK26" s="58">
        <f t="shared" ca="1" si="13"/>
        <v>1</v>
      </c>
      <c r="AL26" s="58">
        <f t="shared" ca="1" si="13"/>
        <v>0</v>
      </c>
      <c r="AM26" s="58">
        <f t="shared" ca="1" si="13"/>
        <v>0</v>
      </c>
      <c r="AN26" s="58">
        <f t="shared" ca="1" si="13"/>
        <v>0</v>
      </c>
      <c r="AO26" s="58">
        <f t="shared" ca="1" si="13"/>
        <v>0</v>
      </c>
      <c r="AP26" s="58">
        <f t="shared" ca="1" si="13"/>
        <v>0</v>
      </c>
      <c r="AQ26" s="58">
        <f t="shared" ca="1" si="14"/>
        <v>1</v>
      </c>
      <c r="AR26" s="58">
        <f t="shared" ca="1" si="14"/>
        <v>0</v>
      </c>
      <c r="AS26" s="58">
        <f t="shared" ca="1" si="14"/>
        <v>0</v>
      </c>
      <c r="AT26" s="58">
        <f t="shared" ca="1" si="14"/>
        <v>1</v>
      </c>
      <c r="AU26" s="58">
        <f t="shared" ca="1" si="14"/>
        <v>1</v>
      </c>
      <c r="AV26" s="58">
        <f t="shared" ca="1" si="14"/>
        <v>0</v>
      </c>
      <c r="AW26" s="58">
        <f t="shared" ca="1" si="14"/>
        <v>0</v>
      </c>
      <c r="AX26" s="58">
        <f t="shared" ca="1" si="14"/>
        <v>0</v>
      </c>
      <c r="AY26" s="58">
        <f t="shared" ca="1" si="14"/>
        <v>1</v>
      </c>
      <c r="AZ26" s="58">
        <f t="shared" ca="1" si="14"/>
        <v>0</v>
      </c>
      <c r="BA26" s="58">
        <f t="shared" ca="1" si="14"/>
        <v>1</v>
      </c>
      <c r="BB26" s="58">
        <f t="shared" ca="1" si="14"/>
        <v>1</v>
      </c>
      <c r="BC26" s="58">
        <f t="shared" ca="1" si="14"/>
        <v>1</v>
      </c>
      <c r="BD26" s="58">
        <f t="shared" ca="1" si="14"/>
        <v>0</v>
      </c>
      <c r="BE26" s="58">
        <f t="shared" ca="1" si="14"/>
        <v>0</v>
      </c>
      <c r="BF26" s="58">
        <f t="shared" ca="1" si="14"/>
        <v>0</v>
      </c>
      <c r="BG26" s="58">
        <f t="shared" ca="1" si="15"/>
        <v>0</v>
      </c>
      <c r="BH26" s="58">
        <f t="shared" ca="1" si="15"/>
        <v>0</v>
      </c>
      <c r="BI26" s="58">
        <f t="shared" ca="1" si="15"/>
        <v>0</v>
      </c>
      <c r="BJ26" s="58">
        <f t="shared" ca="1" si="15"/>
        <v>1</v>
      </c>
      <c r="BK26" s="58">
        <f t="shared" ca="1" si="15"/>
        <v>1</v>
      </c>
      <c r="BL26" s="58">
        <f t="shared" ca="1" si="15"/>
        <v>0</v>
      </c>
      <c r="BM26" s="58">
        <f t="shared" ca="1" si="15"/>
        <v>1</v>
      </c>
      <c r="BN26" s="58">
        <f t="shared" ca="1" si="15"/>
        <v>1</v>
      </c>
      <c r="BO26" s="58">
        <f t="shared" ca="1" si="15"/>
        <v>1</v>
      </c>
      <c r="BP26" s="58">
        <f t="shared" ca="1" si="15"/>
        <v>0</v>
      </c>
      <c r="BQ26" s="58">
        <f t="shared" ca="1" si="15"/>
        <v>0</v>
      </c>
      <c r="BR26" s="58">
        <f t="shared" ca="1" si="15"/>
        <v>0</v>
      </c>
      <c r="BS26" s="58">
        <f t="shared" ca="1" si="15"/>
        <v>0</v>
      </c>
      <c r="BT26" s="58">
        <f t="shared" ca="1" si="15"/>
        <v>1</v>
      </c>
      <c r="BU26" s="58">
        <f t="shared" ca="1" si="15"/>
        <v>1</v>
      </c>
      <c r="BV26" s="58">
        <f t="shared" ca="1" si="15"/>
        <v>0</v>
      </c>
      <c r="BW26" s="58">
        <f t="shared" ca="1" si="16"/>
        <v>0</v>
      </c>
      <c r="BX26" s="58">
        <f t="shared" ca="1" si="16"/>
        <v>0</v>
      </c>
      <c r="BY26" s="58">
        <f t="shared" ca="1" si="16"/>
        <v>0</v>
      </c>
      <c r="BZ26" s="58">
        <f t="shared" ca="1" si="16"/>
        <v>0</v>
      </c>
      <c r="CA26" s="58">
        <f t="shared" ca="1" si="16"/>
        <v>0</v>
      </c>
      <c r="CB26" s="58">
        <f t="shared" ca="1" si="16"/>
        <v>0</v>
      </c>
      <c r="CC26" s="58">
        <f t="shared" ca="1" si="16"/>
        <v>0</v>
      </c>
      <c r="CD26" s="58">
        <f t="shared" ca="1" si="16"/>
        <v>0</v>
      </c>
      <c r="CE26" s="58">
        <f t="shared" ca="1" si="11"/>
        <v>0</v>
      </c>
      <c r="CF26" s="58">
        <f t="shared" ca="1" si="11"/>
        <v>0</v>
      </c>
      <c r="CG26" s="58">
        <f t="shared" ca="1" si="11"/>
        <v>0</v>
      </c>
      <c r="CH26" s="58">
        <f t="shared" ca="1" si="11"/>
        <v>0</v>
      </c>
      <c r="CI26" s="58">
        <f t="shared" ca="1" si="11"/>
        <v>0</v>
      </c>
      <c r="CJ26" s="58">
        <f t="shared" ca="1" si="11"/>
        <v>1</v>
      </c>
      <c r="CK26" s="58">
        <f t="shared" ca="1" si="11"/>
        <v>0</v>
      </c>
      <c r="CL26" s="58">
        <f t="shared" ca="1" si="11"/>
        <v>1</v>
      </c>
      <c r="CM26" s="58">
        <f t="shared" ca="1" si="11"/>
        <v>1</v>
      </c>
      <c r="CN26" s="58">
        <f t="shared" ca="1" si="11"/>
        <v>0</v>
      </c>
      <c r="CO26" s="58">
        <f t="shared" ca="1" si="11"/>
        <v>1</v>
      </c>
      <c r="CP26" s="58">
        <f t="shared" ca="1" si="11"/>
        <v>0</v>
      </c>
      <c r="CQ26" s="58">
        <f t="shared" ca="1" si="11"/>
        <v>0</v>
      </c>
      <c r="CR26" s="58">
        <f t="shared" ca="1" si="11"/>
        <v>0</v>
      </c>
      <c r="CS26" s="58">
        <f t="shared" ca="1" si="11"/>
        <v>0</v>
      </c>
      <c r="CT26" s="58">
        <f t="shared" ca="1" si="11"/>
        <v>0</v>
      </c>
      <c r="CU26" s="58">
        <f t="shared" ca="1" si="11"/>
        <v>0</v>
      </c>
      <c r="CV26" s="58">
        <f t="shared" ca="1" si="11"/>
        <v>0</v>
      </c>
      <c r="CW26" s="58">
        <f t="shared" ca="1" si="11"/>
        <v>0</v>
      </c>
      <c r="CX26" s="58">
        <f t="shared" ca="1" si="11"/>
        <v>0</v>
      </c>
    </row>
    <row r="27" spans="1:102" x14ac:dyDescent="0.25">
      <c r="A27" s="57" t="s">
        <v>814</v>
      </c>
      <c r="B27" s="62">
        <v>0.22</v>
      </c>
      <c r="C27" s="58">
        <f t="shared" ca="1" si="12"/>
        <v>1</v>
      </c>
      <c r="D27" s="58">
        <f t="shared" ca="1" si="12"/>
        <v>0</v>
      </c>
      <c r="E27" s="58">
        <f t="shared" ca="1" si="12"/>
        <v>0</v>
      </c>
      <c r="F27" s="58">
        <f t="shared" ca="1" si="12"/>
        <v>0</v>
      </c>
      <c r="G27" s="58">
        <f t="shared" ca="1" si="12"/>
        <v>0</v>
      </c>
      <c r="H27" s="58">
        <f t="shared" ca="1" si="12"/>
        <v>1</v>
      </c>
      <c r="I27" s="58">
        <f t="shared" ca="1" si="12"/>
        <v>0</v>
      </c>
      <c r="J27" s="58">
        <f t="shared" ca="1" si="12"/>
        <v>1</v>
      </c>
      <c r="K27" s="58">
        <f t="shared" ca="1" si="12"/>
        <v>0</v>
      </c>
      <c r="L27" s="58">
        <f t="shared" ca="1" si="12"/>
        <v>1</v>
      </c>
      <c r="M27" s="58">
        <f t="shared" ca="1" si="12"/>
        <v>1</v>
      </c>
      <c r="N27" s="58">
        <f t="shared" ca="1" si="12"/>
        <v>1</v>
      </c>
      <c r="O27" s="58">
        <f t="shared" ca="1" si="12"/>
        <v>0</v>
      </c>
      <c r="P27" s="58">
        <f t="shared" ca="1" si="12"/>
        <v>0</v>
      </c>
      <c r="Q27" s="58">
        <f t="shared" ca="1" si="12"/>
        <v>0</v>
      </c>
      <c r="R27" s="58">
        <f t="shared" ca="1" si="12"/>
        <v>0</v>
      </c>
      <c r="S27" s="58">
        <f t="shared" ca="1" si="17"/>
        <v>0</v>
      </c>
      <c r="T27" s="58">
        <f t="shared" ca="1" si="17"/>
        <v>0</v>
      </c>
      <c r="U27" s="58">
        <f t="shared" ca="1" si="17"/>
        <v>0</v>
      </c>
      <c r="V27" s="58">
        <f t="shared" ca="1" si="17"/>
        <v>0</v>
      </c>
      <c r="W27" s="58">
        <f t="shared" ca="1" si="17"/>
        <v>0</v>
      </c>
      <c r="X27" s="58">
        <f t="shared" ca="1" si="17"/>
        <v>1</v>
      </c>
      <c r="Y27" s="58">
        <f t="shared" ca="1" si="17"/>
        <v>0</v>
      </c>
      <c r="Z27" s="58">
        <f t="shared" ca="1" si="17"/>
        <v>0</v>
      </c>
      <c r="AA27" s="58">
        <f t="shared" ca="1" si="17"/>
        <v>0</v>
      </c>
      <c r="AB27" s="58">
        <f t="shared" ca="1" si="17"/>
        <v>0</v>
      </c>
      <c r="AC27" s="58">
        <f t="shared" ca="1" si="17"/>
        <v>0</v>
      </c>
      <c r="AD27" s="58">
        <f t="shared" ca="1" si="17"/>
        <v>0</v>
      </c>
      <c r="AE27" s="58">
        <f t="shared" ca="1" si="17"/>
        <v>0</v>
      </c>
      <c r="AF27" s="58">
        <f t="shared" ca="1" si="17"/>
        <v>0</v>
      </c>
      <c r="AG27" s="58">
        <f t="shared" ca="1" si="17"/>
        <v>0</v>
      </c>
      <c r="AH27" s="58">
        <f t="shared" ca="1" si="17"/>
        <v>0</v>
      </c>
      <c r="AI27" s="58">
        <f t="shared" ca="1" si="13"/>
        <v>0</v>
      </c>
      <c r="AJ27" s="58">
        <f t="shared" ca="1" si="13"/>
        <v>0</v>
      </c>
      <c r="AK27" s="58">
        <f t="shared" ca="1" si="13"/>
        <v>0</v>
      </c>
      <c r="AL27" s="58">
        <f t="shared" ca="1" si="13"/>
        <v>0</v>
      </c>
      <c r="AM27" s="58">
        <f t="shared" ca="1" si="13"/>
        <v>0</v>
      </c>
      <c r="AN27" s="58">
        <f t="shared" ca="1" si="13"/>
        <v>0</v>
      </c>
      <c r="AO27" s="58">
        <f t="shared" ca="1" si="13"/>
        <v>1</v>
      </c>
      <c r="AP27" s="58">
        <f t="shared" ca="1" si="13"/>
        <v>1</v>
      </c>
      <c r="AQ27" s="58">
        <f t="shared" ca="1" si="14"/>
        <v>1</v>
      </c>
      <c r="AR27" s="58">
        <f t="shared" ca="1" si="14"/>
        <v>0</v>
      </c>
      <c r="AS27" s="58">
        <f t="shared" ca="1" si="14"/>
        <v>0</v>
      </c>
      <c r="AT27" s="58">
        <f t="shared" ca="1" si="14"/>
        <v>1</v>
      </c>
      <c r="AU27" s="58">
        <f t="shared" ca="1" si="14"/>
        <v>1</v>
      </c>
      <c r="AV27" s="58">
        <f t="shared" ca="1" si="14"/>
        <v>0</v>
      </c>
      <c r="AW27" s="58">
        <f t="shared" ca="1" si="14"/>
        <v>0</v>
      </c>
      <c r="AX27" s="58">
        <f t="shared" ca="1" si="14"/>
        <v>0</v>
      </c>
      <c r="AY27" s="58">
        <f t="shared" ca="1" si="14"/>
        <v>0</v>
      </c>
      <c r="AZ27" s="58">
        <f t="shared" ca="1" si="14"/>
        <v>0</v>
      </c>
      <c r="BA27" s="58">
        <f t="shared" ca="1" si="14"/>
        <v>0</v>
      </c>
      <c r="BB27" s="58">
        <f t="shared" ca="1" si="14"/>
        <v>0</v>
      </c>
      <c r="BC27" s="58">
        <f t="shared" ca="1" si="14"/>
        <v>1</v>
      </c>
      <c r="BD27" s="58">
        <f t="shared" ca="1" si="14"/>
        <v>1</v>
      </c>
      <c r="BE27" s="58">
        <f t="shared" ca="1" si="14"/>
        <v>0</v>
      </c>
      <c r="BF27" s="58">
        <f t="shared" ca="1" si="14"/>
        <v>1</v>
      </c>
      <c r="BG27" s="58">
        <f t="shared" ca="1" si="15"/>
        <v>0</v>
      </c>
      <c r="BH27" s="58">
        <f t="shared" ca="1" si="15"/>
        <v>1</v>
      </c>
      <c r="BI27" s="58">
        <f t="shared" ca="1" si="15"/>
        <v>0</v>
      </c>
      <c r="BJ27" s="58">
        <f t="shared" ca="1" si="15"/>
        <v>0</v>
      </c>
      <c r="BK27" s="58">
        <f t="shared" ca="1" si="15"/>
        <v>0</v>
      </c>
      <c r="BL27" s="58">
        <f t="shared" ca="1" si="15"/>
        <v>0</v>
      </c>
      <c r="BM27" s="58">
        <f t="shared" ca="1" si="15"/>
        <v>1</v>
      </c>
      <c r="BN27" s="58">
        <f t="shared" ca="1" si="15"/>
        <v>0</v>
      </c>
      <c r="BO27" s="58">
        <f t="shared" ca="1" si="15"/>
        <v>1</v>
      </c>
      <c r="BP27" s="58">
        <f t="shared" ca="1" si="15"/>
        <v>0</v>
      </c>
      <c r="BQ27" s="58">
        <f t="shared" ca="1" si="15"/>
        <v>0</v>
      </c>
      <c r="BR27" s="58">
        <f t="shared" ca="1" si="15"/>
        <v>0</v>
      </c>
      <c r="BS27" s="58">
        <f t="shared" ca="1" si="15"/>
        <v>0</v>
      </c>
      <c r="BT27" s="58">
        <f t="shared" ca="1" si="15"/>
        <v>0</v>
      </c>
      <c r="BU27" s="58">
        <f t="shared" ca="1" si="15"/>
        <v>0</v>
      </c>
      <c r="BV27" s="58">
        <f t="shared" ca="1" si="15"/>
        <v>0</v>
      </c>
      <c r="BW27" s="58">
        <f t="shared" ca="1" si="16"/>
        <v>0</v>
      </c>
      <c r="BX27" s="58">
        <f t="shared" ca="1" si="16"/>
        <v>1</v>
      </c>
      <c r="BY27" s="58">
        <f t="shared" ca="1" si="16"/>
        <v>0</v>
      </c>
      <c r="BZ27" s="58">
        <f t="shared" ca="1" si="16"/>
        <v>0</v>
      </c>
      <c r="CA27" s="58">
        <f t="shared" ca="1" si="16"/>
        <v>0</v>
      </c>
      <c r="CB27" s="58">
        <f t="shared" ca="1" si="16"/>
        <v>0</v>
      </c>
      <c r="CC27" s="58">
        <f t="shared" ca="1" si="16"/>
        <v>0</v>
      </c>
      <c r="CD27" s="58">
        <f t="shared" ca="1" si="16"/>
        <v>0</v>
      </c>
      <c r="CE27" s="58">
        <f t="shared" ca="1" si="11"/>
        <v>0</v>
      </c>
      <c r="CF27" s="58">
        <f t="shared" ca="1" si="11"/>
        <v>0</v>
      </c>
      <c r="CG27" s="58">
        <f t="shared" ca="1" si="11"/>
        <v>1</v>
      </c>
      <c r="CH27" s="58">
        <f t="shared" ca="1" si="11"/>
        <v>0</v>
      </c>
      <c r="CI27" s="58">
        <f t="shared" ca="1" si="11"/>
        <v>0</v>
      </c>
      <c r="CJ27" s="58">
        <f t="shared" ca="1" si="11"/>
        <v>0</v>
      </c>
      <c r="CK27" s="58">
        <f t="shared" ca="1" si="11"/>
        <v>0</v>
      </c>
      <c r="CL27" s="58">
        <f t="shared" ca="1" si="11"/>
        <v>0</v>
      </c>
      <c r="CM27" s="58">
        <f t="shared" ca="1" si="11"/>
        <v>1</v>
      </c>
      <c r="CN27" s="58">
        <f t="shared" ca="1" si="11"/>
        <v>0</v>
      </c>
      <c r="CO27" s="58">
        <f t="shared" ca="1" si="11"/>
        <v>0</v>
      </c>
      <c r="CP27" s="58">
        <f t="shared" ca="1" si="11"/>
        <v>0</v>
      </c>
      <c r="CQ27" s="58">
        <f t="shared" ca="1" si="11"/>
        <v>1</v>
      </c>
      <c r="CR27" s="58">
        <f t="shared" ca="1" si="11"/>
        <v>0</v>
      </c>
      <c r="CS27" s="58">
        <f t="shared" ca="1" si="11"/>
        <v>0</v>
      </c>
      <c r="CT27" s="58">
        <f t="shared" ca="1" si="11"/>
        <v>0</v>
      </c>
      <c r="CU27" s="58">
        <f t="shared" ca="1" si="11"/>
        <v>0</v>
      </c>
      <c r="CV27" s="58">
        <f t="shared" ca="1" si="11"/>
        <v>0</v>
      </c>
      <c r="CW27" s="58">
        <f t="shared" ca="1" si="11"/>
        <v>0</v>
      </c>
      <c r="CX27" s="58">
        <f t="shared" ca="1" si="11"/>
        <v>1</v>
      </c>
    </row>
    <row r="28" spans="1:102" x14ac:dyDescent="0.25">
      <c r="A28" s="57" t="s">
        <v>815</v>
      </c>
      <c r="B28" s="62">
        <v>0.1</v>
      </c>
      <c r="C28" s="58">
        <f t="shared" ca="1" si="12"/>
        <v>0</v>
      </c>
      <c r="D28" s="58">
        <f t="shared" ca="1" si="12"/>
        <v>0</v>
      </c>
      <c r="E28" s="58">
        <f t="shared" ca="1" si="12"/>
        <v>0</v>
      </c>
      <c r="F28" s="58">
        <f t="shared" ca="1" si="12"/>
        <v>0</v>
      </c>
      <c r="G28" s="58">
        <f t="shared" ca="1" si="12"/>
        <v>0</v>
      </c>
      <c r="H28" s="58">
        <f t="shared" ca="1" si="12"/>
        <v>1</v>
      </c>
      <c r="I28" s="58">
        <f t="shared" ca="1" si="12"/>
        <v>0</v>
      </c>
      <c r="J28" s="58">
        <f t="shared" ca="1" si="12"/>
        <v>0</v>
      </c>
      <c r="K28" s="58">
        <f t="shared" ca="1" si="12"/>
        <v>0</v>
      </c>
      <c r="L28" s="58">
        <f t="shared" ca="1" si="12"/>
        <v>1</v>
      </c>
      <c r="M28" s="58">
        <f t="shared" ca="1" si="12"/>
        <v>0</v>
      </c>
      <c r="N28" s="58">
        <f t="shared" ca="1" si="12"/>
        <v>0</v>
      </c>
      <c r="O28" s="58">
        <f t="shared" ca="1" si="12"/>
        <v>0</v>
      </c>
      <c r="P28" s="58">
        <f t="shared" ca="1" si="12"/>
        <v>1</v>
      </c>
      <c r="Q28" s="58">
        <f t="shared" ca="1" si="12"/>
        <v>0</v>
      </c>
      <c r="R28" s="58">
        <f t="shared" ca="1" si="12"/>
        <v>0</v>
      </c>
      <c r="S28" s="58">
        <f t="shared" ca="1" si="17"/>
        <v>0</v>
      </c>
      <c r="T28" s="58">
        <f t="shared" ca="1" si="17"/>
        <v>0</v>
      </c>
      <c r="U28" s="58">
        <f t="shared" ca="1" si="17"/>
        <v>0</v>
      </c>
      <c r="V28" s="58">
        <f t="shared" ca="1" si="17"/>
        <v>0</v>
      </c>
      <c r="W28" s="58">
        <f t="shared" ca="1" si="17"/>
        <v>0</v>
      </c>
      <c r="X28" s="58">
        <f t="shared" ca="1" si="17"/>
        <v>0</v>
      </c>
      <c r="Y28" s="58">
        <f t="shared" ca="1" si="17"/>
        <v>0</v>
      </c>
      <c r="Z28" s="58">
        <f t="shared" ca="1" si="17"/>
        <v>0</v>
      </c>
      <c r="AA28" s="58">
        <f t="shared" ca="1" si="17"/>
        <v>0</v>
      </c>
      <c r="AB28" s="58">
        <f t="shared" ca="1" si="17"/>
        <v>0</v>
      </c>
      <c r="AC28" s="58">
        <f t="shared" ca="1" si="17"/>
        <v>0</v>
      </c>
      <c r="AD28" s="58">
        <f t="shared" ca="1" si="17"/>
        <v>0</v>
      </c>
      <c r="AE28" s="58">
        <f t="shared" ca="1" si="17"/>
        <v>0</v>
      </c>
      <c r="AF28" s="58">
        <f t="shared" ca="1" si="17"/>
        <v>0</v>
      </c>
      <c r="AG28" s="58">
        <f t="shared" ca="1" si="17"/>
        <v>0</v>
      </c>
      <c r="AH28" s="58">
        <f t="shared" ca="1" si="17"/>
        <v>0</v>
      </c>
      <c r="AI28" s="58">
        <f t="shared" ca="1" si="13"/>
        <v>1</v>
      </c>
      <c r="AJ28" s="58">
        <f t="shared" ca="1" si="13"/>
        <v>1</v>
      </c>
      <c r="AK28" s="58">
        <f t="shared" ca="1" si="13"/>
        <v>0</v>
      </c>
      <c r="AL28" s="58">
        <f t="shared" ca="1" si="13"/>
        <v>0</v>
      </c>
      <c r="AM28" s="58">
        <f t="shared" ca="1" si="13"/>
        <v>0</v>
      </c>
      <c r="AN28" s="58">
        <f t="shared" ca="1" si="13"/>
        <v>0</v>
      </c>
      <c r="AO28" s="58">
        <f t="shared" ca="1" si="13"/>
        <v>1</v>
      </c>
      <c r="AP28" s="58">
        <f t="shared" ca="1" si="13"/>
        <v>1</v>
      </c>
      <c r="AQ28" s="58">
        <f t="shared" ca="1" si="14"/>
        <v>0</v>
      </c>
      <c r="AR28" s="58">
        <f t="shared" ca="1" si="14"/>
        <v>0</v>
      </c>
      <c r="AS28" s="58">
        <f t="shared" ca="1" si="14"/>
        <v>0</v>
      </c>
      <c r="AT28" s="58">
        <f t="shared" ca="1" si="14"/>
        <v>0</v>
      </c>
      <c r="AU28" s="58">
        <f t="shared" ca="1" si="14"/>
        <v>0</v>
      </c>
      <c r="AV28" s="58">
        <f t="shared" ca="1" si="14"/>
        <v>0</v>
      </c>
      <c r="AW28" s="58">
        <f t="shared" ca="1" si="14"/>
        <v>0</v>
      </c>
      <c r="AX28" s="58">
        <f t="shared" ca="1" si="14"/>
        <v>0</v>
      </c>
      <c r="AY28" s="58">
        <f t="shared" ca="1" si="14"/>
        <v>0</v>
      </c>
      <c r="AZ28" s="58">
        <f t="shared" ca="1" si="14"/>
        <v>0</v>
      </c>
      <c r="BA28" s="58">
        <f t="shared" ca="1" si="14"/>
        <v>0</v>
      </c>
      <c r="BB28" s="58">
        <f t="shared" ca="1" si="14"/>
        <v>0</v>
      </c>
      <c r="BC28" s="58">
        <f t="shared" ca="1" si="14"/>
        <v>0</v>
      </c>
      <c r="BD28" s="58">
        <f t="shared" ca="1" si="14"/>
        <v>0</v>
      </c>
      <c r="BE28" s="58">
        <f t="shared" ca="1" si="14"/>
        <v>0</v>
      </c>
      <c r="BF28" s="58">
        <f t="shared" ca="1" si="14"/>
        <v>0</v>
      </c>
      <c r="BG28" s="58">
        <f t="shared" ca="1" si="15"/>
        <v>0</v>
      </c>
      <c r="BH28" s="58">
        <f t="shared" ca="1" si="15"/>
        <v>0</v>
      </c>
      <c r="BI28" s="58">
        <f t="shared" ca="1" si="15"/>
        <v>0</v>
      </c>
      <c r="BJ28" s="58">
        <f t="shared" ca="1" si="15"/>
        <v>0</v>
      </c>
      <c r="BK28" s="58">
        <f t="shared" ca="1" si="15"/>
        <v>1</v>
      </c>
      <c r="BL28" s="58">
        <f t="shared" ca="1" si="15"/>
        <v>0</v>
      </c>
      <c r="BM28" s="58">
        <f t="shared" ca="1" si="15"/>
        <v>0</v>
      </c>
      <c r="BN28" s="58">
        <f t="shared" ca="1" si="15"/>
        <v>0</v>
      </c>
      <c r="BO28" s="58">
        <f t="shared" ca="1" si="15"/>
        <v>1</v>
      </c>
      <c r="BP28" s="58">
        <f t="shared" ca="1" si="15"/>
        <v>0</v>
      </c>
      <c r="BQ28" s="58">
        <f t="shared" ca="1" si="15"/>
        <v>0</v>
      </c>
      <c r="BR28" s="58">
        <f t="shared" ca="1" si="15"/>
        <v>0</v>
      </c>
      <c r="BS28" s="58">
        <f t="shared" ca="1" si="15"/>
        <v>0</v>
      </c>
      <c r="BT28" s="58">
        <f t="shared" ca="1" si="15"/>
        <v>0</v>
      </c>
      <c r="BU28" s="58">
        <f t="shared" ca="1" si="15"/>
        <v>1</v>
      </c>
      <c r="BV28" s="58">
        <f t="shared" ca="1" si="15"/>
        <v>0</v>
      </c>
      <c r="BW28" s="58">
        <f t="shared" ca="1" si="16"/>
        <v>0</v>
      </c>
      <c r="BX28" s="58">
        <f t="shared" ca="1" si="16"/>
        <v>0</v>
      </c>
      <c r="BY28" s="58">
        <f t="shared" ca="1" si="16"/>
        <v>0</v>
      </c>
      <c r="BZ28" s="58">
        <f t="shared" ca="1" si="16"/>
        <v>0</v>
      </c>
      <c r="CA28" s="58">
        <f t="shared" ca="1" si="16"/>
        <v>0</v>
      </c>
      <c r="CB28" s="58">
        <f t="shared" ca="1" si="16"/>
        <v>0</v>
      </c>
      <c r="CC28" s="58">
        <f t="shared" ca="1" si="16"/>
        <v>0</v>
      </c>
      <c r="CD28" s="58">
        <f t="shared" ca="1" si="16"/>
        <v>0</v>
      </c>
      <c r="CE28" s="58">
        <f t="shared" ca="1" si="11"/>
        <v>0</v>
      </c>
      <c r="CF28" s="58">
        <f t="shared" ca="1" si="11"/>
        <v>0</v>
      </c>
      <c r="CG28" s="58">
        <f t="shared" ca="1" si="11"/>
        <v>0</v>
      </c>
      <c r="CH28" s="58">
        <f t="shared" ca="1" si="11"/>
        <v>0</v>
      </c>
      <c r="CI28" s="58">
        <f t="shared" ca="1" si="11"/>
        <v>0</v>
      </c>
      <c r="CJ28" s="58">
        <f t="shared" ca="1" si="11"/>
        <v>0</v>
      </c>
      <c r="CK28" s="58">
        <f t="shared" ca="1" si="11"/>
        <v>0</v>
      </c>
      <c r="CL28" s="58">
        <f t="shared" ca="1" si="11"/>
        <v>0</v>
      </c>
      <c r="CM28" s="58">
        <f t="shared" ca="1" si="11"/>
        <v>0</v>
      </c>
      <c r="CN28" s="58">
        <f t="shared" ca="1" si="11"/>
        <v>0</v>
      </c>
      <c r="CO28" s="58">
        <f t="shared" ca="1" si="11"/>
        <v>0</v>
      </c>
      <c r="CP28" s="58">
        <f t="shared" ca="1" si="11"/>
        <v>0</v>
      </c>
      <c r="CQ28" s="58">
        <f t="shared" ca="1" si="11"/>
        <v>1</v>
      </c>
      <c r="CR28" s="58">
        <f t="shared" ca="1" si="11"/>
        <v>0</v>
      </c>
      <c r="CS28" s="58">
        <f t="shared" ca="1" si="11"/>
        <v>1</v>
      </c>
      <c r="CT28" s="58">
        <f t="shared" ca="1" si="11"/>
        <v>0</v>
      </c>
      <c r="CU28" s="58">
        <f t="shared" ca="1" si="11"/>
        <v>0</v>
      </c>
      <c r="CV28" s="58">
        <f t="shared" ca="1" si="11"/>
        <v>0</v>
      </c>
      <c r="CW28" s="58">
        <f t="shared" ca="1" si="11"/>
        <v>0</v>
      </c>
      <c r="CX28" s="58">
        <f t="shared" ca="1" si="11"/>
        <v>0</v>
      </c>
    </row>
    <row r="29" spans="1:102" ht="25.5" x14ac:dyDescent="0.25">
      <c r="A29" s="57" t="s">
        <v>816</v>
      </c>
      <c r="B29" s="62">
        <v>0.15</v>
      </c>
      <c r="C29" s="58">
        <f t="shared" ca="1" si="12"/>
        <v>0</v>
      </c>
      <c r="D29" s="58">
        <f t="shared" ca="1" si="12"/>
        <v>0</v>
      </c>
      <c r="E29" s="58">
        <f t="shared" ca="1" si="12"/>
        <v>1</v>
      </c>
      <c r="F29" s="58">
        <f t="shared" ca="1" si="12"/>
        <v>0</v>
      </c>
      <c r="G29" s="58">
        <f t="shared" ca="1" si="12"/>
        <v>0</v>
      </c>
      <c r="H29" s="58">
        <f t="shared" ca="1" si="12"/>
        <v>0</v>
      </c>
      <c r="I29" s="58">
        <f t="shared" ca="1" si="12"/>
        <v>0</v>
      </c>
      <c r="J29" s="58">
        <f t="shared" ca="1" si="12"/>
        <v>0</v>
      </c>
      <c r="K29" s="58">
        <f t="shared" ca="1" si="12"/>
        <v>0</v>
      </c>
      <c r="L29" s="58">
        <f t="shared" ca="1" si="12"/>
        <v>0</v>
      </c>
      <c r="M29" s="58">
        <f t="shared" ca="1" si="12"/>
        <v>0</v>
      </c>
      <c r="N29" s="58">
        <f t="shared" ca="1" si="12"/>
        <v>0</v>
      </c>
      <c r="O29" s="58">
        <f t="shared" ca="1" si="12"/>
        <v>1</v>
      </c>
      <c r="P29" s="58">
        <f t="shared" ca="1" si="12"/>
        <v>0</v>
      </c>
      <c r="Q29" s="58">
        <f t="shared" ca="1" si="12"/>
        <v>0</v>
      </c>
      <c r="R29" s="58">
        <f t="shared" ca="1" si="12"/>
        <v>0</v>
      </c>
      <c r="S29" s="58">
        <f t="shared" ca="1" si="17"/>
        <v>0</v>
      </c>
      <c r="T29" s="58">
        <f t="shared" ca="1" si="17"/>
        <v>0</v>
      </c>
      <c r="U29" s="58">
        <f t="shared" ca="1" si="17"/>
        <v>0</v>
      </c>
      <c r="V29" s="58">
        <f t="shared" ca="1" si="17"/>
        <v>0</v>
      </c>
      <c r="W29" s="58">
        <f t="shared" ca="1" si="17"/>
        <v>0</v>
      </c>
      <c r="X29" s="58">
        <f t="shared" ca="1" si="17"/>
        <v>0</v>
      </c>
      <c r="Y29" s="58">
        <f t="shared" ca="1" si="17"/>
        <v>0</v>
      </c>
      <c r="Z29" s="58">
        <f t="shared" ca="1" si="17"/>
        <v>0</v>
      </c>
      <c r="AA29" s="58">
        <f t="shared" ca="1" si="17"/>
        <v>0</v>
      </c>
      <c r="AB29" s="58">
        <f t="shared" ca="1" si="17"/>
        <v>0</v>
      </c>
      <c r="AC29" s="58">
        <f t="shared" ca="1" si="17"/>
        <v>0</v>
      </c>
      <c r="AD29" s="58">
        <f t="shared" ca="1" si="17"/>
        <v>1</v>
      </c>
      <c r="AE29" s="58">
        <f t="shared" ca="1" si="17"/>
        <v>0</v>
      </c>
      <c r="AF29" s="58">
        <f t="shared" ca="1" si="17"/>
        <v>0</v>
      </c>
      <c r="AG29" s="58">
        <f t="shared" ca="1" si="17"/>
        <v>0</v>
      </c>
      <c r="AH29" s="58">
        <f t="shared" ca="1" si="17"/>
        <v>0</v>
      </c>
      <c r="AI29" s="58">
        <f t="shared" ca="1" si="13"/>
        <v>0</v>
      </c>
      <c r="AJ29" s="58">
        <f t="shared" ca="1" si="13"/>
        <v>0</v>
      </c>
      <c r="AK29" s="58">
        <f t="shared" ca="1" si="13"/>
        <v>0</v>
      </c>
      <c r="AL29" s="58">
        <f t="shared" ca="1" si="13"/>
        <v>0</v>
      </c>
      <c r="AM29" s="58">
        <f t="shared" ca="1" si="13"/>
        <v>0</v>
      </c>
      <c r="AN29" s="58">
        <f t="shared" ca="1" si="13"/>
        <v>0</v>
      </c>
      <c r="AO29" s="58">
        <f t="shared" ca="1" si="13"/>
        <v>0</v>
      </c>
      <c r="AP29" s="58">
        <f t="shared" ca="1" si="13"/>
        <v>0</v>
      </c>
      <c r="AQ29" s="58">
        <f t="shared" ca="1" si="14"/>
        <v>0</v>
      </c>
      <c r="AR29" s="58">
        <f t="shared" ca="1" si="14"/>
        <v>0</v>
      </c>
      <c r="AS29" s="58">
        <f t="shared" ca="1" si="14"/>
        <v>1</v>
      </c>
      <c r="AT29" s="58">
        <f t="shared" ca="1" si="14"/>
        <v>0</v>
      </c>
      <c r="AU29" s="58">
        <f t="shared" ca="1" si="14"/>
        <v>0</v>
      </c>
      <c r="AV29" s="58">
        <f t="shared" ca="1" si="14"/>
        <v>0</v>
      </c>
      <c r="AW29" s="58">
        <f t="shared" ca="1" si="14"/>
        <v>0</v>
      </c>
      <c r="AX29" s="58">
        <f t="shared" ca="1" si="14"/>
        <v>0</v>
      </c>
      <c r="AY29" s="58">
        <f t="shared" ca="1" si="14"/>
        <v>0</v>
      </c>
      <c r="AZ29" s="58">
        <f t="shared" ca="1" si="14"/>
        <v>0</v>
      </c>
      <c r="BA29" s="58">
        <f t="shared" ca="1" si="14"/>
        <v>0</v>
      </c>
      <c r="BB29" s="58">
        <f t="shared" ca="1" si="14"/>
        <v>0</v>
      </c>
      <c r="BC29" s="58">
        <f t="shared" ca="1" si="14"/>
        <v>0</v>
      </c>
      <c r="BD29" s="58">
        <f t="shared" ca="1" si="14"/>
        <v>0</v>
      </c>
      <c r="BE29" s="58">
        <f t="shared" ca="1" si="14"/>
        <v>0</v>
      </c>
      <c r="BF29" s="58">
        <f t="shared" ca="1" si="14"/>
        <v>0</v>
      </c>
      <c r="BG29" s="58">
        <f t="shared" ca="1" si="15"/>
        <v>0</v>
      </c>
      <c r="BH29" s="58">
        <f t="shared" ca="1" si="15"/>
        <v>0</v>
      </c>
      <c r="BI29" s="58">
        <f t="shared" ca="1" si="15"/>
        <v>0</v>
      </c>
      <c r="BJ29" s="58">
        <f t="shared" ca="1" si="15"/>
        <v>0</v>
      </c>
      <c r="BK29" s="58">
        <f t="shared" ca="1" si="15"/>
        <v>0</v>
      </c>
      <c r="BL29" s="58">
        <f t="shared" ca="1" si="15"/>
        <v>0</v>
      </c>
      <c r="BM29" s="58">
        <f t="shared" ca="1" si="15"/>
        <v>0</v>
      </c>
      <c r="BN29" s="58">
        <f t="shared" ca="1" si="15"/>
        <v>0</v>
      </c>
      <c r="BO29" s="58">
        <f t="shared" ca="1" si="15"/>
        <v>0</v>
      </c>
      <c r="BP29" s="58">
        <f t="shared" ca="1" si="15"/>
        <v>0</v>
      </c>
      <c r="BQ29" s="58">
        <f t="shared" ca="1" si="15"/>
        <v>0</v>
      </c>
      <c r="BR29" s="58">
        <f t="shared" ca="1" si="15"/>
        <v>0</v>
      </c>
      <c r="BS29" s="58">
        <f t="shared" ca="1" si="15"/>
        <v>1</v>
      </c>
      <c r="BT29" s="58">
        <f t="shared" ca="1" si="15"/>
        <v>0</v>
      </c>
      <c r="BU29" s="58">
        <f t="shared" ca="1" si="15"/>
        <v>0</v>
      </c>
      <c r="BV29" s="58">
        <f t="shared" ca="1" si="15"/>
        <v>0</v>
      </c>
      <c r="BW29" s="58">
        <f t="shared" ca="1" si="16"/>
        <v>0</v>
      </c>
      <c r="BX29" s="58">
        <f t="shared" ca="1" si="16"/>
        <v>0</v>
      </c>
      <c r="BY29" s="58">
        <f t="shared" ca="1" si="16"/>
        <v>0</v>
      </c>
      <c r="BZ29" s="58">
        <f t="shared" ca="1" si="16"/>
        <v>0</v>
      </c>
      <c r="CA29" s="58">
        <f t="shared" ca="1" si="16"/>
        <v>0</v>
      </c>
      <c r="CB29" s="58">
        <f t="shared" ca="1" si="16"/>
        <v>0</v>
      </c>
      <c r="CC29" s="58">
        <f t="shared" ca="1" si="16"/>
        <v>0</v>
      </c>
      <c r="CD29" s="58">
        <f t="shared" ca="1" si="16"/>
        <v>1</v>
      </c>
      <c r="CE29" s="58">
        <f t="shared" ca="1" si="11"/>
        <v>0</v>
      </c>
      <c r="CF29" s="58">
        <f t="shared" ca="1" si="11"/>
        <v>0</v>
      </c>
      <c r="CG29" s="58">
        <f t="shared" ca="1" si="11"/>
        <v>0</v>
      </c>
      <c r="CH29" s="58">
        <f t="shared" ca="1" si="11"/>
        <v>0</v>
      </c>
      <c r="CI29" s="58">
        <f t="shared" ca="1" si="11"/>
        <v>0</v>
      </c>
      <c r="CJ29" s="58">
        <f t="shared" ca="1" si="11"/>
        <v>0</v>
      </c>
      <c r="CK29" s="58">
        <f t="shared" ca="1" si="11"/>
        <v>0</v>
      </c>
      <c r="CL29" s="58">
        <f t="shared" ca="1" si="11"/>
        <v>0</v>
      </c>
      <c r="CM29" s="58">
        <f t="shared" ca="1" si="11"/>
        <v>0</v>
      </c>
      <c r="CN29" s="58">
        <f t="shared" ca="1" si="11"/>
        <v>1</v>
      </c>
      <c r="CO29" s="58">
        <f t="shared" ca="1" si="11"/>
        <v>1</v>
      </c>
      <c r="CP29" s="58">
        <f t="shared" ca="1" si="11"/>
        <v>0</v>
      </c>
      <c r="CQ29" s="58">
        <f t="shared" ca="1" si="11"/>
        <v>0</v>
      </c>
      <c r="CR29" s="58">
        <f t="shared" ca="1" si="11"/>
        <v>0</v>
      </c>
      <c r="CS29" s="58">
        <f t="shared" ca="1" si="11"/>
        <v>0</v>
      </c>
      <c r="CT29" s="58">
        <f t="shared" ca="1" si="11"/>
        <v>0</v>
      </c>
      <c r="CU29" s="58">
        <f t="shared" ca="1" si="11"/>
        <v>0</v>
      </c>
      <c r="CV29" s="58">
        <f t="shared" ca="1" si="11"/>
        <v>0</v>
      </c>
      <c r="CW29" s="58">
        <f t="shared" ca="1" si="11"/>
        <v>0</v>
      </c>
      <c r="CX29" s="58">
        <f t="shared" ca="1" si="11"/>
        <v>0</v>
      </c>
    </row>
    <row r="30" spans="1:102" x14ac:dyDescent="0.25">
      <c r="A30" s="57" t="s">
        <v>817</v>
      </c>
      <c r="B30" s="62">
        <v>0.25</v>
      </c>
      <c r="C30" s="58">
        <f t="shared" ca="1" si="12"/>
        <v>0</v>
      </c>
      <c r="D30" s="58">
        <f t="shared" ca="1" si="12"/>
        <v>0</v>
      </c>
      <c r="E30" s="58">
        <f t="shared" ca="1" si="12"/>
        <v>0</v>
      </c>
      <c r="F30" s="58">
        <f t="shared" ca="1" si="12"/>
        <v>0</v>
      </c>
      <c r="G30" s="58">
        <f t="shared" ca="1" si="12"/>
        <v>0</v>
      </c>
      <c r="H30" s="58">
        <f t="shared" ca="1" si="12"/>
        <v>0</v>
      </c>
      <c r="I30" s="58">
        <f t="shared" ca="1" si="12"/>
        <v>0</v>
      </c>
      <c r="J30" s="58">
        <f t="shared" ca="1" si="12"/>
        <v>1</v>
      </c>
      <c r="K30" s="58">
        <f t="shared" ca="1" si="12"/>
        <v>0</v>
      </c>
      <c r="L30" s="58">
        <f t="shared" ca="1" si="12"/>
        <v>0</v>
      </c>
      <c r="M30" s="58">
        <f t="shared" ca="1" si="12"/>
        <v>0</v>
      </c>
      <c r="N30" s="58">
        <f t="shared" ca="1" si="12"/>
        <v>1</v>
      </c>
      <c r="O30" s="58">
        <f t="shared" ca="1" si="12"/>
        <v>0</v>
      </c>
      <c r="P30" s="58">
        <f t="shared" ca="1" si="12"/>
        <v>1</v>
      </c>
      <c r="Q30" s="58">
        <f t="shared" ca="1" si="12"/>
        <v>1</v>
      </c>
      <c r="R30" s="58">
        <f t="shared" ca="1" si="12"/>
        <v>0</v>
      </c>
      <c r="S30" s="58">
        <f t="shared" ca="1" si="17"/>
        <v>0</v>
      </c>
      <c r="T30" s="58">
        <f t="shared" ca="1" si="17"/>
        <v>0</v>
      </c>
      <c r="U30" s="58">
        <f t="shared" ca="1" si="17"/>
        <v>0</v>
      </c>
      <c r="V30" s="58">
        <f t="shared" ca="1" si="17"/>
        <v>0</v>
      </c>
      <c r="W30" s="58">
        <f t="shared" ca="1" si="17"/>
        <v>0</v>
      </c>
      <c r="X30" s="58">
        <f t="shared" ca="1" si="17"/>
        <v>0</v>
      </c>
      <c r="Y30" s="58">
        <f t="shared" ca="1" si="17"/>
        <v>0</v>
      </c>
      <c r="Z30" s="58">
        <f t="shared" ca="1" si="17"/>
        <v>1</v>
      </c>
      <c r="AA30" s="58">
        <f t="shared" ca="1" si="17"/>
        <v>0</v>
      </c>
      <c r="AB30" s="58">
        <f t="shared" ca="1" si="17"/>
        <v>0</v>
      </c>
      <c r="AC30" s="58">
        <f t="shared" ca="1" si="17"/>
        <v>1</v>
      </c>
      <c r="AD30" s="58">
        <f t="shared" ca="1" si="17"/>
        <v>0</v>
      </c>
      <c r="AE30" s="58">
        <f t="shared" ca="1" si="17"/>
        <v>0</v>
      </c>
      <c r="AF30" s="58">
        <f t="shared" ca="1" si="17"/>
        <v>1</v>
      </c>
      <c r="AG30" s="58">
        <f t="shared" ca="1" si="17"/>
        <v>0</v>
      </c>
      <c r="AH30" s="58">
        <f t="shared" ca="1" si="17"/>
        <v>1</v>
      </c>
      <c r="AI30" s="58">
        <f t="shared" ca="1" si="13"/>
        <v>0</v>
      </c>
      <c r="AJ30" s="58">
        <f t="shared" ca="1" si="13"/>
        <v>0</v>
      </c>
      <c r="AK30" s="58">
        <f t="shared" ca="1" si="13"/>
        <v>1</v>
      </c>
      <c r="AL30" s="58">
        <f t="shared" ca="1" si="13"/>
        <v>0</v>
      </c>
      <c r="AM30" s="58">
        <f t="shared" ca="1" si="13"/>
        <v>0</v>
      </c>
      <c r="AN30" s="58">
        <f t="shared" ca="1" si="13"/>
        <v>1</v>
      </c>
      <c r="AO30" s="58">
        <f t="shared" ca="1" si="13"/>
        <v>0</v>
      </c>
      <c r="AP30" s="58">
        <f t="shared" ca="1" si="13"/>
        <v>0</v>
      </c>
      <c r="AQ30" s="58">
        <f t="shared" ca="1" si="14"/>
        <v>0</v>
      </c>
      <c r="AR30" s="58">
        <f t="shared" ca="1" si="14"/>
        <v>1</v>
      </c>
      <c r="AS30" s="58">
        <f t="shared" ca="1" si="14"/>
        <v>0</v>
      </c>
      <c r="AT30" s="58">
        <f t="shared" ca="1" si="14"/>
        <v>0</v>
      </c>
      <c r="AU30" s="58">
        <f t="shared" ca="1" si="14"/>
        <v>0</v>
      </c>
      <c r="AV30" s="58">
        <f t="shared" ca="1" si="14"/>
        <v>0</v>
      </c>
      <c r="AW30" s="58">
        <f t="shared" ca="1" si="14"/>
        <v>1</v>
      </c>
      <c r="AX30" s="58">
        <f t="shared" ca="1" si="14"/>
        <v>0</v>
      </c>
      <c r="AY30" s="58">
        <f t="shared" ca="1" si="14"/>
        <v>0</v>
      </c>
      <c r="AZ30" s="58">
        <f t="shared" ca="1" si="14"/>
        <v>0</v>
      </c>
      <c r="BA30" s="58">
        <f t="shared" ca="1" si="14"/>
        <v>0</v>
      </c>
      <c r="BB30" s="58">
        <f t="shared" ca="1" si="14"/>
        <v>1</v>
      </c>
      <c r="BC30" s="58">
        <f t="shared" ca="1" si="14"/>
        <v>1</v>
      </c>
      <c r="BD30" s="58">
        <f t="shared" ca="1" si="14"/>
        <v>0</v>
      </c>
      <c r="BE30" s="58">
        <f t="shared" ca="1" si="14"/>
        <v>0</v>
      </c>
      <c r="BF30" s="58">
        <f t="shared" ca="1" si="14"/>
        <v>0</v>
      </c>
      <c r="BG30" s="58">
        <f t="shared" ca="1" si="15"/>
        <v>0</v>
      </c>
      <c r="BH30" s="58">
        <f t="shared" ca="1" si="15"/>
        <v>0</v>
      </c>
      <c r="BI30" s="58">
        <f t="shared" ca="1" si="15"/>
        <v>0</v>
      </c>
      <c r="BJ30" s="58">
        <f t="shared" ca="1" si="15"/>
        <v>0</v>
      </c>
      <c r="BK30" s="58">
        <f t="shared" ca="1" si="15"/>
        <v>0</v>
      </c>
      <c r="BL30" s="58">
        <f t="shared" ca="1" si="15"/>
        <v>0</v>
      </c>
      <c r="BM30" s="58">
        <f t="shared" ca="1" si="15"/>
        <v>0</v>
      </c>
      <c r="BN30" s="58">
        <f t="shared" ca="1" si="15"/>
        <v>0</v>
      </c>
      <c r="BO30" s="58">
        <f t="shared" ca="1" si="15"/>
        <v>0</v>
      </c>
      <c r="BP30" s="58">
        <f t="shared" ca="1" si="15"/>
        <v>0</v>
      </c>
      <c r="BQ30" s="58">
        <f t="shared" ca="1" si="15"/>
        <v>1</v>
      </c>
      <c r="BR30" s="58">
        <f t="shared" ca="1" si="15"/>
        <v>1</v>
      </c>
      <c r="BS30" s="58">
        <f t="shared" ca="1" si="15"/>
        <v>1</v>
      </c>
      <c r="BT30" s="58">
        <f t="shared" ca="1" si="15"/>
        <v>0</v>
      </c>
      <c r="BU30" s="58">
        <f t="shared" ca="1" si="15"/>
        <v>0</v>
      </c>
      <c r="BV30" s="58">
        <f t="shared" ca="1" si="15"/>
        <v>1</v>
      </c>
      <c r="BW30" s="58">
        <f t="shared" ca="1" si="16"/>
        <v>0</v>
      </c>
      <c r="BX30" s="58">
        <f t="shared" ca="1" si="16"/>
        <v>0</v>
      </c>
      <c r="BY30" s="58">
        <f t="shared" ca="1" si="16"/>
        <v>0</v>
      </c>
      <c r="BZ30" s="58">
        <f t="shared" ca="1" si="16"/>
        <v>0</v>
      </c>
      <c r="CA30" s="58">
        <f t="shared" ca="1" si="16"/>
        <v>1</v>
      </c>
      <c r="CB30" s="58">
        <f t="shared" ca="1" si="16"/>
        <v>0</v>
      </c>
      <c r="CC30" s="58">
        <f t="shared" ca="1" si="16"/>
        <v>0</v>
      </c>
      <c r="CD30" s="58">
        <f t="shared" ca="1" si="16"/>
        <v>1</v>
      </c>
      <c r="CE30" s="58">
        <f t="shared" ca="1" si="11"/>
        <v>0</v>
      </c>
      <c r="CF30" s="58">
        <f t="shared" ca="1" si="11"/>
        <v>0</v>
      </c>
      <c r="CG30" s="58">
        <f t="shared" ca="1" si="11"/>
        <v>0</v>
      </c>
      <c r="CH30" s="58">
        <f t="shared" ca="1" si="11"/>
        <v>0</v>
      </c>
      <c r="CI30" s="58">
        <f t="shared" ca="1" si="11"/>
        <v>0</v>
      </c>
      <c r="CJ30" s="58">
        <f t="shared" ca="1" si="11"/>
        <v>0</v>
      </c>
      <c r="CK30" s="58">
        <f t="shared" ca="1" si="11"/>
        <v>0</v>
      </c>
      <c r="CL30" s="58">
        <f t="shared" ca="1" si="11"/>
        <v>0</v>
      </c>
      <c r="CM30" s="58">
        <f t="shared" ca="1" si="11"/>
        <v>0</v>
      </c>
      <c r="CN30" s="58">
        <f t="shared" ca="1" si="11"/>
        <v>0</v>
      </c>
      <c r="CO30" s="58">
        <f t="shared" ca="1" si="11"/>
        <v>0</v>
      </c>
      <c r="CP30" s="58">
        <f t="shared" ca="1" si="11"/>
        <v>0</v>
      </c>
      <c r="CQ30" s="58">
        <f t="shared" ca="1" si="11"/>
        <v>0</v>
      </c>
      <c r="CR30" s="58">
        <f t="shared" ca="1" si="11"/>
        <v>0</v>
      </c>
      <c r="CS30" s="58">
        <f t="shared" ca="1" si="11"/>
        <v>1</v>
      </c>
      <c r="CT30" s="58">
        <f t="shared" ca="1" si="11"/>
        <v>0</v>
      </c>
      <c r="CU30" s="58">
        <f t="shared" ca="1" si="11"/>
        <v>1</v>
      </c>
      <c r="CV30" s="58">
        <f t="shared" ca="1" si="11"/>
        <v>0</v>
      </c>
      <c r="CW30" s="58">
        <f t="shared" ca="1" si="11"/>
        <v>0</v>
      </c>
      <c r="CX30" s="58">
        <f t="shared" ca="1" si="11"/>
        <v>0</v>
      </c>
    </row>
    <row r="31" spans="1:102" ht="25.5" x14ac:dyDescent="0.25">
      <c r="A31" s="57" t="s">
        <v>818</v>
      </c>
      <c r="B31" s="62">
        <v>0.22</v>
      </c>
      <c r="C31" s="58">
        <f t="shared" ca="1" si="12"/>
        <v>0</v>
      </c>
      <c r="D31" s="58">
        <f t="shared" ca="1" si="12"/>
        <v>0</v>
      </c>
      <c r="E31" s="58">
        <f t="shared" ca="1" si="12"/>
        <v>0</v>
      </c>
      <c r="F31" s="58">
        <f t="shared" ca="1" si="12"/>
        <v>1</v>
      </c>
      <c r="G31" s="58">
        <f t="shared" ca="1" si="12"/>
        <v>0</v>
      </c>
      <c r="H31" s="58">
        <f t="shared" ca="1" si="12"/>
        <v>1</v>
      </c>
      <c r="I31" s="58">
        <f t="shared" ca="1" si="12"/>
        <v>0</v>
      </c>
      <c r="J31" s="58">
        <f t="shared" ca="1" si="12"/>
        <v>0</v>
      </c>
      <c r="K31" s="58">
        <f t="shared" ca="1" si="12"/>
        <v>0</v>
      </c>
      <c r="L31" s="58">
        <f t="shared" ca="1" si="12"/>
        <v>0</v>
      </c>
      <c r="M31" s="58">
        <f t="shared" ca="1" si="12"/>
        <v>1</v>
      </c>
      <c r="N31" s="58">
        <f t="shared" ca="1" si="12"/>
        <v>0</v>
      </c>
      <c r="O31" s="58">
        <f t="shared" ca="1" si="12"/>
        <v>0</v>
      </c>
      <c r="P31" s="58">
        <f t="shared" ca="1" si="12"/>
        <v>0</v>
      </c>
      <c r="Q31" s="58">
        <f t="shared" ca="1" si="12"/>
        <v>0</v>
      </c>
      <c r="R31" s="58">
        <f t="shared" ca="1" si="12"/>
        <v>0</v>
      </c>
      <c r="S31" s="58">
        <f t="shared" ca="1" si="17"/>
        <v>0</v>
      </c>
      <c r="T31" s="58">
        <f t="shared" ca="1" si="17"/>
        <v>0</v>
      </c>
      <c r="U31" s="58">
        <f t="shared" ca="1" si="17"/>
        <v>0</v>
      </c>
      <c r="V31" s="58">
        <f t="shared" ca="1" si="17"/>
        <v>0</v>
      </c>
      <c r="W31" s="58">
        <f t="shared" ca="1" si="17"/>
        <v>1</v>
      </c>
      <c r="X31" s="58">
        <f t="shared" ca="1" si="17"/>
        <v>0</v>
      </c>
      <c r="Y31" s="58">
        <f t="shared" ca="1" si="17"/>
        <v>0</v>
      </c>
      <c r="Z31" s="58">
        <f t="shared" ca="1" si="17"/>
        <v>0</v>
      </c>
      <c r="AA31" s="58">
        <f t="shared" ca="1" si="17"/>
        <v>0</v>
      </c>
      <c r="AB31" s="58">
        <f t="shared" ca="1" si="17"/>
        <v>0</v>
      </c>
      <c r="AC31" s="58">
        <f t="shared" ca="1" si="17"/>
        <v>0</v>
      </c>
      <c r="AD31" s="58">
        <f t="shared" ca="1" si="17"/>
        <v>0</v>
      </c>
      <c r="AE31" s="58">
        <f t="shared" ca="1" si="17"/>
        <v>1</v>
      </c>
      <c r="AF31" s="58">
        <f t="shared" ca="1" si="17"/>
        <v>0</v>
      </c>
      <c r="AG31" s="58">
        <f t="shared" ca="1" si="17"/>
        <v>0</v>
      </c>
      <c r="AH31" s="58">
        <f t="shared" ca="1" si="17"/>
        <v>0</v>
      </c>
      <c r="AI31" s="58">
        <f t="shared" ca="1" si="13"/>
        <v>0</v>
      </c>
      <c r="AJ31" s="58">
        <f t="shared" ca="1" si="13"/>
        <v>0</v>
      </c>
      <c r="AK31" s="58">
        <f t="shared" ca="1" si="13"/>
        <v>1</v>
      </c>
      <c r="AL31" s="58">
        <f t="shared" ca="1" si="13"/>
        <v>0</v>
      </c>
      <c r="AM31" s="58">
        <f t="shared" ca="1" si="13"/>
        <v>0</v>
      </c>
      <c r="AN31" s="58">
        <f t="shared" ca="1" si="13"/>
        <v>1</v>
      </c>
      <c r="AO31" s="58">
        <f t="shared" ca="1" si="13"/>
        <v>0</v>
      </c>
      <c r="AP31" s="58">
        <f t="shared" ca="1" si="13"/>
        <v>0</v>
      </c>
      <c r="AQ31" s="58">
        <f t="shared" ca="1" si="14"/>
        <v>0</v>
      </c>
      <c r="AR31" s="58">
        <f t="shared" ca="1" si="14"/>
        <v>0</v>
      </c>
      <c r="AS31" s="58">
        <f t="shared" ca="1" si="14"/>
        <v>0</v>
      </c>
      <c r="AT31" s="58">
        <f t="shared" ca="1" si="14"/>
        <v>0</v>
      </c>
      <c r="AU31" s="58">
        <f t="shared" ca="1" si="14"/>
        <v>1</v>
      </c>
      <c r="AV31" s="58">
        <f t="shared" ca="1" si="14"/>
        <v>0</v>
      </c>
      <c r="AW31" s="58">
        <f t="shared" ca="1" si="14"/>
        <v>0</v>
      </c>
      <c r="AX31" s="58">
        <f t="shared" ca="1" si="14"/>
        <v>1</v>
      </c>
      <c r="AY31" s="58">
        <f t="shared" ca="1" si="14"/>
        <v>0</v>
      </c>
      <c r="AZ31" s="58">
        <f t="shared" ca="1" si="14"/>
        <v>0</v>
      </c>
      <c r="BA31" s="58">
        <f t="shared" ca="1" si="14"/>
        <v>0</v>
      </c>
      <c r="BB31" s="58">
        <f t="shared" ca="1" si="14"/>
        <v>0</v>
      </c>
      <c r="BC31" s="58">
        <f t="shared" ca="1" si="14"/>
        <v>0</v>
      </c>
      <c r="BD31" s="58">
        <f t="shared" ca="1" si="14"/>
        <v>0</v>
      </c>
      <c r="BE31" s="58">
        <f t="shared" ca="1" si="14"/>
        <v>0</v>
      </c>
      <c r="BF31" s="58">
        <f t="shared" ca="1" si="14"/>
        <v>0</v>
      </c>
      <c r="BG31" s="58">
        <f t="shared" ca="1" si="15"/>
        <v>0</v>
      </c>
      <c r="BH31" s="58">
        <f t="shared" ca="1" si="15"/>
        <v>0</v>
      </c>
      <c r="BI31" s="58">
        <f t="shared" ca="1" si="15"/>
        <v>0</v>
      </c>
      <c r="BJ31" s="58">
        <f t="shared" ca="1" si="15"/>
        <v>0</v>
      </c>
      <c r="BK31" s="58">
        <f t="shared" ca="1" si="15"/>
        <v>0</v>
      </c>
      <c r="BL31" s="58">
        <f t="shared" ca="1" si="15"/>
        <v>0</v>
      </c>
      <c r="BM31" s="58">
        <f t="shared" ca="1" si="15"/>
        <v>1</v>
      </c>
      <c r="BN31" s="58">
        <f t="shared" ca="1" si="15"/>
        <v>0</v>
      </c>
      <c r="BO31" s="58">
        <f t="shared" ca="1" si="15"/>
        <v>1</v>
      </c>
      <c r="BP31" s="58">
        <f t="shared" ca="1" si="15"/>
        <v>0</v>
      </c>
      <c r="BQ31" s="58">
        <f t="shared" ca="1" si="15"/>
        <v>0</v>
      </c>
      <c r="BR31" s="58">
        <f t="shared" ca="1" si="15"/>
        <v>0</v>
      </c>
      <c r="BS31" s="58">
        <f t="shared" ca="1" si="15"/>
        <v>0</v>
      </c>
      <c r="BT31" s="58">
        <f t="shared" ca="1" si="15"/>
        <v>0</v>
      </c>
      <c r="BU31" s="58">
        <f t="shared" ca="1" si="15"/>
        <v>0</v>
      </c>
      <c r="BV31" s="58">
        <f t="shared" ca="1" si="15"/>
        <v>1</v>
      </c>
      <c r="BW31" s="58">
        <f t="shared" ca="1" si="16"/>
        <v>0</v>
      </c>
      <c r="BX31" s="58">
        <f t="shared" ca="1" si="16"/>
        <v>1</v>
      </c>
      <c r="BY31" s="58">
        <f t="shared" ca="1" si="16"/>
        <v>1</v>
      </c>
      <c r="BZ31" s="58">
        <f t="shared" ca="1" si="16"/>
        <v>1</v>
      </c>
      <c r="CA31" s="58">
        <f t="shared" ca="1" si="16"/>
        <v>0</v>
      </c>
      <c r="CB31" s="58">
        <f t="shared" ca="1" si="16"/>
        <v>0</v>
      </c>
      <c r="CC31" s="58">
        <f t="shared" ca="1" si="16"/>
        <v>1</v>
      </c>
      <c r="CD31" s="58">
        <f t="shared" ca="1" si="16"/>
        <v>0</v>
      </c>
      <c r="CE31" s="58">
        <f t="shared" ca="1" si="11"/>
        <v>0</v>
      </c>
      <c r="CF31" s="58">
        <f t="shared" ca="1" si="11"/>
        <v>0</v>
      </c>
      <c r="CG31" s="58">
        <f t="shared" ca="1" si="11"/>
        <v>0</v>
      </c>
      <c r="CH31" s="58">
        <f t="shared" ca="1" si="11"/>
        <v>0</v>
      </c>
      <c r="CI31" s="58">
        <f t="shared" ca="1" si="11"/>
        <v>0</v>
      </c>
      <c r="CJ31" s="58">
        <f t="shared" ca="1" si="11"/>
        <v>0</v>
      </c>
      <c r="CK31" s="58">
        <f t="shared" ca="1" si="11"/>
        <v>0</v>
      </c>
      <c r="CL31" s="58">
        <f t="shared" ca="1" si="11"/>
        <v>0</v>
      </c>
      <c r="CM31" s="58">
        <f t="shared" ca="1" si="11"/>
        <v>1</v>
      </c>
      <c r="CN31" s="58">
        <f t="shared" ca="1" si="11"/>
        <v>0</v>
      </c>
      <c r="CO31" s="58">
        <f t="shared" ca="1" si="11"/>
        <v>0</v>
      </c>
      <c r="CP31" s="58">
        <f t="shared" ca="1" si="11"/>
        <v>0</v>
      </c>
      <c r="CQ31" s="58">
        <f t="shared" ca="1" si="11"/>
        <v>0</v>
      </c>
      <c r="CR31" s="58">
        <f t="shared" ca="1" si="11"/>
        <v>0</v>
      </c>
      <c r="CS31" s="58">
        <f t="shared" ca="1" si="11"/>
        <v>0</v>
      </c>
      <c r="CT31" s="58">
        <f t="shared" ca="1" si="11"/>
        <v>0</v>
      </c>
      <c r="CU31" s="58">
        <f t="shared" ca="1" si="11"/>
        <v>0</v>
      </c>
      <c r="CV31" s="58">
        <f t="shared" ca="1" si="11"/>
        <v>0</v>
      </c>
      <c r="CW31" s="58">
        <f t="shared" ca="1" si="11"/>
        <v>0</v>
      </c>
      <c r="CX31" s="58">
        <f t="shared" ca="1" si="11"/>
        <v>1</v>
      </c>
    </row>
    <row r="32" spans="1:102" x14ac:dyDescent="0.25">
      <c r="A32" s="57" t="s">
        <v>846</v>
      </c>
      <c r="B32" s="62">
        <v>0.15</v>
      </c>
      <c r="C32" s="58">
        <f t="shared" ca="1" si="12"/>
        <v>0</v>
      </c>
      <c r="D32" s="58">
        <f t="shared" ca="1" si="12"/>
        <v>0</v>
      </c>
      <c r="E32" s="58">
        <f t="shared" ca="1" si="12"/>
        <v>1</v>
      </c>
      <c r="F32" s="58">
        <f t="shared" ca="1" si="12"/>
        <v>0</v>
      </c>
      <c r="G32" s="58">
        <f t="shared" ca="1" si="12"/>
        <v>0</v>
      </c>
      <c r="H32" s="58">
        <f t="shared" ca="1" si="12"/>
        <v>0</v>
      </c>
      <c r="I32" s="58">
        <f t="shared" ca="1" si="12"/>
        <v>0</v>
      </c>
      <c r="J32" s="58">
        <f t="shared" ca="1" si="12"/>
        <v>0</v>
      </c>
      <c r="K32" s="58">
        <f t="shared" ca="1" si="12"/>
        <v>0</v>
      </c>
      <c r="L32" s="58">
        <f t="shared" ca="1" si="12"/>
        <v>0</v>
      </c>
      <c r="M32" s="58">
        <f t="shared" ca="1" si="12"/>
        <v>0</v>
      </c>
      <c r="N32" s="58">
        <f t="shared" ca="1" si="12"/>
        <v>0</v>
      </c>
      <c r="O32" s="58">
        <f t="shared" ca="1" si="12"/>
        <v>0</v>
      </c>
      <c r="P32" s="58">
        <f t="shared" ca="1" si="12"/>
        <v>1</v>
      </c>
      <c r="Q32" s="58">
        <f t="shared" ca="1" si="12"/>
        <v>0</v>
      </c>
      <c r="R32" s="58">
        <f t="shared" ca="1" si="12"/>
        <v>0</v>
      </c>
      <c r="S32" s="58">
        <f t="shared" ca="1" si="17"/>
        <v>0</v>
      </c>
      <c r="T32" s="58">
        <f t="shared" ca="1" si="17"/>
        <v>0</v>
      </c>
      <c r="U32" s="58">
        <f t="shared" ca="1" si="17"/>
        <v>1</v>
      </c>
      <c r="V32" s="58">
        <f t="shared" ca="1" si="17"/>
        <v>0</v>
      </c>
      <c r="W32" s="58">
        <f t="shared" ca="1" si="17"/>
        <v>0</v>
      </c>
      <c r="X32" s="58">
        <f t="shared" ca="1" si="17"/>
        <v>0</v>
      </c>
      <c r="Y32" s="58">
        <f t="shared" ca="1" si="17"/>
        <v>0</v>
      </c>
      <c r="Z32" s="58">
        <f t="shared" ca="1" si="17"/>
        <v>0</v>
      </c>
      <c r="AA32" s="58">
        <f t="shared" ca="1" si="17"/>
        <v>0</v>
      </c>
      <c r="AB32" s="58">
        <f t="shared" ca="1" si="17"/>
        <v>0</v>
      </c>
      <c r="AC32" s="58">
        <f t="shared" ca="1" si="17"/>
        <v>0</v>
      </c>
      <c r="AD32" s="58">
        <f t="shared" ca="1" si="17"/>
        <v>0</v>
      </c>
      <c r="AE32" s="58">
        <f t="shared" ca="1" si="17"/>
        <v>1</v>
      </c>
      <c r="AF32" s="58">
        <f t="shared" ca="1" si="17"/>
        <v>0</v>
      </c>
      <c r="AG32" s="58">
        <f t="shared" ca="1" si="17"/>
        <v>0</v>
      </c>
      <c r="AH32" s="58">
        <f t="shared" ca="1" si="17"/>
        <v>0</v>
      </c>
      <c r="AI32" s="58">
        <f t="shared" ca="1" si="13"/>
        <v>0</v>
      </c>
      <c r="AJ32" s="58">
        <f t="shared" ca="1" si="13"/>
        <v>0</v>
      </c>
      <c r="AK32" s="58">
        <f t="shared" ca="1" si="13"/>
        <v>0</v>
      </c>
      <c r="AL32" s="58">
        <f t="shared" ca="1" si="13"/>
        <v>0</v>
      </c>
      <c r="AM32" s="58">
        <f t="shared" ca="1" si="13"/>
        <v>0</v>
      </c>
      <c r="AN32" s="58">
        <f t="shared" ca="1" si="13"/>
        <v>0</v>
      </c>
      <c r="AO32" s="58">
        <f t="shared" ca="1" si="13"/>
        <v>0</v>
      </c>
      <c r="AP32" s="58">
        <f t="shared" ca="1" si="13"/>
        <v>0</v>
      </c>
      <c r="AQ32" s="58">
        <f t="shared" ca="1" si="14"/>
        <v>0</v>
      </c>
      <c r="AR32" s="58">
        <f t="shared" ca="1" si="14"/>
        <v>1</v>
      </c>
      <c r="AS32" s="58">
        <f t="shared" ca="1" si="14"/>
        <v>0</v>
      </c>
      <c r="AT32" s="58">
        <f t="shared" ca="1" si="14"/>
        <v>0</v>
      </c>
      <c r="AU32" s="58">
        <f t="shared" ca="1" si="14"/>
        <v>0</v>
      </c>
      <c r="AV32" s="58">
        <f t="shared" ca="1" si="14"/>
        <v>0</v>
      </c>
      <c r="AW32" s="58">
        <f t="shared" ca="1" si="14"/>
        <v>0</v>
      </c>
      <c r="AX32" s="58">
        <f t="shared" ca="1" si="14"/>
        <v>1</v>
      </c>
      <c r="AY32" s="58">
        <f t="shared" ca="1" si="14"/>
        <v>0</v>
      </c>
      <c r="AZ32" s="58">
        <f t="shared" ca="1" si="14"/>
        <v>0</v>
      </c>
      <c r="BA32" s="58">
        <f t="shared" ca="1" si="14"/>
        <v>0</v>
      </c>
      <c r="BB32" s="58">
        <f t="shared" ca="1" si="14"/>
        <v>0</v>
      </c>
      <c r="BC32" s="58">
        <f t="shared" ca="1" si="14"/>
        <v>0</v>
      </c>
      <c r="BD32" s="58">
        <f t="shared" ca="1" si="14"/>
        <v>0</v>
      </c>
      <c r="BE32" s="58">
        <f t="shared" ca="1" si="14"/>
        <v>0</v>
      </c>
      <c r="BF32" s="58">
        <f t="shared" ca="1" si="14"/>
        <v>1</v>
      </c>
      <c r="BG32" s="58">
        <f t="shared" ca="1" si="15"/>
        <v>0</v>
      </c>
      <c r="BH32" s="58">
        <f t="shared" ca="1" si="15"/>
        <v>0</v>
      </c>
      <c r="BI32" s="58">
        <f t="shared" ca="1" si="15"/>
        <v>0</v>
      </c>
      <c r="BJ32" s="58">
        <f t="shared" ca="1" si="15"/>
        <v>0</v>
      </c>
      <c r="BK32" s="58">
        <f t="shared" ca="1" si="15"/>
        <v>0</v>
      </c>
      <c r="BL32" s="58">
        <f t="shared" ca="1" si="15"/>
        <v>0</v>
      </c>
      <c r="BM32" s="58">
        <f t="shared" ca="1" si="15"/>
        <v>0</v>
      </c>
      <c r="BN32" s="58">
        <f t="shared" ca="1" si="15"/>
        <v>0</v>
      </c>
      <c r="BO32" s="58">
        <f t="shared" ca="1" si="15"/>
        <v>0</v>
      </c>
      <c r="BP32" s="58">
        <f t="shared" ca="1" si="15"/>
        <v>0</v>
      </c>
      <c r="BQ32" s="58">
        <f t="shared" ca="1" si="15"/>
        <v>0</v>
      </c>
      <c r="BR32" s="58">
        <f t="shared" ca="1" si="15"/>
        <v>0</v>
      </c>
      <c r="BS32" s="58">
        <f t="shared" ca="1" si="15"/>
        <v>0</v>
      </c>
      <c r="BT32" s="58">
        <f t="shared" ca="1" si="15"/>
        <v>0</v>
      </c>
      <c r="BU32" s="58">
        <f t="shared" ca="1" si="15"/>
        <v>0</v>
      </c>
      <c r="BV32" s="58">
        <f t="shared" ca="1" si="15"/>
        <v>0</v>
      </c>
      <c r="BW32" s="58">
        <f t="shared" ca="1" si="16"/>
        <v>1</v>
      </c>
      <c r="BX32" s="58">
        <f t="shared" ca="1" si="16"/>
        <v>0</v>
      </c>
      <c r="BY32" s="58">
        <f t="shared" ca="1" si="16"/>
        <v>0</v>
      </c>
      <c r="BZ32" s="58">
        <f t="shared" ca="1" si="16"/>
        <v>0</v>
      </c>
      <c r="CA32" s="58">
        <f t="shared" ca="1" si="16"/>
        <v>0</v>
      </c>
      <c r="CB32" s="58">
        <f t="shared" ca="1" si="16"/>
        <v>0</v>
      </c>
      <c r="CC32" s="58">
        <f t="shared" ca="1" si="16"/>
        <v>0</v>
      </c>
      <c r="CD32" s="58">
        <f t="shared" ca="1" si="16"/>
        <v>0</v>
      </c>
      <c r="CE32" s="58">
        <f t="shared" ca="1" si="11"/>
        <v>0</v>
      </c>
      <c r="CF32" s="58">
        <f t="shared" ca="1" si="11"/>
        <v>0</v>
      </c>
      <c r="CG32" s="58">
        <f t="shared" ca="1" si="11"/>
        <v>0</v>
      </c>
      <c r="CH32" s="58">
        <f t="shared" ref="CH32:CW37" ca="1" si="18">IF((RANDBETWEEN(0,100)/100)&lt;$B32,1,0)</f>
        <v>0</v>
      </c>
      <c r="CI32" s="58">
        <f t="shared" ca="1" si="18"/>
        <v>0</v>
      </c>
      <c r="CJ32" s="58">
        <f t="shared" ca="1" si="18"/>
        <v>0</v>
      </c>
      <c r="CK32" s="58">
        <f t="shared" ca="1" si="18"/>
        <v>0</v>
      </c>
      <c r="CL32" s="58">
        <f t="shared" ca="1" si="18"/>
        <v>0</v>
      </c>
      <c r="CM32" s="58">
        <f t="shared" ca="1" si="18"/>
        <v>0</v>
      </c>
      <c r="CN32" s="58">
        <f t="shared" ca="1" si="18"/>
        <v>1</v>
      </c>
      <c r="CO32" s="58">
        <f t="shared" ca="1" si="18"/>
        <v>0</v>
      </c>
      <c r="CP32" s="58">
        <f t="shared" ca="1" si="18"/>
        <v>0</v>
      </c>
      <c r="CQ32" s="58">
        <f t="shared" ca="1" si="18"/>
        <v>0</v>
      </c>
      <c r="CR32" s="58">
        <f t="shared" ca="1" si="18"/>
        <v>0</v>
      </c>
      <c r="CS32" s="58">
        <f t="shared" ca="1" si="18"/>
        <v>1</v>
      </c>
      <c r="CT32" s="58">
        <f t="shared" ca="1" si="18"/>
        <v>0</v>
      </c>
      <c r="CU32" s="58">
        <f t="shared" ca="1" si="18"/>
        <v>1</v>
      </c>
      <c r="CV32" s="58">
        <f t="shared" ca="1" si="18"/>
        <v>0</v>
      </c>
      <c r="CW32" s="58">
        <f t="shared" ca="1" si="18"/>
        <v>0</v>
      </c>
      <c r="CX32" s="58">
        <f t="shared" ref="CU32:CX37" ca="1" si="19">IF((RANDBETWEEN(0,100)/100)&lt;$B32,1,0)</f>
        <v>1</v>
      </c>
    </row>
    <row r="33" spans="1:102" x14ac:dyDescent="0.25">
      <c r="A33" s="57" t="s">
        <v>819</v>
      </c>
      <c r="B33" s="62">
        <v>0.14000000000000001</v>
      </c>
      <c r="C33" s="58">
        <f t="shared" ca="1" si="12"/>
        <v>0</v>
      </c>
      <c r="D33" s="58">
        <f t="shared" ca="1" si="12"/>
        <v>1</v>
      </c>
      <c r="E33" s="58">
        <f t="shared" ca="1" si="12"/>
        <v>0</v>
      </c>
      <c r="F33" s="58">
        <f t="shared" ca="1" si="12"/>
        <v>0</v>
      </c>
      <c r="G33" s="58">
        <f t="shared" ca="1" si="12"/>
        <v>0</v>
      </c>
      <c r="H33" s="58">
        <f t="shared" ca="1" si="12"/>
        <v>0</v>
      </c>
      <c r="I33" s="58">
        <f t="shared" ca="1" si="12"/>
        <v>0</v>
      </c>
      <c r="J33" s="58">
        <f t="shared" ca="1" si="12"/>
        <v>1</v>
      </c>
      <c r="K33" s="58">
        <f t="shared" ca="1" si="12"/>
        <v>0</v>
      </c>
      <c r="L33" s="58">
        <f t="shared" ca="1" si="12"/>
        <v>1</v>
      </c>
      <c r="M33" s="58">
        <f t="shared" ca="1" si="12"/>
        <v>0</v>
      </c>
      <c r="N33" s="58">
        <f t="shared" ca="1" si="12"/>
        <v>0</v>
      </c>
      <c r="O33" s="58">
        <f t="shared" ca="1" si="12"/>
        <v>0</v>
      </c>
      <c r="P33" s="58">
        <f t="shared" ca="1" si="12"/>
        <v>0</v>
      </c>
      <c r="Q33" s="58">
        <f t="shared" ca="1" si="12"/>
        <v>0</v>
      </c>
      <c r="R33" s="58">
        <f t="shared" ca="1" si="12"/>
        <v>0</v>
      </c>
      <c r="S33" s="58">
        <f t="shared" ca="1" si="17"/>
        <v>0</v>
      </c>
      <c r="T33" s="58">
        <f t="shared" ca="1" si="17"/>
        <v>1</v>
      </c>
      <c r="U33" s="58">
        <f t="shared" ca="1" si="17"/>
        <v>0</v>
      </c>
      <c r="V33" s="58">
        <f t="shared" ca="1" si="17"/>
        <v>0</v>
      </c>
      <c r="W33" s="58">
        <f t="shared" ca="1" si="17"/>
        <v>0</v>
      </c>
      <c r="X33" s="58">
        <f t="shared" ca="1" si="17"/>
        <v>0</v>
      </c>
      <c r="Y33" s="58">
        <f t="shared" ca="1" si="17"/>
        <v>0</v>
      </c>
      <c r="Z33" s="58">
        <f t="shared" ca="1" si="17"/>
        <v>0</v>
      </c>
      <c r="AA33" s="58">
        <f t="shared" ca="1" si="17"/>
        <v>0</v>
      </c>
      <c r="AB33" s="58">
        <f t="shared" ca="1" si="17"/>
        <v>0</v>
      </c>
      <c r="AC33" s="58">
        <f t="shared" ca="1" si="17"/>
        <v>1</v>
      </c>
      <c r="AD33" s="58">
        <f t="shared" ca="1" si="17"/>
        <v>0</v>
      </c>
      <c r="AE33" s="58">
        <f t="shared" ca="1" si="17"/>
        <v>0</v>
      </c>
      <c r="AF33" s="58">
        <f t="shared" ca="1" si="17"/>
        <v>0</v>
      </c>
      <c r="AG33" s="58">
        <f t="shared" ca="1" si="17"/>
        <v>0</v>
      </c>
      <c r="AH33" s="58">
        <f t="shared" ca="1" si="17"/>
        <v>0</v>
      </c>
      <c r="AI33" s="58">
        <f t="shared" ca="1" si="13"/>
        <v>0</v>
      </c>
      <c r="AJ33" s="58">
        <f t="shared" ca="1" si="13"/>
        <v>0</v>
      </c>
      <c r="AK33" s="58">
        <f t="shared" ca="1" si="13"/>
        <v>0</v>
      </c>
      <c r="AL33" s="58">
        <f t="shared" ca="1" si="13"/>
        <v>0</v>
      </c>
      <c r="AM33" s="58">
        <f t="shared" ca="1" si="13"/>
        <v>0</v>
      </c>
      <c r="AN33" s="58">
        <f t="shared" ca="1" si="13"/>
        <v>0</v>
      </c>
      <c r="AO33" s="58">
        <f t="shared" ca="1" si="13"/>
        <v>0</v>
      </c>
      <c r="AP33" s="58">
        <f t="shared" ca="1" si="13"/>
        <v>0</v>
      </c>
      <c r="AQ33" s="58">
        <f t="shared" ca="1" si="14"/>
        <v>1</v>
      </c>
      <c r="AR33" s="58">
        <f t="shared" ca="1" si="14"/>
        <v>0</v>
      </c>
      <c r="AS33" s="58">
        <f t="shared" ca="1" si="14"/>
        <v>0</v>
      </c>
      <c r="AT33" s="58">
        <f t="shared" ca="1" si="14"/>
        <v>0</v>
      </c>
      <c r="AU33" s="58">
        <f t="shared" ca="1" si="14"/>
        <v>1</v>
      </c>
      <c r="AV33" s="58">
        <f t="shared" ca="1" si="14"/>
        <v>0</v>
      </c>
      <c r="AW33" s="58">
        <f t="shared" ca="1" si="14"/>
        <v>0</v>
      </c>
      <c r="AX33" s="58">
        <f t="shared" ca="1" si="14"/>
        <v>0</v>
      </c>
      <c r="AY33" s="58">
        <f t="shared" ca="1" si="14"/>
        <v>0</v>
      </c>
      <c r="AZ33" s="58">
        <f t="shared" ca="1" si="14"/>
        <v>0</v>
      </c>
      <c r="BA33" s="58">
        <f t="shared" ca="1" si="14"/>
        <v>0</v>
      </c>
      <c r="BB33" s="58">
        <f t="shared" ca="1" si="14"/>
        <v>1</v>
      </c>
      <c r="BC33" s="58">
        <f t="shared" ca="1" si="14"/>
        <v>0</v>
      </c>
      <c r="BD33" s="58">
        <f t="shared" ca="1" si="14"/>
        <v>0</v>
      </c>
      <c r="BE33" s="58">
        <f t="shared" ca="1" si="14"/>
        <v>1</v>
      </c>
      <c r="BF33" s="58">
        <f t="shared" ca="1" si="14"/>
        <v>1</v>
      </c>
      <c r="BG33" s="58">
        <f t="shared" ca="1" si="15"/>
        <v>0</v>
      </c>
      <c r="BH33" s="58">
        <f t="shared" ca="1" si="15"/>
        <v>0</v>
      </c>
      <c r="BI33" s="58">
        <f t="shared" ca="1" si="15"/>
        <v>0</v>
      </c>
      <c r="BJ33" s="58">
        <f t="shared" ca="1" si="15"/>
        <v>0</v>
      </c>
      <c r="BK33" s="58">
        <f t="shared" ca="1" si="15"/>
        <v>0</v>
      </c>
      <c r="BL33" s="58">
        <f t="shared" ca="1" si="15"/>
        <v>0</v>
      </c>
      <c r="BM33" s="58">
        <f t="shared" ca="1" si="15"/>
        <v>0</v>
      </c>
      <c r="BN33" s="58">
        <f t="shared" ca="1" si="15"/>
        <v>0</v>
      </c>
      <c r="BO33" s="58">
        <f t="shared" ca="1" si="15"/>
        <v>0</v>
      </c>
      <c r="BP33" s="58">
        <f t="shared" ca="1" si="15"/>
        <v>1</v>
      </c>
      <c r="BQ33" s="58">
        <f t="shared" ca="1" si="15"/>
        <v>0</v>
      </c>
      <c r="BR33" s="58">
        <f t="shared" ca="1" si="15"/>
        <v>0</v>
      </c>
      <c r="BS33" s="58">
        <f t="shared" ca="1" si="15"/>
        <v>1</v>
      </c>
      <c r="BT33" s="58">
        <f t="shared" ca="1" si="15"/>
        <v>0</v>
      </c>
      <c r="BU33" s="58">
        <f t="shared" ca="1" si="15"/>
        <v>0</v>
      </c>
      <c r="BV33" s="58">
        <f t="shared" ca="1" si="15"/>
        <v>0</v>
      </c>
      <c r="BW33" s="58">
        <f t="shared" ca="1" si="16"/>
        <v>0</v>
      </c>
      <c r="BX33" s="58">
        <f t="shared" ca="1" si="16"/>
        <v>1</v>
      </c>
      <c r="BY33" s="58">
        <f t="shared" ca="1" si="16"/>
        <v>0</v>
      </c>
      <c r="BZ33" s="58">
        <f t="shared" ca="1" si="16"/>
        <v>0</v>
      </c>
      <c r="CA33" s="58">
        <f t="shared" ca="1" si="16"/>
        <v>0</v>
      </c>
      <c r="CB33" s="58">
        <f t="shared" ca="1" si="16"/>
        <v>1</v>
      </c>
      <c r="CC33" s="58">
        <f t="shared" ca="1" si="16"/>
        <v>0</v>
      </c>
      <c r="CD33" s="58">
        <f t="shared" ca="1" si="16"/>
        <v>0</v>
      </c>
      <c r="CE33" s="58">
        <f t="shared" ca="1" si="16"/>
        <v>0</v>
      </c>
      <c r="CF33" s="58">
        <f t="shared" ca="1" si="16"/>
        <v>0</v>
      </c>
      <c r="CG33" s="58">
        <f t="shared" ca="1" si="16"/>
        <v>0</v>
      </c>
      <c r="CH33" s="58">
        <f t="shared" ca="1" si="16"/>
        <v>0</v>
      </c>
      <c r="CI33" s="58">
        <f t="shared" ca="1" si="16"/>
        <v>0</v>
      </c>
      <c r="CJ33" s="58">
        <f t="shared" ca="1" si="16"/>
        <v>0</v>
      </c>
      <c r="CK33" s="58">
        <f t="shared" ca="1" si="16"/>
        <v>0</v>
      </c>
      <c r="CL33" s="58">
        <f t="shared" ca="1" si="16"/>
        <v>0</v>
      </c>
      <c r="CM33" s="58">
        <f t="shared" ca="1" si="18"/>
        <v>0</v>
      </c>
      <c r="CN33" s="58">
        <f t="shared" ca="1" si="18"/>
        <v>1</v>
      </c>
      <c r="CO33" s="58">
        <f t="shared" ca="1" si="18"/>
        <v>0</v>
      </c>
      <c r="CP33" s="58">
        <f t="shared" ca="1" si="18"/>
        <v>0</v>
      </c>
      <c r="CQ33" s="58">
        <f t="shared" ca="1" si="18"/>
        <v>0</v>
      </c>
      <c r="CR33" s="58">
        <f t="shared" ca="1" si="18"/>
        <v>0</v>
      </c>
      <c r="CS33" s="58">
        <f t="shared" ca="1" si="18"/>
        <v>0</v>
      </c>
      <c r="CT33" s="58">
        <f t="shared" ca="1" si="18"/>
        <v>0</v>
      </c>
      <c r="CU33" s="58">
        <f t="shared" ca="1" si="19"/>
        <v>0</v>
      </c>
      <c r="CV33" s="58">
        <f t="shared" ca="1" si="19"/>
        <v>0</v>
      </c>
      <c r="CW33" s="58">
        <f t="shared" ca="1" si="19"/>
        <v>0</v>
      </c>
      <c r="CX33" s="58">
        <f t="shared" ca="1" si="19"/>
        <v>0</v>
      </c>
    </row>
    <row r="34" spans="1:102" x14ac:dyDescent="0.25">
      <c r="A34" s="57" t="s">
        <v>820</v>
      </c>
      <c r="B34" s="62">
        <v>0.14000000000000001</v>
      </c>
      <c r="C34" s="58">
        <f t="shared" ca="1" si="12"/>
        <v>0</v>
      </c>
      <c r="D34" s="58">
        <f t="shared" ca="1" si="12"/>
        <v>0</v>
      </c>
      <c r="E34" s="58">
        <f t="shared" ca="1" si="12"/>
        <v>0</v>
      </c>
      <c r="F34" s="58">
        <f t="shared" ca="1" si="12"/>
        <v>1</v>
      </c>
      <c r="G34" s="58">
        <f t="shared" ca="1" si="12"/>
        <v>0</v>
      </c>
      <c r="H34" s="58">
        <f t="shared" ca="1" si="12"/>
        <v>0</v>
      </c>
      <c r="I34" s="58">
        <f t="shared" ca="1" si="12"/>
        <v>0</v>
      </c>
      <c r="J34" s="58">
        <f t="shared" ca="1" si="12"/>
        <v>0</v>
      </c>
      <c r="K34" s="58">
        <f t="shared" ca="1" si="12"/>
        <v>1</v>
      </c>
      <c r="L34" s="58">
        <f t="shared" ca="1" si="12"/>
        <v>1</v>
      </c>
      <c r="M34" s="58">
        <f t="shared" ca="1" si="12"/>
        <v>0</v>
      </c>
      <c r="N34" s="58">
        <f t="shared" ca="1" si="12"/>
        <v>0</v>
      </c>
      <c r="O34" s="58">
        <f t="shared" ca="1" si="12"/>
        <v>0</v>
      </c>
      <c r="P34" s="58">
        <f t="shared" ca="1" si="12"/>
        <v>0</v>
      </c>
      <c r="Q34" s="58">
        <f t="shared" ca="1" si="12"/>
        <v>0</v>
      </c>
      <c r="R34" s="58">
        <f t="shared" ca="1" si="12"/>
        <v>1</v>
      </c>
      <c r="S34" s="58">
        <f t="shared" ca="1" si="17"/>
        <v>1</v>
      </c>
      <c r="T34" s="58">
        <f t="shared" ca="1" si="17"/>
        <v>0</v>
      </c>
      <c r="U34" s="58">
        <f t="shared" ca="1" si="17"/>
        <v>0</v>
      </c>
      <c r="V34" s="58">
        <f t="shared" ca="1" si="17"/>
        <v>0</v>
      </c>
      <c r="W34" s="58">
        <f t="shared" ca="1" si="17"/>
        <v>0</v>
      </c>
      <c r="X34" s="58">
        <f t="shared" ca="1" si="17"/>
        <v>0</v>
      </c>
      <c r="Y34" s="58">
        <f t="shared" ca="1" si="17"/>
        <v>0</v>
      </c>
      <c r="Z34" s="58">
        <f t="shared" ca="1" si="17"/>
        <v>0</v>
      </c>
      <c r="AA34" s="58">
        <f t="shared" ca="1" si="17"/>
        <v>1</v>
      </c>
      <c r="AB34" s="58">
        <f t="shared" ca="1" si="17"/>
        <v>0</v>
      </c>
      <c r="AC34" s="58">
        <f t="shared" ca="1" si="17"/>
        <v>0</v>
      </c>
      <c r="AD34" s="58">
        <f t="shared" ca="1" si="17"/>
        <v>0</v>
      </c>
      <c r="AE34" s="58">
        <f t="shared" ca="1" si="17"/>
        <v>0</v>
      </c>
      <c r="AF34" s="58">
        <f t="shared" ca="1" si="17"/>
        <v>0</v>
      </c>
      <c r="AG34" s="58">
        <f t="shared" ca="1" si="17"/>
        <v>0</v>
      </c>
      <c r="AH34" s="58">
        <f t="shared" ca="1" si="17"/>
        <v>0</v>
      </c>
      <c r="AI34" s="58">
        <f t="shared" ca="1" si="13"/>
        <v>1</v>
      </c>
      <c r="AJ34" s="58">
        <f t="shared" ca="1" si="13"/>
        <v>0</v>
      </c>
      <c r="AK34" s="58">
        <f t="shared" ca="1" si="13"/>
        <v>0</v>
      </c>
      <c r="AL34" s="58">
        <f t="shared" ca="1" si="13"/>
        <v>0</v>
      </c>
      <c r="AM34" s="58">
        <f t="shared" ca="1" si="13"/>
        <v>0</v>
      </c>
      <c r="AN34" s="58">
        <f t="shared" ca="1" si="13"/>
        <v>0</v>
      </c>
      <c r="AO34" s="58">
        <f t="shared" ca="1" si="13"/>
        <v>0</v>
      </c>
      <c r="AP34" s="58">
        <f t="shared" ca="1" si="13"/>
        <v>0</v>
      </c>
      <c r="AQ34" s="58">
        <f t="shared" ca="1" si="14"/>
        <v>0</v>
      </c>
      <c r="AR34" s="58">
        <f t="shared" ca="1" si="14"/>
        <v>0</v>
      </c>
      <c r="AS34" s="58">
        <f t="shared" ca="1" si="14"/>
        <v>0</v>
      </c>
      <c r="AT34" s="58">
        <f t="shared" ca="1" si="14"/>
        <v>0</v>
      </c>
      <c r="AU34" s="58">
        <f t="shared" ca="1" si="14"/>
        <v>0</v>
      </c>
      <c r="AV34" s="58">
        <f t="shared" ca="1" si="14"/>
        <v>0</v>
      </c>
      <c r="AW34" s="58">
        <f t="shared" ca="1" si="14"/>
        <v>0</v>
      </c>
      <c r="AX34" s="58">
        <f t="shared" ca="1" si="14"/>
        <v>0</v>
      </c>
      <c r="AY34" s="58">
        <f t="shared" ca="1" si="14"/>
        <v>0</v>
      </c>
      <c r="AZ34" s="58">
        <f t="shared" ca="1" si="14"/>
        <v>0</v>
      </c>
      <c r="BA34" s="58">
        <f t="shared" ca="1" si="14"/>
        <v>0</v>
      </c>
      <c r="BB34" s="58">
        <f t="shared" ca="1" si="14"/>
        <v>0</v>
      </c>
      <c r="BC34" s="58">
        <f t="shared" ca="1" si="14"/>
        <v>0</v>
      </c>
      <c r="BD34" s="58">
        <f t="shared" ca="1" si="14"/>
        <v>0</v>
      </c>
      <c r="BE34" s="58">
        <f t="shared" ca="1" si="14"/>
        <v>0</v>
      </c>
      <c r="BF34" s="58">
        <f t="shared" ca="1" si="14"/>
        <v>0</v>
      </c>
      <c r="BG34" s="58">
        <f t="shared" ca="1" si="15"/>
        <v>0</v>
      </c>
      <c r="BH34" s="58">
        <f t="shared" ca="1" si="15"/>
        <v>1</v>
      </c>
      <c r="BI34" s="58">
        <f t="shared" ca="1" si="15"/>
        <v>0</v>
      </c>
      <c r="BJ34" s="58">
        <f t="shared" ca="1" si="15"/>
        <v>0</v>
      </c>
      <c r="BK34" s="58">
        <f t="shared" ca="1" si="15"/>
        <v>0</v>
      </c>
      <c r="BL34" s="58">
        <f t="shared" ca="1" si="15"/>
        <v>0</v>
      </c>
      <c r="BM34" s="58">
        <f t="shared" ca="1" si="15"/>
        <v>0</v>
      </c>
      <c r="BN34" s="58">
        <f t="shared" ca="1" si="15"/>
        <v>0</v>
      </c>
      <c r="BO34" s="58">
        <f t="shared" ca="1" si="15"/>
        <v>0</v>
      </c>
      <c r="BP34" s="58">
        <f t="shared" ca="1" si="15"/>
        <v>0</v>
      </c>
      <c r="BQ34" s="58">
        <f t="shared" ca="1" si="15"/>
        <v>0</v>
      </c>
      <c r="BR34" s="58">
        <f t="shared" ca="1" si="15"/>
        <v>0</v>
      </c>
      <c r="BS34" s="58">
        <f t="shared" ca="1" si="15"/>
        <v>0</v>
      </c>
      <c r="BT34" s="58">
        <f t="shared" ca="1" si="15"/>
        <v>0</v>
      </c>
      <c r="BU34" s="58">
        <f t="shared" ca="1" si="15"/>
        <v>0</v>
      </c>
      <c r="BV34" s="58">
        <f t="shared" ca="1" si="15"/>
        <v>0</v>
      </c>
      <c r="BW34" s="58">
        <f t="shared" ca="1" si="16"/>
        <v>0</v>
      </c>
      <c r="BX34" s="58">
        <f t="shared" ca="1" si="16"/>
        <v>0</v>
      </c>
      <c r="BY34" s="58">
        <f t="shared" ca="1" si="16"/>
        <v>0</v>
      </c>
      <c r="BZ34" s="58">
        <f t="shared" ca="1" si="16"/>
        <v>0</v>
      </c>
      <c r="CA34" s="58">
        <f t="shared" ca="1" si="16"/>
        <v>0</v>
      </c>
      <c r="CB34" s="58">
        <f t="shared" ca="1" si="16"/>
        <v>0</v>
      </c>
      <c r="CC34" s="58">
        <f t="shared" ca="1" si="16"/>
        <v>0</v>
      </c>
      <c r="CD34" s="58">
        <f t="shared" ca="1" si="16"/>
        <v>0</v>
      </c>
      <c r="CE34" s="58">
        <f t="shared" ca="1" si="16"/>
        <v>1</v>
      </c>
      <c r="CF34" s="58">
        <f t="shared" ca="1" si="16"/>
        <v>0</v>
      </c>
      <c r="CG34" s="58">
        <f t="shared" ca="1" si="16"/>
        <v>0</v>
      </c>
      <c r="CH34" s="58">
        <f t="shared" ca="1" si="16"/>
        <v>0</v>
      </c>
      <c r="CI34" s="58">
        <f t="shared" ca="1" si="16"/>
        <v>1</v>
      </c>
      <c r="CJ34" s="58">
        <f t="shared" ca="1" si="16"/>
        <v>0</v>
      </c>
      <c r="CK34" s="58">
        <f t="shared" ca="1" si="16"/>
        <v>0</v>
      </c>
      <c r="CL34" s="58">
        <f t="shared" ca="1" si="16"/>
        <v>1</v>
      </c>
      <c r="CM34" s="58">
        <f t="shared" ca="1" si="18"/>
        <v>0</v>
      </c>
      <c r="CN34" s="58">
        <f t="shared" ca="1" si="18"/>
        <v>0</v>
      </c>
      <c r="CO34" s="58">
        <f t="shared" ca="1" si="18"/>
        <v>0</v>
      </c>
      <c r="CP34" s="58">
        <f t="shared" ca="1" si="18"/>
        <v>1</v>
      </c>
      <c r="CQ34" s="58">
        <f t="shared" ca="1" si="18"/>
        <v>0</v>
      </c>
      <c r="CR34" s="58">
        <f t="shared" ca="1" si="18"/>
        <v>0</v>
      </c>
      <c r="CS34" s="58">
        <f t="shared" ca="1" si="18"/>
        <v>0</v>
      </c>
      <c r="CT34" s="58">
        <f t="shared" ca="1" si="18"/>
        <v>0</v>
      </c>
      <c r="CU34" s="58">
        <f t="shared" ca="1" si="19"/>
        <v>0</v>
      </c>
      <c r="CV34" s="58">
        <f t="shared" ca="1" si="19"/>
        <v>0</v>
      </c>
      <c r="CW34" s="58">
        <f t="shared" ca="1" si="19"/>
        <v>0</v>
      </c>
      <c r="CX34" s="58">
        <f t="shared" ca="1" si="19"/>
        <v>0</v>
      </c>
    </row>
    <row r="35" spans="1:102" x14ac:dyDescent="0.25">
      <c r="A35" s="57" t="s">
        <v>821</v>
      </c>
      <c r="B35" s="62">
        <v>0.22</v>
      </c>
      <c r="C35" s="58">
        <f t="shared" ca="1" si="12"/>
        <v>0</v>
      </c>
      <c r="D35" s="58">
        <f t="shared" ca="1" si="12"/>
        <v>0</v>
      </c>
      <c r="E35" s="58">
        <f t="shared" ca="1" si="12"/>
        <v>0</v>
      </c>
      <c r="F35" s="58">
        <f t="shared" ca="1" si="12"/>
        <v>1</v>
      </c>
      <c r="G35" s="58">
        <f t="shared" ca="1" si="12"/>
        <v>1</v>
      </c>
      <c r="H35" s="58">
        <f t="shared" ca="1" si="12"/>
        <v>0</v>
      </c>
      <c r="I35" s="58">
        <f t="shared" ca="1" si="12"/>
        <v>0</v>
      </c>
      <c r="J35" s="58">
        <f t="shared" ca="1" si="12"/>
        <v>1</v>
      </c>
      <c r="K35" s="58">
        <f t="shared" ca="1" si="12"/>
        <v>0</v>
      </c>
      <c r="L35" s="58">
        <f t="shared" ca="1" si="12"/>
        <v>0</v>
      </c>
      <c r="M35" s="58">
        <f t="shared" ca="1" si="12"/>
        <v>0</v>
      </c>
      <c r="N35" s="58">
        <f t="shared" ca="1" si="12"/>
        <v>1</v>
      </c>
      <c r="O35" s="58">
        <f t="shared" ca="1" si="12"/>
        <v>1</v>
      </c>
      <c r="P35" s="58">
        <f t="shared" ca="1" si="12"/>
        <v>0</v>
      </c>
      <c r="Q35" s="58">
        <f t="shared" ca="1" si="12"/>
        <v>0</v>
      </c>
      <c r="R35" s="58">
        <f t="shared" ca="1" si="12"/>
        <v>1</v>
      </c>
      <c r="S35" s="58">
        <f t="shared" ca="1" si="17"/>
        <v>1</v>
      </c>
      <c r="T35" s="58">
        <f t="shared" ca="1" si="17"/>
        <v>0</v>
      </c>
      <c r="U35" s="58">
        <f t="shared" ca="1" si="17"/>
        <v>1</v>
      </c>
      <c r="V35" s="58">
        <f t="shared" ca="1" si="17"/>
        <v>1</v>
      </c>
      <c r="W35" s="58">
        <f t="shared" ca="1" si="17"/>
        <v>0</v>
      </c>
      <c r="X35" s="58">
        <f t="shared" ca="1" si="17"/>
        <v>0</v>
      </c>
      <c r="Y35" s="58">
        <f t="shared" ca="1" si="17"/>
        <v>0</v>
      </c>
      <c r="Z35" s="58">
        <f t="shared" ca="1" si="17"/>
        <v>1</v>
      </c>
      <c r="AA35" s="58">
        <f t="shared" ca="1" si="17"/>
        <v>0</v>
      </c>
      <c r="AB35" s="58">
        <f t="shared" ca="1" si="17"/>
        <v>0</v>
      </c>
      <c r="AC35" s="58">
        <f t="shared" ca="1" si="17"/>
        <v>0</v>
      </c>
      <c r="AD35" s="58">
        <f t="shared" ca="1" si="17"/>
        <v>1</v>
      </c>
      <c r="AE35" s="58">
        <f t="shared" ca="1" si="17"/>
        <v>0</v>
      </c>
      <c r="AF35" s="58">
        <f t="shared" ca="1" si="17"/>
        <v>0</v>
      </c>
      <c r="AG35" s="58">
        <f t="shared" ca="1" si="17"/>
        <v>0</v>
      </c>
      <c r="AH35" s="58">
        <f t="shared" ca="1" si="17"/>
        <v>0</v>
      </c>
      <c r="AI35" s="58">
        <f t="shared" ca="1" si="13"/>
        <v>0</v>
      </c>
      <c r="AJ35" s="58">
        <f t="shared" ca="1" si="13"/>
        <v>0</v>
      </c>
      <c r="AK35" s="58">
        <f t="shared" ca="1" si="13"/>
        <v>0</v>
      </c>
      <c r="AL35" s="58">
        <f t="shared" ca="1" si="13"/>
        <v>0</v>
      </c>
      <c r="AM35" s="58">
        <f t="shared" ca="1" si="13"/>
        <v>0</v>
      </c>
      <c r="AN35" s="58">
        <f t="shared" ca="1" si="13"/>
        <v>0</v>
      </c>
      <c r="AO35" s="58">
        <f t="shared" ca="1" si="13"/>
        <v>0</v>
      </c>
      <c r="AP35" s="58">
        <f t="shared" ca="1" si="13"/>
        <v>0</v>
      </c>
      <c r="AQ35" s="58">
        <f t="shared" ca="1" si="14"/>
        <v>0</v>
      </c>
      <c r="AR35" s="58">
        <f t="shared" ca="1" si="14"/>
        <v>0</v>
      </c>
      <c r="AS35" s="58">
        <f t="shared" ca="1" si="14"/>
        <v>0</v>
      </c>
      <c r="AT35" s="58">
        <f t="shared" ca="1" si="14"/>
        <v>0</v>
      </c>
      <c r="AU35" s="58">
        <f t="shared" ca="1" si="14"/>
        <v>0</v>
      </c>
      <c r="AV35" s="58">
        <f t="shared" ca="1" si="14"/>
        <v>0</v>
      </c>
      <c r="AW35" s="58">
        <f t="shared" ca="1" si="14"/>
        <v>0</v>
      </c>
      <c r="AX35" s="58">
        <f t="shared" ca="1" si="14"/>
        <v>1</v>
      </c>
      <c r="AY35" s="58">
        <f t="shared" ca="1" si="14"/>
        <v>0</v>
      </c>
      <c r="AZ35" s="58">
        <f t="shared" ca="1" si="14"/>
        <v>0</v>
      </c>
      <c r="BA35" s="58">
        <f t="shared" ca="1" si="14"/>
        <v>0</v>
      </c>
      <c r="BB35" s="58">
        <f t="shared" ca="1" si="14"/>
        <v>0</v>
      </c>
      <c r="BC35" s="58">
        <f t="shared" ca="1" si="14"/>
        <v>0</v>
      </c>
      <c r="BD35" s="58">
        <f t="shared" ca="1" si="14"/>
        <v>0</v>
      </c>
      <c r="BE35" s="58">
        <f t="shared" ca="1" si="14"/>
        <v>0</v>
      </c>
      <c r="BF35" s="58">
        <f t="shared" ca="1" si="14"/>
        <v>0</v>
      </c>
      <c r="BG35" s="58">
        <f t="shared" ca="1" si="15"/>
        <v>0</v>
      </c>
      <c r="BH35" s="58">
        <f t="shared" ca="1" si="15"/>
        <v>0</v>
      </c>
      <c r="BI35" s="58">
        <f t="shared" ca="1" si="15"/>
        <v>1</v>
      </c>
      <c r="BJ35" s="58">
        <f t="shared" ca="1" si="15"/>
        <v>0</v>
      </c>
      <c r="BK35" s="58">
        <f t="shared" ca="1" si="15"/>
        <v>0</v>
      </c>
      <c r="BL35" s="58">
        <f t="shared" ca="1" si="15"/>
        <v>0</v>
      </c>
      <c r="BM35" s="58">
        <f t="shared" ca="1" si="15"/>
        <v>0</v>
      </c>
      <c r="BN35" s="58">
        <f t="shared" ca="1" si="15"/>
        <v>0</v>
      </c>
      <c r="BO35" s="58">
        <f t="shared" ca="1" si="15"/>
        <v>1</v>
      </c>
      <c r="BP35" s="58">
        <f t="shared" ca="1" si="15"/>
        <v>1</v>
      </c>
      <c r="BQ35" s="58">
        <f t="shared" ca="1" si="15"/>
        <v>1</v>
      </c>
      <c r="BR35" s="58">
        <f t="shared" ca="1" si="15"/>
        <v>0</v>
      </c>
      <c r="BS35" s="58">
        <f t="shared" ca="1" si="15"/>
        <v>0</v>
      </c>
      <c r="BT35" s="58">
        <f t="shared" ca="1" si="15"/>
        <v>0</v>
      </c>
      <c r="BU35" s="58">
        <f t="shared" ca="1" si="15"/>
        <v>0</v>
      </c>
      <c r="BV35" s="58">
        <f t="shared" ca="1" si="15"/>
        <v>1</v>
      </c>
      <c r="BW35" s="58">
        <f t="shared" ca="1" si="16"/>
        <v>1</v>
      </c>
      <c r="BX35" s="58">
        <f t="shared" ca="1" si="16"/>
        <v>1</v>
      </c>
      <c r="BY35" s="58">
        <f t="shared" ca="1" si="16"/>
        <v>1</v>
      </c>
      <c r="BZ35" s="58">
        <f t="shared" ca="1" si="16"/>
        <v>0</v>
      </c>
      <c r="CA35" s="58">
        <f t="shared" ca="1" si="16"/>
        <v>0</v>
      </c>
      <c r="CB35" s="58">
        <f t="shared" ca="1" si="16"/>
        <v>1</v>
      </c>
      <c r="CC35" s="58">
        <f t="shared" ca="1" si="16"/>
        <v>0</v>
      </c>
      <c r="CD35" s="58">
        <f t="shared" ca="1" si="16"/>
        <v>1</v>
      </c>
      <c r="CE35" s="58">
        <f t="shared" ca="1" si="16"/>
        <v>0</v>
      </c>
      <c r="CF35" s="58">
        <f t="shared" ca="1" si="16"/>
        <v>1</v>
      </c>
      <c r="CG35" s="58">
        <f t="shared" ca="1" si="16"/>
        <v>1</v>
      </c>
      <c r="CH35" s="58">
        <f t="shared" ca="1" si="16"/>
        <v>1</v>
      </c>
      <c r="CI35" s="58">
        <f t="shared" ca="1" si="16"/>
        <v>1</v>
      </c>
      <c r="CJ35" s="58">
        <f t="shared" ca="1" si="16"/>
        <v>0</v>
      </c>
      <c r="CK35" s="58">
        <f t="shared" ca="1" si="16"/>
        <v>1</v>
      </c>
      <c r="CL35" s="58">
        <f t="shared" ca="1" si="16"/>
        <v>0</v>
      </c>
      <c r="CM35" s="58">
        <f t="shared" ca="1" si="18"/>
        <v>0</v>
      </c>
      <c r="CN35" s="58">
        <f t="shared" ca="1" si="18"/>
        <v>1</v>
      </c>
      <c r="CO35" s="58">
        <f t="shared" ca="1" si="18"/>
        <v>1</v>
      </c>
      <c r="CP35" s="58">
        <f t="shared" ca="1" si="18"/>
        <v>0</v>
      </c>
      <c r="CQ35" s="58">
        <f t="shared" ca="1" si="18"/>
        <v>0</v>
      </c>
      <c r="CR35" s="58">
        <f t="shared" ca="1" si="18"/>
        <v>0</v>
      </c>
      <c r="CS35" s="58">
        <f t="shared" ca="1" si="18"/>
        <v>1</v>
      </c>
      <c r="CT35" s="58">
        <f t="shared" ca="1" si="18"/>
        <v>0</v>
      </c>
      <c r="CU35" s="58">
        <f t="shared" ca="1" si="19"/>
        <v>1</v>
      </c>
      <c r="CV35" s="58">
        <f t="shared" ca="1" si="19"/>
        <v>0</v>
      </c>
      <c r="CW35" s="58">
        <f t="shared" ca="1" si="19"/>
        <v>0</v>
      </c>
      <c r="CX35" s="58">
        <f t="shared" ca="1" si="19"/>
        <v>1</v>
      </c>
    </row>
    <row r="36" spans="1:102" x14ac:dyDescent="0.25">
      <c r="A36" s="57" t="s">
        <v>822</v>
      </c>
      <c r="B36" s="62">
        <v>0.15</v>
      </c>
      <c r="C36" s="58">
        <f t="shared" ca="1" si="12"/>
        <v>0</v>
      </c>
      <c r="D36" s="58">
        <f t="shared" ca="1" si="12"/>
        <v>0</v>
      </c>
      <c r="E36" s="58">
        <f t="shared" ca="1" si="12"/>
        <v>0</v>
      </c>
      <c r="F36" s="58">
        <f t="shared" ca="1" si="12"/>
        <v>0</v>
      </c>
      <c r="G36" s="58">
        <f t="shared" ca="1" si="12"/>
        <v>0</v>
      </c>
      <c r="H36" s="58">
        <f t="shared" ca="1" si="12"/>
        <v>0</v>
      </c>
      <c r="I36" s="58">
        <f t="shared" ca="1" si="12"/>
        <v>0</v>
      </c>
      <c r="J36" s="58">
        <f t="shared" ca="1" si="12"/>
        <v>0</v>
      </c>
      <c r="K36" s="58">
        <f t="shared" ca="1" si="12"/>
        <v>0</v>
      </c>
      <c r="L36" s="58">
        <f t="shared" ca="1" si="12"/>
        <v>0</v>
      </c>
      <c r="M36" s="58">
        <f t="shared" ca="1" si="12"/>
        <v>0</v>
      </c>
      <c r="N36" s="58">
        <f t="shared" ca="1" si="12"/>
        <v>0</v>
      </c>
      <c r="O36" s="58">
        <f t="shared" ca="1" si="12"/>
        <v>0</v>
      </c>
      <c r="P36" s="58">
        <f t="shared" ca="1" si="12"/>
        <v>0</v>
      </c>
      <c r="Q36" s="58">
        <f t="shared" ca="1" si="12"/>
        <v>0</v>
      </c>
      <c r="R36" s="58">
        <f t="shared" ref="R36" ca="1" si="20">IF((RANDBETWEEN(0,100)/100)&lt;$B36,1,0)</f>
        <v>0</v>
      </c>
      <c r="S36" s="58">
        <f t="shared" ca="1" si="17"/>
        <v>0</v>
      </c>
      <c r="T36" s="58">
        <f t="shared" ca="1" si="17"/>
        <v>0</v>
      </c>
      <c r="U36" s="58">
        <f t="shared" ca="1" si="17"/>
        <v>1</v>
      </c>
      <c r="V36" s="58">
        <f t="shared" ca="1" si="17"/>
        <v>1</v>
      </c>
      <c r="W36" s="58">
        <f t="shared" ca="1" si="17"/>
        <v>1</v>
      </c>
      <c r="X36" s="58">
        <f t="shared" ca="1" si="17"/>
        <v>0</v>
      </c>
      <c r="Y36" s="58">
        <f t="shared" ca="1" si="17"/>
        <v>0</v>
      </c>
      <c r="Z36" s="58">
        <f t="shared" ca="1" si="17"/>
        <v>0</v>
      </c>
      <c r="AA36" s="58">
        <f t="shared" ca="1" si="17"/>
        <v>0</v>
      </c>
      <c r="AB36" s="58">
        <f t="shared" ca="1" si="17"/>
        <v>0</v>
      </c>
      <c r="AC36" s="58">
        <f t="shared" ca="1" si="17"/>
        <v>0</v>
      </c>
      <c r="AD36" s="58">
        <f t="shared" ca="1" si="17"/>
        <v>1</v>
      </c>
      <c r="AE36" s="58">
        <f t="shared" ca="1" si="17"/>
        <v>0</v>
      </c>
      <c r="AF36" s="58">
        <f t="shared" ca="1" si="17"/>
        <v>0</v>
      </c>
      <c r="AG36" s="58">
        <f t="shared" ca="1" si="17"/>
        <v>0</v>
      </c>
      <c r="AH36" s="58">
        <f t="shared" ca="1" si="17"/>
        <v>0</v>
      </c>
      <c r="AI36" s="58">
        <f t="shared" ca="1" si="13"/>
        <v>1</v>
      </c>
      <c r="AJ36" s="58">
        <f t="shared" ca="1" si="13"/>
        <v>0</v>
      </c>
      <c r="AK36" s="58">
        <f t="shared" ca="1" si="13"/>
        <v>0</v>
      </c>
      <c r="AL36" s="58">
        <f t="shared" ca="1" si="13"/>
        <v>0</v>
      </c>
      <c r="AM36" s="58">
        <f t="shared" ca="1" si="13"/>
        <v>0</v>
      </c>
      <c r="AN36" s="58">
        <f t="shared" ca="1" si="13"/>
        <v>0</v>
      </c>
      <c r="AO36" s="58">
        <f t="shared" ca="1" si="13"/>
        <v>0</v>
      </c>
      <c r="AP36" s="58">
        <f t="shared" ca="1" si="13"/>
        <v>0</v>
      </c>
      <c r="AQ36" s="58">
        <f t="shared" ca="1" si="14"/>
        <v>0</v>
      </c>
      <c r="AR36" s="58">
        <f t="shared" ca="1" si="14"/>
        <v>0</v>
      </c>
      <c r="AS36" s="58">
        <f t="shared" ca="1" si="14"/>
        <v>0</v>
      </c>
      <c r="AT36" s="58">
        <f t="shared" ca="1" si="14"/>
        <v>1</v>
      </c>
      <c r="AU36" s="58">
        <f t="shared" ca="1" si="14"/>
        <v>0</v>
      </c>
      <c r="AV36" s="58">
        <f t="shared" ca="1" si="14"/>
        <v>0</v>
      </c>
      <c r="AW36" s="58">
        <f t="shared" ca="1" si="14"/>
        <v>0</v>
      </c>
      <c r="AX36" s="58">
        <f t="shared" ca="1" si="14"/>
        <v>1</v>
      </c>
      <c r="AY36" s="58">
        <f t="shared" ca="1" si="14"/>
        <v>0</v>
      </c>
      <c r="AZ36" s="58">
        <f t="shared" ca="1" si="14"/>
        <v>0</v>
      </c>
      <c r="BA36" s="58">
        <f t="shared" ca="1" si="14"/>
        <v>0</v>
      </c>
      <c r="BB36" s="58">
        <f t="shared" ca="1" si="14"/>
        <v>0</v>
      </c>
      <c r="BC36" s="58">
        <f t="shared" ca="1" si="14"/>
        <v>1</v>
      </c>
      <c r="BD36" s="58">
        <f t="shared" ca="1" si="14"/>
        <v>1</v>
      </c>
      <c r="BE36" s="58">
        <f t="shared" ca="1" si="14"/>
        <v>0</v>
      </c>
      <c r="BF36" s="58">
        <f t="shared" ca="1" si="14"/>
        <v>0</v>
      </c>
      <c r="BG36" s="58">
        <f t="shared" ca="1" si="15"/>
        <v>0</v>
      </c>
      <c r="BH36" s="58">
        <f t="shared" ca="1" si="15"/>
        <v>0</v>
      </c>
      <c r="BI36" s="58">
        <f t="shared" ca="1" si="15"/>
        <v>1</v>
      </c>
      <c r="BJ36" s="58">
        <f t="shared" ca="1" si="15"/>
        <v>0</v>
      </c>
      <c r="BK36" s="58">
        <f t="shared" ca="1" si="15"/>
        <v>0</v>
      </c>
      <c r="BL36" s="58">
        <f t="shared" ca="1" si="15"/>
        <v>0</v>
      </c>
      <c r="BM36" s="58">
        <f t="shared" ca="1" si="15"/>
        <v>0</v>
      </c>
      <c r="BN36" s="58">
        <f t="shared" ca="1" si="15"/>
        <v>0</v>
      </c>
      <c r="BO36" s="58">
        <f t="shared" ca="1" si="15"/>
        <v>0</v>
      </c>
      <c r="BP36" s="58">
        <f t="shared" ca="1" si="15"/>
        <v>0</v>
      </c>
      <c r="BQ36" s="58">
        <f t="shared" ca="1" si="15"/>
        <v>0</v>
      </c>
      <c r="BR36" s="58">
        <f t="shared" ca="1" si="15"/>
        <v>0</v>
      </c>
      <c r="BS36" s="58">
        <f t="shared" ca="1" si="15"/>
        <v>0</v>
      </c>
      <c r="BT36" s="58">
        <f t="shared" ca="1" si="15"/>
        <v>0</v>
      </c>
      <c r="BU36" s="58">
        <f t="shared" ca="1" si="15"/>
        <v>0</v>
      </c>
      <c r="BV36" s="58">
        <f t="shared" ca="1" si="15"/>
        <v>0</v>
      </c>
      <c r="BW36" s="58">
        <f t="shared" ca="1" si="16"/>
        <v>0</v>
      </c>
      <c r="BX36" s="58">
        <f t="shared" ca="1" si="16"/>
        <v>0</v>
      </c>
      <c r="BY36" s="58">
        <f t="shared" ca="1" si="16"/>
        <v>0</v>
      </c>
      <c r="BZ36" s="58">
        <f t="shared" ca="1" si="16"/>
        <v>0</v>
      </c>
      <c r="CA36" s="58">
        <f t="shared" ca="1" si="16"/>
        <v>0</v>
      </c>
      <c r="CB36" s="58">
        <f t="shared" ca="1" si="16"/>
        <v>0</v>
      </c>
      <c r="CC36" s="58">
        <f t="shared" ca="1" si="16"/>
        <v>0</v>
      </c>
      <c r="CD36" s="58">
        <f t="shared" ca="1" si="16"/>
        <v>0</v>
      </c>
      <c r="CE36" s="58">
        <f t="shared" ca="1" si="16"/>
        <v>0</v>
      </c>
      <c r="CF36" s="58">
        <f t="shared" ca="1" si="16"/>
        <v>0</v>
      </c>
      <c r="CG36" s="58">
        <f t="shared" ca="1" si="16"/>
        <v>0</v>
      </c>
      <c r="CH36" s="58">
        <f t="shared" ca="1" si="16"/>
        <v>0</v>
      </c>
      <c r="CI36" s="58">
        <f t="shared" ca="1" si="16"/>
        <v>0</v>
      </c>
      <c r="CJ36" s="58">
        <f t="shared" ca="1" si="16"/>
        <v>1</v>
      </c>
      <c r="CK36" s="58">
        <f t="shared" ca="1" si="16"/>
        <v>0</v>
      </c>
      <c r="CL36" s="58">
        <f t="shared" ca="1" si="16"/>
        <v>0</v>
      </c>
      <c r="CM36" s="58">
        <f t="shared" ca="1" si="18"/>
        <v>0</v>
      </c>
      <c r="CN36" s="58">
        <f t="shared" ca="1" si="18"/>
        <v>1</v>
      </c>
      <c r="CO36" s="58">
        <f t="shared" ca="1" si="18"/>
        <v>0</v>
      </c>
      <c r="CP36" s="58">
        <f t="shared" ca="1" si="18"/>
        <v>0</v>
      </c>
      <c r="CQ36" s="58">
        <f t="shared" ca="1" si="18"/>
        <v>0</v>
      </c>
      <c r="CR36" s="58">
        <f t="shared" ca="1" si="18"/>
        <v>0</v>
      </c>
      <c r="CS36" s="58">
        <f t="shared" ca="1" si="18"/>
        <v>0</v>
      </c>
      <c r="CT36" s="58">
        <f t="shared" ca="1" si="18"/>
        <v>1</v>
      </c>
      <c r="CU36" s="58">
        <f t="shared" ca="1" si="19"/>
        <v>0</v>
      </c>
      <c r="CV36" s="58">
        <f t="shared" ca="1" si="19"/>
        <v>0</v>
      </c>
      <c r="CW36" s="58">
        <f t="shared" ca="1" si="19"/>
        <v>0</v>
      </c>
      <c r="CX36" s="58">
        <f t="shared" ca="1" si="19"/>
        <v>0</v>
      </c>
    </row>
    <row r="37" spans="1:102" x14ac:dyDescent="0.25">
      <c r="A37" s="57" t="s">
        <v>847</v>
      </c>
      <c r="B37" s="62">
        <v>0.16</v>
      </c>
      <c r="C37" s="58">
        <f t="shared" ref="C37:R37" ca="1" si="21">IF((RANDBETWEEN(0,100)/100)&lt;$B37,1,0)</f>
        <v>0</v>
      </c>
      <c r="D37" s="58">
        <f t="shared" ca="1" si="21"/>
        <v>1</v>
      </c>
      <c r="E37" s="58">
        <f t="shared" ca="1" si="21"/>
        <v>0</v>
      </c>
      <c r="F37" s="58">
        <f t="shared" ca="1" si="21"/>
        <v>1</v>
      </c>
      <c r="G37" s="58">
        <f t="shared" ca="1" si="21"/>
        <v>0</v>
      </c>
      <c r="H37" s="58">
        <f t="shared" ca="1" si="21"/>
        <v>0</v>
      </c>
      <c r="I37" s="58">
        <f t="shared" ca="1" si="21"/>
        <v>1</v>
      </c>
      <c r="J37" s="58">
        <f t="shared" ca="1" si="21"/>
        <v>0</v>
      </c>
      <c r="K37" s="58">
        <f t="shared" ca="1" si="21"/>
        <v>0</v>
      </c>
      <c r="L37" s="58">
        <f t="shared" ca="1" si="21"/>
        <v>0</v>
      </c>
      <c r="M37" s="58">
        <f t="shared" ca="1" si="21"/>
        <v>1</v>
      </c>
      <c r="N37" s="58">
        <f t="shared" ca="1" si="21"/>
        <v>0</v>
      </c>
      <c r="O37" s="58">
        <f t="shared" ca="1" si="21"/>
        <v>0</v>
      </c>
      <c r="P37" s="58">
        <f t="shared" ca="1" si="21"/>
        <v>0</v>
      </c>
      <c r="Q37" s="58">
        <f t="shared" ca="1" si="21"/>
        <v>0</v>
      </c>
      <c r="R37" s="58">
        <f t="shared" ca="1" si="21"/>
        <v>0</v>
      </c>
      <c r="S37" s="58">
        <f t="shared" ca="1" si="17"/>
        <v>1</v>
      </c>
      <c r="T37" s="58">
        <f t="shared" ca="1" si="17"/>
        <v>0</v>
      </c>
      <c r="U37" s="58">
        <f t="shared" ca="1" si="17"/>
        <v>1</v>
      </c>
      <c r="V37" s="58">
        <f t="shared" ca="1" si="17"/>
        <v>0</v>
      </c>
      <c r="W37" s="58">
        <f t="shared" ca="1" si="17"/>
        <v>1</v>
      </c>
      <c r="X37" s="58">
        <f t="shared" ca="1" si="17"/>
        <v>0</v>
      </c>
      <c r="Y37" s="58">
        <f t="shared" ca="1" si="17"/>
        <v>0</v>
      </c>
      <c r="Z37" s="58">
        <f t="shared" ca="1" si="17"/>
        <v>0</v>
      </c>
      <c r="AA37" s="58">
        <f t="shared" ca="1" si="17"/>
        <v>0</v>
      </c>
      <c r="AB37" s="58">
        <f t="shared" ca="1" si="17"/>
        <v>0</v>
      </c>
      <c r="AC37" s="58">
        <f t="shared" ca="1" si="17"/>
        <v>0</v>
      </c>
      <c r="AD37" s="58">
        <f t="shared" ca="1" si="17"/>
        <v>0</v>
      </c>
      <c r="AE37" s="58">
        <f t="shared" ca="1" si="17"/>
        <v>0</v>
      </c>
      <c r="AF37" s="58">
        <f t="shared" ca="1" si="17"/>
        <v>0</v>
      </c>
      <c r="AG37" s="58">
        <f t="shared" ca="1" si="17"/>
        <v>0</v>
      </c>
      <c r="AH37" s="58">
        <f t="shared" ca="1" si="17"/>
        <v>0</v>
      </c>
      <c r="AI37" s="58">
        <f t="shared" ca="1" si="13"/>
        <v>0</v>
      </c>
      <c r="AJ37" s="58">
        <f t="shared" ca="1" si="13"/>
        <v>0</v>
      </c>
      <c r="AK37" s="58">
        <f t="shared" ca="1" si="13"/>
        <v>0</v>
      </c>
      <c r="AL37" s="58">
        <f t="shared" ca="1" si="13"/>
        <v>0</v>
      </c>
      <c r="AM37" s="58">
        <f t="shared" ca="1" si="13"/>
        <v>0</v>
      </c>
      <c r="AN37" s="58">
        <f t="shared" ca="1" si="13"/>
        <v>0</v>
      </c>
      <c r="AO37" s="58">
        <f t="shared" ca="1" si="13"/>
        <v>0</v>
      </c>
      <c r="AP37" s="58">
        <f t="shared" ca="1" si="13"/>
        <v>0</v>
      </c>
      <c r="AQ37" s="58">
        <f t="shared" ca="1" si="14"/>
        <v>1</v>
      </c>
      <c r="AR37" s="58">
        <f t="shared" ca="1" si="14"/>
        <v>0</v>
      </c>
      <c r="AS37" s="58">
        <f t="shared" ca="1" si="14"/>
        <v>1</v>
      </c>
      <c r="AT37" s="58">
        <f t="shared" ca="1" si="14"/>
        <v>0</v>
      </c>
      <c r="AU37" s="58">
        <f t="shared" ca="1" si="14"/>
        <v>0</v>
      </c>
      <c r="AV37" s="58">
        <f t="shared" ca="1" si="14"/>
        <v>0</v>
      </c>
      <c r="AW37" s="58">
        <f t="shared" ca="1" si="14"/>
        <v>1</v>
      </c>
      <c r="AX37" s="58">
        <f t="shared" ca="1" si="14"/>
        <v>0</v>
      </c>
      <c r="AY37" s="58">
        <f t="shared" ca="1" si="14"/>
        <v>0</v>
      </c>
      <c r="AZ37" s="58">
        <f t="shared" ca="1" si="14"/>
        <v>0</v>
      </c>
      <c r="BA37" s="58">
        <f t="shared" ca="1" si="14"/>
        <v>0</v>
      </c>
      <c r="BB37" s="58">
        <f t="shared" ca="1" si="14"/>
        <v>0</v>
      </c>
      <c r="BC37" s="58">
        <f t="shared" ca="1" si="14"/>
        <v>0</v>
      </c>
      <c r="BD37" s="58">
        <f t="shared" ca="1" si="14"/>
        <v>0</v>
      </c>
      <c r="BE37" s="58">
        <f t="shared" ca="1" si="14"/>
        <v>0</v>
      </c>
      <c r="BF37" s="58">
        <f t="shared" ca="1" si="14"/>
        <v>0</v>
      </c>
      <c r="BG37" s="58">
        <f t="shared" ca="1" si="15"/>
        <v>0</v>
      </c>
      <c r="BH37" s="58">
        <f t="shared" ca="1" si="15"/>
        <v>0</v>
      </c>
      <c r="BI37" s="58">
        <f t="shared" ca="1" si="15"/>
        <v>1</v>
      </c>
      <c r="BJ37" s="58">
        <f t="shared" ca="1" si="15"/>
        <v>0</v>
      </c>
      <c r="BK37" s="58">
        <f t="shared" ca="1" si="15"/>
        <v>0</v>
      </c>
      <c r="BL37" s="58">
        <f t="shared" ca="1" si="15"/>
        <v>0</v>
      </c>
      <c r="BM37" s="58">
        <f t="shared" ca="1" si="15"/>
        <v>0</v>
      </c>
      <c r="BN37" s="58">
        <f t="shared" ca="1" si="15"/>
        <v>0</v>
      </c>
      <c r="BO37" s="58">
        <f t="shared" ca="1" si="15"/>
        <v>0</v>
      </c>
      <c r="BP37" s="58">
        <f t="shared" ca="1" si="15"/>
        <v>1</v>
      </c>
      <c r="BQ37" s="58">
        <f t="shared" ca="1" si="15"/>
        <v>0</v>
      </c>
      <c r="BR37" s="58">
        <f t="shared" ca="1" si="15"/>
        <v>0</v>
      </c>
      <c r="BS37" s="58">
        <f t="shared" ca="1" si="15"/>
        <v>0</v>
      </c>
      <c r="BT37" s="58">
        <f t="shared" ca="1" si="15"/>
        <v>1</v>
      </c>
      <c r="BU37" s="58">
        <f t="shared" ca="1" si="15"/>
        <v>0</v>
      </c>
      <c r="BV37" s="58">
        <f t="shared" ca="1" si="15"/>
        <v>1</v>
      </c>
      <c r="BW37" s="58">
        <f t="shared" ca="1" si="16"/>
        <v>0</v>
      </c>
      <c r="BX37" s="58">
        <f t="shared" ca="1" si="16"/>
        <v>1</v>
      </c>
      <c r="BY37" s="58">
        <f t="shared" ca="1" si="16"/>
        <v>0</v>
      </c>
      <c r="BZ37" s="58">
        <f t="shared" ca="1" si="16"/>
        <v>1</v>
      </c>
      <c r="CA37" s="58">
        <f t="shared" ca="1" si="16"/>
        <v>0</v>
      </c>
      <c r="CB37" s="58">
        <f t="shared" ca="1" si="16"/>
        <v>0</v>
      </c>
      <c r="CC37" s="58">
        <f t="shared" ca="1" si="16"/>
        <v>0</v>
      </c>
      <c r="CD37" s="58">
        <f t="shared" ca="1" si="16"/>
        <v>0</v>
      </c>
      <c r="CE37" s="58">
        <f t="shared" ca="1" si="16"/>
        <v>0</v>
      </c>
      <c r="CF37" s="58">
        <f t="shared" ca="1" si="16"/>
        <v>0</v>
      </c>
      <c r="CG37" s="58">
        <f t="shared" ca="1" si="16"/>
        <v>0</v>
      </c>
      <c r="CH37" s="58">
        <f t="shared" ca="1" si="16"/>
        <v>0</v>
      </c>
      <c r="CI37" s="58">
        <f t="shared" ca="1" si="16"/>
        <v>0</v>
      </c>
      <c r="CJ37" s="58">
        <f t="shared" ca="1" si="16"/>
        <v>1</v>
      </c>
      <c r="CK37" s="58">
        <f t="shared" ca="1" si="16"/>
        <v>0</v>
      </c>
      <c r="CL37" s="58">
        <f t="shared" ca="1" si="16"/>
        <v>0</v>
      </c>
      <c r="CM37" s="58">
        <f t="shared" ca="1" si="18"/>
        <v>1</v>
      </c>
      <c r="CN37" s="58">
        <f t="shared" ca="1" si="18"/>
        <v>0</v>
      </c>
      <c r="CO37" s="58">
        <f t="shared" ca="1" si="18"/>
        <v>0</v>
      </c>
      <c r="CP37" s="58">
        <f t="shared" ca="1" si="18"/>
        <v>0</v>
      </c>
      <c r="CQ37" s="58">
        <f t="shared" ca="1" si="18"/>
        <v>0</v>
      </c>
      <c r="CR37" s="58">
        <f t="shared" ca="1" si="18"/>
        <v>0</v>
      </c>
      <c r="CS37" s="58">
        <f t="shared" ca="1" si="18"/>
        <v>0</v>
      </c>
      <c r="CT37" s="58">
        <f t="shared" ca="1" si="18"/>
        <v>0</v>
      </c>
      <c r="CU37" s="58">
        <f t="shared" ca="1" si="19"/>
        <v>0</v>
      </c>
      <c r="CV37" s="58">
        <f t="shared" ca="1" si="19"/>
        <v>0</v>
      </c>
      <c r="CW37" s="58">
        <f t="shared" ca="1" si="19"/>
        <v>0</v>
      </c>
      <c r="CX37" s="58">
        <f t="shared" ca="1" si="19"/>
        <v>0</v>
      </c>
    </row>
    <row r="38" spans="1:102" x14ac:dyDescent="0.25">
      <c r="C38" s="82">
        <f ca="1">SUM(C2:C37)</f>
        <v>4</v>
      </c>
      <c r="D38" s="82">
        <f t="shared" ref="D38:BO38" ca="1" si="22">SUM(D2:D37)</f>
        <v>4</v>
      </c>
      <c r="E38" s="82">
        <f t="shared" ca="1" si="22"/>
        <v>12</v>
      </c>
      <c r="F38" s="82">
        <f t="shared" ca="1" si="22"/>
        <v>12</v>
      </c>
      <c r="G38" s="82">
        <f t="shared" ca="1" si="22"/>
        <v>8</v>
      </c>
      <c r="H38" s="82">
        <f t="shared" ca="1" si="22"/>
        <v>7</v>
      </c>
      <c r="I38" s="82">
        <f t="shared" ca="1" si="22"/>
        <v>7</v>
      </c>
      <c r="J38" s="82">
        <f t="shared" ca="1" si="22"/>
        <v>8</v>
      </c>
      <c r="K38" s="82">
        <f t="shared" ca="1" si="22"/>
        <v>5</v>
      </c>
      <c r="L38" s="82">
        <f t="shared" ca="1" si="22"/>
        <v>9</v>
      </c>
      <c r="M38" s="82">
        <f t="shared" ca="1" si="22"/>
        <v>11</v>
      </c>
      <c r="N38" s="82">
        <f t="shared" ca="1" si="22"/>
        <v>5</v>
      </c>
      <c r="O38" s="82">
        <f t="shared" ca="1" si="22"/>
        <v>8</v>
      </c>
      <c r="P38" s="82">
        <f t="shared" ca="1" si="22"/>
        <v>8</v>
      </c>
      <c r="Q38" s="82">
        <f t="shared" ca="1" si="22"/>
        <v>3</v>
      </c>
      <c r="R38" s="82">
        <f t="shared" ca="1" si="22"/>
        <v>6</v>
      </c>
      <c r="S38" s="82">
        <f t="shared" ca="1" si="22"/>
        <v>6</v>
      </c>
      <c r="T38" s="82">
        <f t="shared" ca="1" si="22"/>
        <v>6</v>
      </c>
      <c r="U38" s="82">
        <f t="shared" ca="1" si="22"/>
        <v>10</v>
      </c>
      <c r="V38" s="82">
        <f t="shared" ca="1" si="22"/>
        <v>13</v>
      </c>
      <c r="W38" s="82">
        <f t="shared" ca="1" si="22"/>
        <v>9</v>
      </c>
      <c r="X38" s="82">
        <f t="shared" ca="1" si="22"/>
        <v>4</v>
      </c>
      <c r="Y38" s="82">
        <f t="shared" ca="1" si="22"/>
        <v>5</v>
      </c>
      <c r="Z38" s="82">
        <f t="shared" ca="1" si="22"/>
        <v>6</v>
      </c>
      <c r="AA38" s="82">
        <f t="shared" ca="1" si="22"/>
        <v>5</v>
      </c>
      <c r="AB38" s="82">
        <f t="shared" ca="1" si="22"/>
        <v>8</v>
      </c>
      <c r="AC38" s="82">
        <f t="shared" ca="1" si="22"/>
        <v>6</v>
      </c>
      <c r="AD38" s="82">
        <f t="shared" ca="1" si="22"/>
        <v>7</v>
      </c>
      <c r="AE38" s="82">
        <f t="shared" ca="1" si="22"/>
        <v>7</v>
      </c>
      <c r="AF38" s="82">
        <f t="shared" ca="1" si="22"/>
        <v>4</v>
      </c>
      <c r="AG38" s="82">
        <f t="shared" ca="1" si="22"/>
        <v>6</v>
      </c>
      <c r="AH38" s="82">
        <f t="shared" ca="1" si="22"/>
        <v>3</v>
      </c>
      <c r="AI38" s="82">
        <f t="shared" ca="1" si="22"/>
        <v>8</v>
      </c>
      <c r="AJ38" s="82">
        <f t="shared" ca="1" si="22"/>
        <v>5</v>
      </c>
      <c r="AK38" s="82">
        <f t="shared" ca="1" si="22"/>
        <v>11</v>
      </c>
      <c r="AL38" s="82">
        <f t="shared" ca="1" si="22"/>
        <v>4</v>
      </c>
      <c r="AM38" s="82">
        <f t="shared" ca="1" si="22"/>
        <v>4</v>
      </c>
      <c r="AN38" s="82">
        <f t="shared" ca="1" si="22"/>
        <v>6</v>
      </c>
      <c r="AO38" s="82">
        <f t="shared" ca="1" si="22"/>
        <v>5</v>
      </c>
      <c r="AP38" s="82">
        <f t="shared" ca="1" si="22"/>
        <v>3</v>
      </c>
      <c r="AQ38" s="82">
        <f t="shared" ca="1" si="22"/>
        <v>7</v>
      </c>
      <c r="AR38" s="82">
        <f t="shared" ca="1" si="22"/>
        <v>7</v>
      </c>
      <c r="AS38" s="82">
        <f t="shared" ca="1" si="22"/>
        <v>5</v>
      </c>
      <c r="AT38" s="82">
        <f t="shared" ca="1" si="22"/>
        <v>11</v>
      </c>
      <c r="AU38" s="82">
        <f t="shared" ca="1" si="22"/>
        <v>8</v>
      </c>
      <c r="AV38" s="82">
        <f t="shared" ca="1" si="22"/>
        <v>8</v>
      </c>
      <c r="AW38" s="82">
        <f t="shared" ca="1" si="22"/>
        <v>6</v>
      </c>
      <c r="AX38" s="82">
        <f t="shared" ca="1" si="22"/>
        <v>7</v>
      </c>
      <c r="AY38" s="82">
        <f t="shared" ca="1" si="22"/>
        <v>6</v>
      </c>
      <c r="AZ38" s="82">
        <f t="shared" ca="1" si="22"/>
        <v>2</v>
      </c>
      <c r="BA38" s="82">
        <f t="shared" ca="1" si="22"/>
        <v>6</v>
      </c>
      <c r="BB38" s="82">
        <f t="shared" ca="1" si="22"/>
        <v>7</v>
      </c>
      <c r="BC38" s="82">
        <f t="shared" ca="1" si="22"/>
        <v>9</v>
      </c>
      <c r="BD38" s="82">
        <f t="shared" ca="1" si="22"/>
        <v>9</v>
      </c>
      <c r="BE38" s="82">
        <f t="shared" ca="1" si="22"/>
        <v>4</v>
      </c>
      <c r="BF38" s="82">
        <f t="shared" ca="1" si="22"/>
        <v>8</v>
      </c>
      <c r="BG38" s="82">
        <f t="shared" ca="1" si="22"/>
        <v>2</v>
      </c>
      <c r="BH38" s="82">
        <f t="shared" ca="1" si="22"/>
        <v>8</v>
      </c>
      <c r="BI38" s="82">
        <f t="shared" ca="1" si="22"/>
        <v>10</v>
      </c>
      <c r="BJ38" s="82">
        <f t="shared" ca="1" si="22"/>
        <v>4</v>
      </c>
      <c r="BK38" s="82">
        <f t="shared" ca="1" si="22"/>
        <v>4</v>
      </c>
      <c r="BL38" s="82">
        <f t="shared" ca="1" si="22"/>
        <v>7</v>
      </c>
      <c r="BM38" s="82">
        <f t="shared" ca="1" si="22"/>
        <v>10</v>
      </c>
      <c r="BN38" s="82">
        <f t="shared" ca="1" si="22"/>
        <v>4</v>
      </c>
      <c r="BO38" s="82">
        <f t="shared" ca="1" si="22"/>
        <v>5</v>
      </c>
      <c r="BP38" s="82">
        <f t="shared" ref="BP38:CX38" ca="1" si="23">SUM(BP2:BP37)</f>
        <v>9</v>
      </c>
      <c r="BQ38" s="82">
        <f t="shared" ca="1" si="23"/>
        <v>9</v>
      </c>
      <c r="BR38" s="82">
        <f t="shared" ca="1" si="23"/>
        <v>6</v>
      </c>
      <c r="BS38" s="82">
        <f t="shared" ca="1" si="23"/>
        <v>6</v>
      </c>
      <c r="BT38" s="82">
        <f t="shared" ca="1" si="23"/>
        <v>6</v>
      </c>
      <c r="BU38" s="82">
        <f t="shared" ca="1" si="23"/>
        <v>10</v>
      </c>
      <c r="BV38" s="82">
        <f t="shared" ca="1" si="23"/>
        <v>7</v>
      </c>
      <c r="BW38" s="82">
        <f t="shared" ca="1" si="23"/>
        <v>7</v>
      </c>
      <c r="BX38" s="82">
        <f t="shared" ca="1" si="23"/>
        <v>9</v>
      </c>
      <c r="BY38" s="82">
        <f t="shared" ca="1" si="23"/>
        <v>7</v>
      </c>
      <c r="BZ38" s="82">
        <f t="shared" ca="1" si="23"/>
        <v>5</v>
      </c>
      <c r="CA38" s="82">
        <f t="shared" ca="1" si="23"/>
        <v>5</v>
      </c>
      <c r="CB38" s="82">
        <f t="shared" ca="1" si="23"/>
        <v>7</v>
      </c>
      <c r="CC38" s="82">
        <f t="shared" ca="1" si="23"/>
        <v>9</v>
      </c>
      <c r="CD38" s="82">
        <f t="shared" ca="1" si="23"/>
        <v>9</v>
      </c>
      <c r="CE38" s="82">
        <f t="shared" ca="1" si="23"/>
        <v>3</v>
      </c>
      <c r="CF38" s="82">
        <f t="shared" ca="1" si="23"/>
        <v>2</v>
      </c>
      <c r="CG38" s="82">
        <f t="shared" ca="1" si="23"/>
        <v>5</v>
      </c>
      <c r="CH38" s="82">
        <f t="shared" ca="1" si="23"/>
        <v>3</v>
      </c>
      <c r="CI38" s="82">
        <f t="shared" ca="1" si="23"/>
        <v>10</v>
      </c>
      <c r="CJ38" s="82">
        <f t="shared" ca="1" si="23"/>
        <v>7</v>
      </c>
      <c r="CK38" s="82">
        <f t="shared" ca="1" si="23"/>
        <v>4</v>
      </c>
      <c r="CL38" s="82">
        <f t="shared" ca="1" si="23"/>
        <v>10</v>
      </c>
      <c r="CM38" s="82">
        <f t="shared" ca="1" si="23"/>
        <v>9</v>
      </c>
      <c r="CN38" s="82">
        <f t="shared" ca="1" si="23"/>
        <v>9</v>
      </c>
      <c r="CO38" s="82">
        <f t="shared" ca="1" si="23"/>
        <v>7</v>
      </c>
      <c r="CP38" s="82">
        <f t="shared" ca="1" si="23"/>
        <v>7</v>
      </c>
      <c r="CQ38" s="82">
        <f t="shared" ca="1" si="23"/>
        <v>4</v>
      </c>
      <c r="CR38" s="82">
        <f t="shared" ca="1" si="23"/>
        <v>6</v>
      </c>
      <c r="CS38" s="82">
        <f t="shared" ca="1" si="23"/>
        <v>11</v>
      </c>
      <c r="CT38" s="82">
        <f t="shared" ca="1" si="23"/>
        <v>9</v>
      </c>
      <c r="CU38" s="82">
        <f t="shared" ca="1" si="23"/>
        <v>6</v>
      </c>
      <c r="CV38" s="82">
        <f t="shared" ca="1" si="23"/>
        <v>7</v>
      </c>
      <c r="CW38" s="82">
        <f t="shared" ca="1" si="23"/>
        <v>5</v>
      </c>
      <c r="CX38" s="82">
        <f t="shared" ca="1" si="23"/>
        <v>9</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17"/>
  <sheetViews>
    <sheetView topLeftCell="A6" workbookViewId="0">
      <selection activeCell="A17" sqref="A8:A17"/>
    </sheetView>
  </sheetViews>
  <sheetFormatPr defaultRowHeight="15" x14ac:dyDescent="0.25"/>
  <cols>
    <col min="1" max="1" width="107.85546875" bestFit="1" customWidth="1"/>
  </cols>
  <sheetData>
    <row r="1" spans="1:1" x14ac:dyDescent="0.25">
      <c r="A1" s="3" t="s">
        <v>12</v>
      </c>
    </row>
    <row r="2" spans="1:1" x14ac:dyDescent="0.25">
      <c r="A2" s="3" t="s">
        <v>13</v>
      </c>
    </row>
    <row r="3" spans="1:1" x14ac:dyDescent="0.25">
      <c r="A3" s="3" t="s">
        <v>14</v>
      </c>
    </row>
    <row r="4" spans="1:1" x14ac:dyDescent="0.25">
      <c r="A4" s="3" t="s">
        <v>15</v>
      </c>
    </row>
    <row r="5" spans="1:1" x14ac:dyDescent="0.25">
      <c r="A5" s="3" t="s">
        <v>16</v>
      </c>
    </row>
    <row r="6" spans="1:1" x14ac:dyDescent="0.25">
      <c r="A6" s="3" t="s">
        <v>17</v>
      </c>
    </row>
    <row r="8" spans="1:1" ht="90" x14ac:dyDescent="0.25">
      <c r="A8" s="5" t="s">
        <v>849</v>
      </c>
    </row>
    <row r="9" spans="1:1" ht="45" x14ac:dyDescent="0.25">
      <c r="A9" s="5" t="s">
        <v>18</v>
      </c>
    </row>
    <row r="10" spans="1:1" ht="45" x14ac:dyDescent="0.25">
      <c r="A10" s="4" t="s">
        <v>19</v>
      </c>
    </row>
    <row r="11" spans="1:1" ht="45" x14ac:dyDescent="0.25">
      <c r="A11" s="5" t="s">
        <v>20</v>
      </c>
    </row>
    <row r="12" spans="1:1" x14ac:dyDescent="0.25">
      <c r="A12" s="5" t="s">
        <v>21</v>
      </c>
    </row>
    <row r="13" spans="1:1" x14ac:dyDescent="0.25">
      <c r="A13" s="6" t="s">
        <v>25</v>
      </c>
    </row>
    <row r="14" spans="1:1" ht="45" x14ac:dyDescent="0.25">
      <c r="A14" s="4" t="s">
        <v>22</v>
      </c>
    </row>
    <row r="15" spans="1:1" ht="45" x14ac:dyDescent="0.25">
      <c r="A15" s="5" t="s">
        <v>23</v>
      </c>
    </row>
    <row r="16" spans="1:1" ht="30" x14ac:dyDescent="0.25">
      <c r="A16" s="5" t="s">
        <v>823</v>
      </c>
    </row>
    <row r="17" spans="1:1" ht="45" x14ac:dyDescent="0.25">
      <c r="A17" s="5" t="s">
        <v>24</v>
      </c>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5:AL23"/>
  <sheetViews>
    <sheetView topLeftCell="J1" workbookViewId="0">
      <selection activeCell="AG6" sqref="AG6"/>
    </sheetView>
  </sheetViews>
  <sheetFormatPr defaultRowHeight="15" x14ac:dyDescent="0.25"/>
  <cols>
    <col min="13" max="13" width="16.85546875" bestFit="1" customWidth="1"/>
    <col min="14" max="14" width="13.5703125" customWidth="1"/>
    <col min="21" max="25" width="18" customWidth="1"/>
  </cols>
  <sheetData>
    <row r="5" spans="3:38" x14ac:dyDescent="0.25">
      <c r="D5" t="s">
        <v>57</v>
      </c>
      <c r="K5" t="s">
        <v>56</v>
      </c>
      <c r="M5" t="s">
        <v>79</v>
      </c>
      <c r="O5" t="s">
        <v>69</v>
      </c>
      <c r="P5" t="s">
        <v>70</v>
      </c>
      <c r="Q5" t="s">
        <v>71</v>
      </c>
      <c r="R5" t="s">
        <v>72</v>
      </c>
      <c r="S5" t="s">
        <v>73</v>
      </c>
      <c r="U5" t="s">
        <v>74</v>
      </c>
      <c r="V5" t="s">
        <v>75</v>
      </c>
      <c r="W5" t="s">
        <v>76</v>
      </c>
      <c r="X5" t="s">
        <v>77</v>
      </c>
      <c r="Y5" t="s">
        <v>78</v>
      </c>
      <c r="AA5" t="s">
        <v>58</v>
      </c>
      <c r="AB5" t="s">
        <v>59</v>
      </c>
      <c r="AC5" t="s">
        <v>60</v>
      </c>
      <c r="AD5" t="s">
        <v>61</v>
      </c>
      <c r="AE5" t="s">
        <v>62</v>
      </c>
      <c r="AG5" t="s">
        <v>63</v>
      </c>
      <c r="AH5" t="s">
        <v>64</v>
      </c>
      <c r="AI5" t="s">
        <v>65</v>
      </c>
      <c r="AJ5" t="s">
        <v>66</v>
      </c>
      <c r="AK5" t="s">
        <v>67</v>
      </c>
      <c r="AL5" t="s">
        <v>68</v>
      </c>
    </row>
    <row r="6" spans="3:38" x14ac:dyDescent="0.25">
      <c r="C6" t="s">
        <v>26</v>
      </c>
      <c r="D6">
        <v>10</v>
      </c>
      <c r="J6" t="s">
        <v>41</v>
      </c>
      <c r="K6">
        <v>-5</v>
      </c>
      <c r="M6">
        <v>100000</v>
      </c>
      <c r="O6">
        <v>1</v>
      </c>
      <c r="P6">
        <v>0</v>
      </c>
      <c r="Q6">
        <v>1</v>
      </c>
      <c r="R6">
        <v>1</v>
      </c>
      <c r="S6">
        <v>1</v>
      </c>
      <c r="U6">
        <f>$M$6*O6</f>
        <v>100000</v>
      </c>
      <c r="V6">
        <f t="shared" ref="V6:Y20" si="0">$M$6*P6</f>
        <v>0</v>
      </c>
      <c r="W6">
        <f t="shared" si="0"/>
        <v>100000</v>
      </c>
      <c r="X6">
        <f t="shared" si="0"/>
        <v>100000</v>
      </c>
      <c r="Y6">
        <f t="shared" si="0"/>
        <v>100000</v>
      </c>
      <c r="AA6">
        <f ca="1">RANDBETWEEN(0,1)</f>
        <v>1</v>
      </c>
      <c r="AB6">
        <f t="shared" ref="AB6:AE6" ca="1" si="1">RANDBETWEEN(0,1)</f>
        <v>0</v>
      </c>
      <c r="AC6">
        <f t="shared" ca="1" si="1"/>
        <v>1</v>
      </c>
      <c r="AD6">
        <f t="shared" ca="1" si="1"/>
        <v>0</v>
      </c>
      <c r="AE6">
        <f t="shared" ca="1" si="1"/>
        <v>0</v>
      </c>
      <c r="AG6">
        <f t="shared" ref="AG6:AG20" ca="1" si="2">$D6+($K6*AA6*(1-O6))</f>
        <v>10</v>
      </c>
      <c r="AH6">
        <f t="shared" ref="AH6:AH20" ca="1" si="3">$D6+($K6*AB6*(1-P6))</f>
        <v>10</v>
      </c>
      <c r="AI6">
        <f t="shared" ref="AI6:AI20" ca="1" si="4">$D6+($K6*AC6*(1-Q6))</f>
        <v>10</v>
      </c>
      <c r="AJ6">
        <f t="shared" ref="AJ6:AJ20" ca="1" si="5">$D6+($K6*AD6*(1-R6))</f>
        <v>10</v>
      </c>
      <c r="AK6">
        <f t="shared" ref="AK6:AK20" ca="1" si="6">$D6+($K6*AE6*(1-S6))</f>
        <v>10</v>
      </c>
    </row>
    <row r="7" spans="3:38" x14ac:dyDescent="0.25">
      <c r="C7" t="s">
        <v>27</v>
      </c>
      <c r="D7">
        <v>20</v>
      </c>
      <c r="J7" t="s">
        <v>42</v>
      </c>
      <c r="K7">
        <v>-5</v>
      </c>
      <c r="M7">
        <v>100000</v>
      </c>
      <c r="O7">
        <v>0</v>
      </c>
      <c r="P7">
        <v>0</v>
      </c>
      <c r="Q7">
        <v>0</v>
      </c>
      <c r="R7">
        <v>0</v>
      </c>
      <c r="S7">
        <v>1</v>
      </c>
      <c r="U7">
        <f t="shared" ref="U7:U20" si="7">$M$6*O7</f>
        <v>0</v>
      </c>
      <c r="V7">
        <f t="shared" si="0"/>
        <v>0</v>
      </c>
      <c r="W7">
        <f t="shared" si="0"/>
        <v>0</v>
      </c>
      <c r="X7">
        <f t="shared" si="0"/>
        <v>0</v>
      </c>
      <c r="Y7">
        <f t="shared" si="0"/>
        <v>100000</v>
      </c>
      <c r="AA7">
        <f t="shared" ref="AA7:AE20" ca="1" si="8">RANDBETWEEN(0,1)</f>
        <v>0</v>
      </c>
      <c r="AB7">
        <f t="shared" ca="1" si="8"/>
        <v>0</v>
      </c>
      <c r="AC7">
        <f t="shared" ca="1" si="8"/>
        <v>1</v>
      </c>
      <c r="AD7">
        <f t="shared" ca="1" si="8"/>
        <v>0</v>
      </c>
      <c r="AE7">
        <f t="shared" ca="1" si="8"/>
        <v>1</v>
      </c>
      <c r="AG7">
        <f t="shared" ca="1" si="2"/>
        <v>20</v>
      </c>
      <c r="AH7">
        <f t="shared" ca="1" si="3"/>
        <v>20</v>
      </c>
      <c r="AI7">
        <f t="shared" ca="1" si="4"/>
        <v>15</v>
      </c>
      <c r="AJ7">
        <f t="shared" ca="1" si="5"/>
        <v>20</v>
      </c>
      <c r="AK7">
        <f t="shared" ca="1" si="6"/>
        <v>20</v>
      </c>
    </row>
    <row r="8" spans="3:38" x14ac:dyDescent="0.25">
      <c r="C8" t="s">
        <v>28</v>
      </c>
      <c r="D8">
        <v>30</v>
      </c>
      <c r="J8" t="s">
        <v>43</v>
      </c>
      <c r="K8">
        <v>-5</v>
      </c>
      <c r="M8">
        <v>100000</v>
      </c>
      <c r="O8">
        <v>1</v>
      </c>
      <c r="P8">
        <v>1</v>
      </c>
      <c r="Q8">
        <v>1</v>
      </c>
      <c r="R8">
        <v>1</v>
      </c>
      <c r="S8">
        <v>1</v>
      </c>
      <c r="U8">
        <f t="shared" si="7"/>
        <v>100000</v>
      </c>
      <c r="V8">
        <f t="shared" si="0"/>
        <v>100000</v>
      </c>
      <c r="W8">
        <f t="shared" si="0"/>
        <v>100000</v>
      </c>
      <c r="X8">
        <f t="shared" si="0"/>
        <v>100000</v>
      </c>
      <c r="Y8">
        <f t="shared" si="0"/>
        <v>100000</v>
      </c>
      <c r="AA8">
        <f t="shared" ca="1" si="8"/>
        <v>1</v>
      </c>
      <c r="AB8">
        <f t="shared" ca="1" si="8"/>
        <v>0</v>
      </c>
      <c r="AC8">
        <f t="shared" ca="1" si="8"/>
        <v>0</v>
      </c>
      <c r="AD8">
        <f t="shared" ca="1" si="8"/>
        <v>0</v>
      </c>
      <c r="AE8">
        <f t="shared" ca="1" si="8"/>
        <v>1</v>
      </c>
      <c r="AG8">
        <f t="shared" ca="1" si="2"/>
        <v>30</v>
      </c>
      <c r="AH8">
        <f t="shared" ca="1" si="3"/>
        <v>30</v>
      </c>
      <c r="AI8">
        <f t="shared" ca="1" si="4"/>
        <v>30</v>
      </c>
      <c r="AJ8">
        <f t="shared" ca="1" si="5"/>
        <v>30</v>
      </c>
      <c r="AK8">
        <f t="shared" ca="1" si="6"/>
        <v>30</v>
      </c>
    </row>
    <row r="9" spans="3:38" x14ac:dyDescent="0.25">
      <c r="C9" t="s">
        <v>29</v>
      </c>
      <c r="D9">
        <v>40</v>
      </c>
      <c r="J9" t="s">
        <v>44</v>
      </c>
      <c r="K9">
        <v>-5</v>
      </c>
      <c r="M9">
        <v>100000</v>
      </c>
      <c r="O9">
        <v>1</v>
      </c>
      <c r="P9">
        <v>1</v>
      </c>
      <c r="Q9">
        <v>1</v>
      </c>
      <c r="R9">
        <v>1</v>
      </c>
      <c r="S9">
        <v>1</v>
      </c>
      <c r="U9">
        <f t="shared" si="7"/>
        <v>100000</v>
      </c>
      <c r="V9">
        <f t="shared" si="0"/>
        <v>100000</v>
      </c>
      <c r="W9">
        <f t="shared" si="0"/>
        <v>100000</v>
      </c>
      <c r="X9">
        <f t="shared" si="0"/>
        <v>100000</v>
      </c>
      <c r="Y9">
        <f t="shared" si="0"/>
        <v>100000</v>
      </c>
      <c r="AA9">
        <f t="shared" ca="1" si="8"/>
        <v>1</v>
      </c>
      <c r="AB9">
        <f t="shared" ca="1" si="8"/>
        <v>1</v>
      </c>
      <c r="AC9">
        <f t="shared" ca="1" si="8"/>
        <v>1</v>
      </c>
      <c r="AD9">
        <f t="shared" ca="1" si="8"/>
        <v>1</v>
      </c>
      <c r="AE9">
        <f t="shared" ca="1" si="8"/>
        <v>1</v>
      </c>
      <c r="AG9">
        <f t="shared" ca="1" si="2"/>
        <v>40</v>
      </c>
      <c r="AH9">
        <f t="shared" ca="1" si="3"/>
        <v>40</v>
      </c>
      <c r="AI9">
        <f t="shared" ca="1" si="4"/>
        <v>40</v>
      </c>
      <c r="AJ9">
        <f t="shared" ca="1" si="5"/>
        <v>40</v>
      </c>
      <c r="AK9">
        <f t="shared" ca="1" si="6"/>
        <v>40</v>
      </c>
    </row>
    <row r="10" spans="3:38" x14ac:dyDescent="0.25">
      <c r="C10" t="s">
        <v>30</v>
      </c>
      <c r="D10">
        <v>50</v>
      </c>
      <c r="J10" t="s">
        <v>45</v>
      </c>
      <c r="K10">
        <v>-5</v>
      </c>
      <c r="M10">
        <v>100000</v>
      </c>
      <c r="O10">
        <v>1</v>
      </c>
      <c r="P10">
        <v>1</v>
      </c>
      <c r="Q10">
        <v>1</v>
      </c>
      <c r="R10">
        <v>1</v>
      </c>
      <c r="S10">
        <v>1</v>
      </c>
      <c r="U10">
        <f t="shared" si="7"/>
        <v>100000</v>
      </c>
      <c r="V10">
        <f t="shared" si="0"/>
        <v>100000</v>
      </c>
      <c r="W10">
        <f t="shared" si="0"/>
        <v>100000</v>
      </c>
      <c r="X10">
        <f t="shared" si="0"/>
        <v>100000</v>
      </c>
      <c r="Y10">
        <f t="shared" si="0"/>
        <v>100000</v>
      </c>
      <c r="AA10">
        <f t="shared" ca="1" si="8"/>
        <v>1</v>
      </c>
      <c r="AB10">
        <f t="shared" ca="1" si="8"/>
        <v>1</v>
      </c>
      <c r="AC10">
        <f t="shared" ca="1" si="8"/>
        <v>0</v>
      </c>
      <c r="AD10">
        <f t="shared" ca="1" si="8"/>
        <v>0</v>
      </c>
      <c r="AE10">
        <f t="shared" ca="1" si="8"/>
        <v>0</v>
      </c>
      <c r="AG10">
        <f t="shared" ca="1" si="2"/>
        <v>50</v>
      </c>
      <c r="AH10">
        <f t="shared" ca="1" si="3"/>
        <v>50</v>
      </c>
      <c r="AI10">
        <f t="shared" ca="1" si="4"/>
        <v>50</v>
      </c>
      <c r="AJ10">
        <f t="shared" ca="1" si="5"/>
        <v>50</v>
      </c>
      <c r="AK10">
        <f t="shared" ca="1" si="6"/>
        <v>50</v>
      </c>
    </row>
    <row r="11" spans="3:38" x14ac:dyDescent="0.25">
      <c r="C11" t="s">
        <v>31</v>
      </c>
      <c r="D11">
        <v>60</v>
      </c>
      <c r="J11" t="s">
        <v>46</v>
      </c>
      <c r="K11">
        <v>-5</v>
      </c>
      <c r="M11">
        <v>100000</v>
      </c>
      <c r="O11">
        <v>1</v>
      </c>
      <c r="P11">
        <v>1</v>
      </c>
      <c r="Q11">
        <v>1</v>
      </c>
      <c r="R11">
        <v>1</v>
      </c>
      <c r="S11">
        <v>1</v>
      </c>
      <c r="U11">
        <f t="shared" si="7"/>
        <v>100000</v>
      </c>
      <c r="V11">
        <f t="shared" si="0"/>
        <v>100000</v>
      </c>
      <c r="W11">
        <f t="shared" si="0"/>
        <v>100000</v>
      </c>
      <c r="X11">
        <f t="shared" si="0"/>
        <v>100000</v>
      </c>
      <c r="Y11">
        <f t="shared" si="0"/>
        <v>100000</v>
      </c>
      <c r="AA11">
        <f t="shared" ca="1" si="8"/>
        <v>1</v>
      </c>
      <c r="AB11">
        <f t="shared" ca="1" si="8"/>
        <v>1</v>
      </c>
      <c r="AC11">
        <f t="shared" ca="1" si="8"/>
        <v>0</v>
      </c>
      <c r="AD11">
        <f t="shared" ca="1" si="8"/>
        <v>0</v>
      </c>
      <c r="AE11">
        <f t="shared" ca="1" si="8"/>
        <v>0</v>
      </c>
      <c r="AG11">
        <f t="shared" ca="1" si="2"/>
        <v>60</v>
      </c>
      <c r="AH11">
        <f t="shared" ca="1" si="3"/>
        <v>60</v>
      </c>
      <c r="AI11">
        <f t="shared" ca="1" si="4"/>
        <v>60</v>
      </c>
      <c r="AJ11">
        <f t="shared" ca="1" si="5"/>
        <v>60</v>
      </c>
      <c r="AK11">
        <f t="shared" ca="1" si="6"/>
        <v>60</v>
      </c>
    </row>
    <row r="12" spans="3:38" x14ac:dyDescent="0.25">
      <c r="C12" t="s">
        <v>32</v>
      </c>
      <c r="D12">
        <v>70</v>
      </c>
      <c r="J12" t="s">
        <v>47</v>
      </c>
      <c r="K12">
        <v>-5</v>
      </c>
      <c r="M12">
        <v>100000</v>
      </c>
      <c r="O12">
        <v>1</v>
      </c>
      <c r="P12">
        <v>1</v>
      </c>
      <c r="Q12">
        <v>1</v>
      </c>
      <c r="R12">
        <v>1</v>
      </c>
      <c r="S12">
        <v>1</v>
      </c>
      <c r="U12">
        <f t="shared" si="7"/>
        <v>100000</v>
      </c>
      <c r="V12">
        <f t="shared" si="0"/>
        <v>100000</v>
      </c>
      <c r="W12">
        <f t="shared" si="0"/>
        <v>100000</v>
      </c>
      <c r="X12">
        <f t="shared" si="0"/>
        <v>100000</v>
      </c>
      <c r="Y12">
        <f t="shared" si="0"/>
        <v>100000</v>
      </c>
      <c r="AA12">
        <f t="shared" ca="1" si="8"/>
        <v>0</v>
      </c>
      <c r="AB12">
        <f t="shared" ca="1" si="8"/>
        <v>1</v>
      </c>
      <c r="AC12">
        <f t="shared" ca="1" si="8"/>
        <v>1</v>
      </c>
      <c r="AD12">
        <f t="shared" ca="1" si="8"/>
        <v>1</v>
      </c>
      <c r="AE12">
        <f t="shared" ca="1" si="8"/>
        <v>1</v>
      </c>
      <c r="AG12">
        <f t="shared" ca="1" si="2"/>
        <v>70</v>
      </c>
      <c r="AH12">
        <f t="shared" ca="1" si="3"/>
        <v>70</v>
      </c>
      <c r="AI12">
        <f t="shared" ca="1" si="4"/>
        <v>70</v>
      </c>
      <c r="AJ12">
        <f t="shared" ca="1" si="5"/>
        <v>70</v>
      </c>
      <c r="AK12">
        <f t="shared" ca="1" si="6"/>
        <v>70</v>
      </c>
    </row>
    <row r="13" spans="3:38" x14ac:dyDescent="0.25">
      <c r="C13" t="s">
        <v>33</v>
      </c>
      <c r="D13">
        <v>80</v>
      </c>
      <c r="J13" t="s">
        <v>48</v>
      </c>
      <c r="K13">
        <v>-5</v>
      </c>
      <c r="M13">
        <v>100000</v>
      </c>
      <c r="O13">
        <v>1</v>
      </c>
      <c r="P13">
        <v>1</v>
      </c>
      <c r="Q13">
        <v>1</v>
      </c>
      <c r="R13">
        <v>1</v>
      </c>
      <c r="S13">
        <v>1</v>
      </c>
      <c r="U13">
        <f t="shared" si="7"/>
        <v>100000</v>
      </c>
      <c r="V13">
        <f t="shared" si="0"/>
        <v>100000</v>
      </c>
      <c r="W13">
        <f t="shared" si="0"/>
        <v>100000</v>
      </c>
      <c r="X13">
        <f t="shared" si="0"/>
        <v>100000</v>
      </c>
      <c r="Y13">
        <f t="shared" si="0"/>
        <v>100000</v>
      </c>
      <c r="AA13">
        <f t="shared" ca="1" si="8"/>
        <v>1</v>
      </c>
      <c r="AB13">
        <f t="shared" ca="1" si="8"/>
        <v>1</v>
      </c>
      <c r="AC13">
        <f t="shared" ca="1" si="8"/>
        <v>0</v>
      </c>
      <c r="AD13">
        <f t="shared" ca="1" si="8"/>
        <v>0</v>
      </c>
      <c r="AE13">
        <f t="shared" ca="1" si="8"/>
        <v>0</v>
      </c>
      <c r="AG13">
        <f t="shared" ca="1" si="2"/>
        <v>80</v>
      </c>
      <c r="AH13">
        <f t="shared" ca="1" si="3"/>
        <v>80</v>
      </c>
      <c r="AI13">
        <f t="shared" ca="1" si="4"/>
        <v>80</v>
      </c>
      <c r="AJ13">
        <f t="shared" ca="1" si="5"/>
        <v>80</v>
      </c>
      <c r="AK13">
        <f t="shared" ca="1" si="6"/>
        <v>80</v>
      </c>
    </row>
    <row r="14" spans="3:38" x14ac:dyDescent="0.25">
      <c r="C14" t="s">
        <v>34</v>
      </c>
      <c r="D14">
        <v>90</v>
      </c>
      <c r="J14" t="s">
        <v>49</v>
      </c>
      <c r="K14">
        <v>-5</v>
      </c>
      <c r="M14">
        <v>100000</v>
      </c>
      <c r="O14">
        <v>1</v>
      </c>
      <c r="P14">
        <v>1</v>
      </c>
      <c r="Q14">
        <v>1</v>
      </c>
      <c r="R14">
        <v>1</v>
      </c>
      <c r="S14">
        <v>1</v>
      </c>
      <c r="U14">
        <f t="shared" si="7"/>
        <v>100000</v>
      </c>
      <c r="V14">
        <f t="shared" si="0"/>
        <v>100000</v>
      </c>
      <c r="W14">
        <f t="shared" si="0"/>
        <v>100000</v>
      </c>
      <c r="X14">
        <f t="shared" si="0"/>
        <v>100000</v>
      </c>
      <c r="Y14">
        <f t="shared" si="0"/>
        <v>100000</v>
      </c>
      <c r="AA14">
        <f t="shared" ca="1" si="8"/>
        <v>0</v>
      </c>
      <c r="AB14">
        <f t="shared" ca="1" si="8"/>
        <v>1</v>
      </c>
      <c r="AC14">
        <f t="shared" ca="1" si="8"/>
        <v>0</v>
      </c>
      <c r="AD14">
        <f t="shared" ca="1" si="8"/>
        <v>1</v>
      </c>
      <c r="AE14">
        <f t="shared" ca="1" si="8"/>
        <v>0</v>
      </c>
      <c r="AG14">
        <f t="shared" ca="1" si="2"/>
        <v>90</v>
      </c>
      <c r="AH14">
        <f t="shared" ca="1" si="3"/>
        <v>90</v>
      </c>
      <c r="AI14">
        <f t="shared" ca="1" si="4"/>
        <v>90</v>
      </c>
      <c r="AJ14">
        <f t="shared" ca="1" si="5"/>
        <v>90</v>
      </c>
      <c r="AK14">
        <f t="shared" ca="1" si="6"/>
        <v>90</v>
      </c>
    </row>
    <row r="15" spans="3:38" x14ac:dyDescent="0.25">
      <c r="C15" t="s">
        <v>35</v>
      </c>
      <c r="D15">
        <v>100</v>
      </c>
      <c r="J15" t="s">
        <v>50</v>
      </c>
      <c r="K15">
        <v>-5</v>
      </c>
      <c r="M15">
        <v>100000</v>
      </c>
      <c r="O15">
        <v>1</v>
      </c>
      <c r="P15">
        <v>1</v>
      </c>
      <c r="Q15">
        <v>1</v>
      </c>
      <c r="R15">
        <v>1</v>
      </c>
      <c r="S15">
        <v>1</v>
      </c>
      <c r="U15">
        <f t="shared" si="7"/>
        <v>100000</v>
      </c>
      <c r="V15">
        <f t="shared" si="0"/>
        <v>100000</v>
      </c>
      <c r="W15">
        <f t="shared" si="0"/>
        <v>100000</v>
      </c>
      <c r="X15">
        <f t="shared" si="0"/>
        <v>100000</v>
      </c>
      <c r="Y15">
        <f t="shared" si="0"/>
        <v>100000</v>
      </c>
      <c r="AA15">
        <f t="shared" ca="1" si="8"/>
        <v>0</v>
      </c>
      <c r="AB15">
        <f t="shared" ca="1" si="8"/>
        <v>1</v>
      </c>
      <c r="AC15">
        <f t="shared" ca="1" si="8"/>
        <v>1</v>
      </c>
      <c r="AD15">
        <f t="shared" ca="1" si="8"/>
        <v>1</v>
      </c>
      <c r="AE15">
        <f t="shared" ca="1" si="8"/>
        <v>1</v>
      </c>
      <c r="AG15">
        <f t="shared" ca="1" si="2"/>
        <v>100</v>
      </c>
      <c r="AH15">
        <f t="shared" ca="1" si="3"/>
        <v>100</v>
      </c>
      <c r="AI15">
        <f t="shared" ca="1" si="4"/>
        <v>100</v>
      </c>
      <c r="AJ15">
        <f t="shared" ca="1" si="5"/>
        <v>100</v>
      </c>
      <c r="AK15">
        <f t="shared" ca="1" si="6"/>
        <v>100</v>
      </c>
    </row>
    <row r="16" spans="3:38" x14ac:dyDescent="0.25">
      <c r="C16" t="s">
        <v>36</v>
      </c>
      <c r="D16">
        <v>110</v>
      </c>
      <c r="J16" t="s">
        <v>51</v>
      </c>
      <c r="K16">
        <v>-5</v>
      </c>
      <c r="M16">
        <v>100000</v>
      </c>
      <c r="O16">
        <v>1</v>
      </c>
      <c r="P16">
        <v>1</v>
      </c>
      <c r="Q16">
        <v>1</v>
      </c>
      <c r="R16">
        <v>1</v>
      </c>
      <c r="S16">
        <v>1</v>
      </c>
      <c r="U16">
        <f t="shared" si="7"/>
        <v>100000</v>
      </c>
      <c r="V16">
        <f t="shared" si="0"/>
        <v>100000</v>
      </c>
      <c r="W16">
        <f t="shared" si="0"/>
        <v>100000</v>
      </c>
      <c r="X16">
        <f t="shared" si="0"/>
        <v>100000</v>
      </c>
      <c r="Y16">
        <f t="shared" si="0"/>
        <v>100000</v>
      </c>
      <c r="AA16">
        <f t="shared" ca="1" si="8"/>
        <v>0</v>
      </c>
      <c r="AB16">
        <f t="shared" ca="1" si="8"/>
        <v>1</v>
      </c>
      <c r="AC16">
        <f t="shared" ca="1" si="8"/>
        <v>1</v>
      </c>
      <c r="AD16">
        <f t="shared" ca="1" si="8"/>
        <v>1</v>
      </c>
      <c r="AE16">
        <f t="shared" ca="1" si="8"/>
        <v>1</v>
      </c>
      <c r="AG16">
        <f t="shared" ca="1" si="2"/>
        <v>110</v>
      </c>
      <c r="AH16">
        <f t="shared" ca="1" si="3"/>
        <v>110</v>
      </c>
      <c r="AI16">
        <f t="shared" ca="1" si="4"/>
        <v>110</v>
      </c>
      <c r="AJ16">
        <f t="shared" ca="1" si="5"/>
        <v>110</v>
      </c>
      <c r="AK16">
        <f t="shared" ca="1" si="6"/>
        <v>110</v>
      </c>
    </row>
    <row r="17" spans="3:37" x14ac:dyDescent="0.25">
      <c r="C17" t="s">
        <v>37</v>
      </c>
      <c r="D17">
        <v>120</v>
      </c>
      <c r="J17" t="s">
        <v>52</v>
      </c>
      <c r="K17">
        <v>-5</v>
      </c>
      <c r="M17">
        <v>100000</v>
      </c>
      <c r="O17">
        <v>1</v>
      </c>
      <c r="P17">
        <v>1</v>
      </c>
      <c r="Q17">
        <v>1</v>
      </c>
      <c r="R17">
        <v>1</v>
      </c>
      <c r="S17">
        <v>1</v>
      </c>
      <c r="U17">
        <f t="shared" si="7"/>
        <v>100000</v>
      </c>
      <c r="V17">
        <f t="shared" si="0"/>
        <v>100000</v>
      </c>
      <c r="W17">
        <f t="shared" si="0"/>
        <v>100000</v>
      </c>
      <c r="X17">
        <f t="shared" si="0"/>
        <v>100000</v>
      </c>
      <c r="Y17">
        <f t="shared" si="0"/>
        <v>100000</v>
      </c>
      <c r="AA17">
        <f t="shared" ca="1" si="8"/>
        <v>0</v>
      </c>
      <c r="AB17">
        <f t="shared" ca="1" si="8"/>
        <v>0</v>
      </c>
      <c r="AC17">
        <f t="shared" ca="1" si="8"/>
        <v>0</v>
      </c>
      <c r="AD17">
        <f t="shared" ca="1" si="8"/>
        <v>0</v>
      </c>
      <c r="AE17">
        <f t="shared" ca="1" si="8"/>
        <v>1</v>
      </c>
      <c r="AG17">
        <f t="shared" ca="1" si="2"/>
        <v>120</v>
      </c>
      <c r="AH17">
        <f t="shared" ca="1" si="3"/>
        <v>120</v>
      </c>
      <c r="AI17">
        <f t="shared" ca="1" si="4"/>
        <v>120</v>
      </c>
      <c r="AJ17">
        <f t="shared" ca="1" si="5"/>
        <v>120</v>
      </c>
      <c r="AK17">
        <f t="shared" ca="1" si="6"/>
        <v>120</v>
      </c>
    </row>
    <row r="18" spans="3:37" x14ac:dyDescent="0.25">
      <c r="C18" t="s">
        <v>38</v>
      </c>
      <c r="D18">
        <v>130</v>
      </c>
      <c r="J18" t="s">
        <v>53</v>
      </c>
      <c r="K18">
        <v>-5</v>
      </c>
      <c r="M18">
        <v>100000</v>
      </c>
      <c r="O18">
        <v>1</v>
      </c>
      <c r="P18">
        <v>1</v>
      </c>
      <c r="Q18">
        <v>1</v>
      </c>
      <c r="R18">
        <v>1</v>
      </c>
      <c r="S18">
        <v>1</v>
      </c>
      <c r="U18">
        <f t="shared" si="7"/>
        <v>100000</v>
      </c>
      <c r="V18">
        <f t="shared" si="0"/>
        <v>100000</v>
      </c>
      <c r="W18">
        <f t="shared" si="0"/>
        <v>100000</v>
      </c>
      <c r="X18">
        <f t="shared" si="0"/>
        <v>100000</v>
      </c>
      <c r="Y18">
        <f t="shared" si="0"/>
        <v>100000</v>
      </c>
      <c r="AA18">
        <f t="shared" ca="1" si="8"/>
        <v>0</v>
      </c>
      <c r="AB18">
        <f t="shared" ca="1" si="8"/>
        <v>0</v>
      </c>
      <c r="AC18">
        <f t="shared" ca="1" si="8"/>
        <v>1</v>
      </c>
      <c r="AD18">
        <f t="shared" ca="1" si="8"/>
        <v>0</v>
      </c>
      <c r="AE18">
        <f t="shared" ca="1" si="8"/>
        <v>1</v>
      </c>
      <c r="AG18">
        <f t="shared" ca="1" si="2"/>
        <v>130</v>
      </c>
      <c r="AH18">
        <f t="shared" ca="1" si="3"/>
        <v>130</v>
      </c>
      <c r="AI18">
        <f t="shared" ca="1" si="4"/>
        <v>130</v>
      </c>
      <c r="AJ18">
        <f t="shared" ca="1" si="5"/>
        <v>130</v>
      </c>
      <c r="AK18">
        <f t="shared" ca="1" si="6"/>
        <v>130</v>
      </c>
    </row>
    <row r="19" spans="3:37" x14ac:dyDescent="0.25">
      <c r="C19" t="s">
        <v>39</v>
      </c>
      <c r="D19">
        <v>140</v>
      </c>
      <c r="J19" t="s">
        <v>54</v>
      </c>
      <c r="K19">
        <v>-5</v>
      </c>
      <c r="M19">
        <v>100000</v>
      </c>
      <c r="O19">
        <v>1</v>
      </c>
      <c r="P19">
        <v>1</v>
      </c>
      <c r="Q19">
        <v>1</v>
      </c>
      <c r="R19">
        <v>1</v>
      </c>
      <c r="S19">
        <v>1</v>
      </c>
      <c r="U19">
        <f t="shared" si="7"/>
        <v>100000</v>
      </c>
      <c r="V19">
        <f t="shared" si="0"/>
        <v>100000</v>
      </c>
      <c r="W19">
        <f t="shared" si="0"/>
        <v>100000</v>
      </c>
      <c r="X19">
        <f t="shared" si="0"/>
        <v>100000</v>
      </c>
      <c r="Y19">
        <f t="shared" si="0"/>
        <v>100000</v>
      </c>
      <c r="AA19">
        <f t="shared" ca="1" si="8"/>
        <v>1</v>
      </c>
      <c r="AB19">
        <f t="shared" ca="1" si="8"/>
        <v>0</v>
      </c>
      <c r="AC19">
        <f t="shared" ca="1" si="8"/>
        <v>0</v>
      </c>
      <c r="AD19">
        <f t="shared" ca="1" si="8"/>
        <v>1</v>
      </c>
      <c r="AE19">
        <f t="shared" ca="1" si="8"/>
        <v>1</v>
      </c>
      <c r="AG19">
        <f t="shared" ca="1" si="2"/>
        <v>140</v>
      </c>
      <c r="AH19">
        <f t="shared" ca="1" si="3"/>
        <v>140</v>
      </c>
      <c r="AI19">
        <f t="shared" ca="1" si="4"/>
        <v>140</v>
      </c>
      <c r="AJ19">
        <f t="shared" ca="1" si="5"/>
        <v>140</v>
      </c>
      <c r="AK19">
        <f t="shared" ca="1" si="6"/>
        <v>140</v>
      </c>
    </row>
    <row r="20" spans="3:37" x14ac:dyDescent="0.25">
      <c r="C20" t="s">
        <v>40</v>
      </c>
      <c r="D20">
        <v>150</v>
      </c>
      <c r="J20" t="s">
        <v>55</v>
      </c>
      <c r="K20">
        <v>-5</v>
      </c>
      <c r="M20">
        <v>100000</v>
      </c>
      <c r="O20">
        <v>1</v>
      </c>
      <c r="P20">
        <v>1</v>
      </c>
      <c r="Q20">
        <v>1</v>
      </c>
      <c r="R20">
        <v>1</v>
      </c>
      <c r="S20">
        <v>1</v>
      </c>
      <c r="U20">
        <f t="shared" si="7"/>
        <v>100000</v>
      </c>
      <c r="V20">
        <f t="shared" si="0"/>
        <v>100000</v>
      </c>
      <c r="W20">
        <f t="shared" si="0"/>
        <v>100000</v>
      </c>
      <c r="X20">
        <f t="shared" si="0"/>
        <v>100000</v>
      </c>
      <c r="Y20">
        <f t="shared" si="0"/>
        <v>100000</v>
      </c>
      <c r="AA20">
        <f t="shared" ca="1" si="8"/>
        <v>1</v>
      </c>
      <c r="AB20">
        <f t="shared" ca="1" si="8"/>
        <v>1</v>
      </c>
      <c r="AC20">
        <f t="shared" ca="1" si="8"/>
        <v>1</v>
      </c>
      <c r="AD20">
        <f t="shared" ca="1" si="8"/>
        <v>1</v>
      </c>
      <c r="AE20">
        <f t="shared" ca="1" si="8"/>
        <v>0</v>
      </c>
      <c r="AG20">
        <f t="shared" ca="1" si="2"/>
        <v>150</v>
      </c>
      <c r="AH20">
        <f t="shared" ca="1" si="3"/>
        <v>150</v>
      </c>
      <c r="AI20">
        <f t="shared" ca="1" si="4"/>
        <v>150</v>
      </c>
      <c r="AJ20">
        <f t="shared" ca="1" si="5"/>
        <v>150</v>
      </c>
      <c r="AK20">
        <f t="shared" ca="1" si="6"/>
        <v>150</v>
      </c>
    </row>
    <row r="21" spans="3:37" x14ac:dyDescent="0.25">
      <c r="U21">
        <f>SUM(U6:U20)</f>
        <v>1400000</v>
      </c>
      <c r="V21">
        <f t="shared" ref="V21:Y21" si="9">SUM(V6:V20)</f>
        <v>1300000</v>
      </c>
      <c r="W21">
        <f t="shared" si="9"/>
        <v>1400000</v>
      </c>
      <c r="X21">
        <f t="shared" si="9"/>
        <v>1400000</v>
      </c>
      <c r="Y21">
        <f t="shared" si="9"/>
        <v>1500000</v>
      </c>
      <c r="AG21">
        <f ca="1">SUM(AG6:AG20)</f>
        <v>1200</v>
      </c>
      <c r="AH21">
        <f t="shared" ref="AH21:AK21" ca="1" si="10">SUM(AH6:AH20)</f>
        <v>1200</v>
      </c>
      <c r="AI21">
        <f t="shared" ca="1" si="10"/>
        <v>1195</v>
      </c>
      <c r="AJ21">
        <f t="shared" ca="1" si="10"/>
        <v>1200</v>
      </c>
      <c r="AK21">
        <f t="shared" ca="1" si="10"/>
        <v>1200</v>
      </c>
    </row>
    <row r="22" spans="3:37" x14ac:dyDescent="0.25">
      <c r="P22" t="s">
        <v>80</v>
      </c>
    </row>
    <row r="23" spans="3:37" x14ac:dyDescent="0.25">
      <c r="Q23" t="s">
        <v>81</v>
      </c>
    </row>
  </sheetData>
  <conditionalFormatting sqref="U21:Y21">
    <cfRule type="cellIs" dxfId="0" priority="1" operator="greaterThan">
      <formula>500000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622"/>
  <sheetViews>
    <sheetView workbookViewId="0">
      <selection activeCell="A29" sqref="A29"/>
    </sheetView>
  </sheetViews>
  <sheetFormatPr defaultColWidth="113.140625" defaultRowHeight="15" x14ac:dyDescent="0.25"/>
  <cols>
    <col min="1" max="16384" width="113.140625" style="4"/>
  </cols>
  <sheetData>
    <row r="2" spans="1:1" x14ac:dyDescent="0.25">
      <c r="A2" s="4" t="s">
        <v>487</v>
      </c>
    </row>
    <row r="4" spans="1:1" ht="30" x14ac:dyDescent="0.25">
      <c r="A4" s="4" t="s">
        <v>791</v>
      </c>
    </row>
    <row r="6" spans="1:1" x14ac:dyDescent="0.25">
      <c r="A6" s="4" t="s">
        <v>792</v>
      </c>
    </row>
    <row r="8" spans="1:1" ht="105" x14ac:dyDescent="0.25">
      <c r="A8" s="4" t="s">
        <v>824</v>
      </c>
    </row>
    <row r="11" spans="1:1" x14ac:dyDescent="0.25">
      <c r="A11" s="4" t="s">
        <v>850</v>
      </c>
    </row>
    <row r="12" spans="1:1" x14ac:dyDescent="0.25">
      <c r="A12" s="4" t="s">
        <v>489</v>
      </c>
    </row>
    <row r="15" spans="1:1" x14ac:dyDescent="0.25">
      <c r="A15" s="4" t="s">
        <v>490</v>
      </c>
    </row>
    <row r="18" spans="1:1" ht="90" x14ac:dyDescent="0.25">
      <c r="A18" s="4" t="s">
        <v>851</v>
      </c>
    </row>
    <row r="20" spans="1:1" ht="45" x14ac:dyDescent="0.25">
      <c r="A20" s="4" t="s">
        <v>491</v>
      </c>
    </row>
    <row r="23" spans="1:1" x14ac:dyDescent="0.25">
      <c r="A23" s="4" t="s">
        <v>852</v>
      </c>
    </row>
    <row r="24" spans="1:1" x14ac:dyDescent="0.25">
      <c r="A24" s="4" t="s">
        <v>492</v>
      </c>
    </row>
    <row r="27" spans="1:1" x14ac:dyDescent="0.25">
      <c r="A27" s="4" t="s">
        <v>493</v>
      </c>
    </row>
    <row r="29" spans="1:1" ht="60" x14ac:dyDescent="0.25">
      <c r="A29" s="4" t="s">
        <v>494</v>
      </c>
    </row>
    <row r="31" spans="1:1" x14ac:dyDescent="0.25">
      <c r="A31" s="4" t="s">
        <v>853</v>
      </c>
    </row>
    <row r="32" spans="1:1" x14ac:dyDescent="0.25">
      <c r="A32" s="4" t="s">
        <v>495</v>
      </c>
    </row>
    <row r="35" spans="1:1" x14ac:dyDescent="0.25">
      <c r="A35" s="4" t="s">
        <v>496</v>
      </c>
    </row>
    <row r="38" spans="1:1" ht="60" x14ac:dyDescent="0.25">
      <c r="A38" s="4" t="s">
        <v>497</v>
      </c>
    </row>
    <row r="41" spans="1:1" x14ac:dyDescent="0.25">
      <c r="A41" s="4" t="s">
        <v>488</v>
      </c>
    </row>
    <row r="42" spans="1:1" x14ac:dyDescent="0.25">
      <c r="A42" s="4" t="s">
        <v>498</v>
      </c>
    </row>
    <row r="45" spans="1:1" x14ac:dyDescent="0.25">
      <c r="A45" s="4" t="s">
        <v>499</v>
      </c>
    </row>
    <row r="47" spans="1:1" ht="105" x14ac:dyDescent="0.25">
      <c r="A47" s="4" t="s">
        <v>825</v>
      </c>
    </row>
    <row r="49" spans="1:1" x14ac:dyDescent="0.25">
      <c r="A49" s="4" t="s">
        <v>848</v>
      </c>
    </row>
    <row r="50" spans="1:1" x14ac:dyDescent="0.25">
      <c r="A50" s="4" t="s">
        <v>500</v>
      </c>
    </row>
    <row r="53" spans="1:1" x14ac:dyDescent="0.25">
      <c r="A53" s="4" t="s">
        <v>501</v>
      </c>
    </row>
    <row r="55" spans="1:1" ht="75" x14ac:dyDescent="0.25">
      <c r="A55" s="4" t="s">
        <v>854</v>
      </c>
    </row>
    <row r="57" spans="1:1" x14ac:dyDescent="0.25">
      <c r="A57" s="4" t="s">
        <v>855</v>
      </c>
    </row>
    <row r="58" spans="1:1" x14ac:dyDescent="0.25">
      <c r="A58" s="4" t="s">
        <v>502</v>
      </c>
    </row>
    <row r="61" spans="1:1" x14ac:dyDescent="0.25">
      <c r="A61" s="4" t="s">
        <v>501</v>
      </c>
    </row>
    <row r="63" spans="1:1" ht="90" x14ac:dyDescent="0.25">
      <c r="A63" s="4" t="s">
        <v>503</v>
      </c>
    </row>
    <row r="66" spans="1:1" x14ac:dyDescent="0.25">
      <c r="A66" s="4" t="s">
        <v>504</v>
      </c>
    </row>
    <row r="67" spans="1:1" x14ac:dyDescent="0.25">
      <c r="A67" s="4" t="s">
        <v>505</v>
      </c>
    </row>
    <row r="70" spans="1:1" x14ac:dyDescent="0.25">
      <c r="A70" s="4" t="s">
        <v>506</v>
      </c>
    </row>
    <row r="73" spans="1:1" ht="75" x14ac:dyDescent="0.25">
      <c r="A73" s="4" t="s">
        <v>856</v>
      </c>
    </row>
    <row r="76" spans="1:1" x14ac:dyDescent="0.25">
      <c r="A76" s="4" t="s">
        <v>857</v>
      </c>
    </row>
    <row r="77" spans="1:1" x14ac:dyDescent="0.25">
      <c r="A77" s="4" t="s">
        <v>507</v>
      </c>
    </row>
    <row r="80" spans="1:1" x14ac:dyDescent="0.25">
      <c r="A80" s="4" t="s">
        <v>506</v>
      </c>
    </row>
    <row r="83" spans="1:1" ht="105" x14ac:dyDescent="0.25">
      <c r="A83" s="4" t="s">
        <v>508</v>
      </c>
    </row>
    <row r="86" spans="1:1" x14ac:dyDescent="0.25">
      <c r="A86" s="4" t="s">
        <v>858</v>
      </c>
    </row>
    <row r="87" spans="1:1" x14ac:dyDescent="0.25">
      <c r="A87" s="4" t="s">
        <v>509</v>
      </c>
    </row>
    <row r="90" spans="1:1" x14ac:dyDescent="0.25">
      <c r="A90" s="4" t="s">
        <v>510</v>
      </c>
    </row>
    <row r="93" spans="1:1" ht="60" x14ac:dyDescent="0.25">
      <c r="A93" s="4" t="s">
        <v>511</v>
      </c>
    </row>
    <row r="95" spans="1:1" ht="45" x14ac:dyDescent="0.25">
      <c r="A95" s="4" t="s">
        <v>826</v>
      </c>
    </row>
    <row r="98" spans="1:1" x14ac:dyDescent="0.25">
      <c r="A98" s="4" t="s">
        <v>859</v>
      </c>
    </row>
    <row r="99" spans="1:1" x14ac:dyDescent="0.25">
      <c r="A99" s="4" t="s">
        <v>512</v>
      </c>
    </row>
    <row r="102" spans="1:1" x14ac:dyDescent="0.25">
      <c r="A102" s="4" t="s">
        <v>510</v>
      </c>
    </row>
    <row r="104" spans="1:1" ht="75" x14ac:dyDescent="0.25">
      <c r="A104" s="4" t="s">
        <v>860</v>
      </c>
    </row>
    <row r="106" spans="1:1" x14ac:dyDescent="0.25">
      <c r="A106" s="4" t="s">
        <v>861</v>
      </c>
    </row>
    <row r="107" spans="1:1" x14ac:dyDescent="0.25">
      <c r="A107" s="4" t="s">
        <v>513</v>
      </c>
    </row>
    <row r="110" spans="1:1" x14ac:dyDescent="0.25">
      <c r="A110" s="4" t="s">
        <v>514</v>
      </c>
    </row>
    <row r="112" spans="1:1" ht="60" x14ac:dyDescent="0.25">
      <c r="A112" s="4" t="s">
        <v>862</v>
      </c>
    </row>
    <row r="115" spans="1:1" x14ac:dyDescent="0.25">
      <c r="A115" s="4" t="s">
        <v>863</v>
      </c>
    </row>
    <row r="116" spans="1:1" x14ac:dyDescent="0.25">
      <c r="A116" s="4" t="s">
        <v>515</v>
      </c>
    </row>
    <row r="119" spans="1:1" x14ac:dyDescent="0.25">
      <c r="A119" s="4" t="s">
        <v>516</v>
      </c>
    </row>
    <row r="122" spans="1:1" ht="75" x14ac:dyDescent="0.25">
      <c r="A122" s="4" t="s">
        <v>864</v>
      </c>
    </row>
    <row r="124" spans="1:1" ht="45" x14ac:dyDescent="0.25">
      <c r="A124" s="4" t="s">
        <v>517</v>
      </c>
    </row>
    <row r="127" spans="1:1" x14ac:dyDescent="0.25">
      <c r="A127" s="4" t="s">
        <v>865</v>
      </c>
    </row>
    <row r="128" spans="1:1" x14ac:dyDescent="0.25">
      <c r="A128" s="4" t="s">
        <v>518</v>
      </c>
    </row>
    <row r="131" spans="1:1" x14ac:dyDescent="0.25">
      <c r="A131" s="4" t="s">
        <v>519</v>
      </c>
    </row>
    <row r="134" spans="1:1" ht="90" x14ac:dyDescent="0.25">
      <c r="A134" s="4" t="s">
        <v>866</v>
      </c>
    </row>
    <row r="137" spans="1:1" x14ac:dyDescent="0.25">
      <c r="A137" s="4" t="s">
        <v>867</v>
      </c>
    </row>
    <row r="138" spans="1:1" x14ac:dyDescent="0.25">
      <c r="A138" s="4" t="s">
        <v>520</v>
      </c>
    </row>
    <row r="141" spans="1:1" x14ac:dyDescent="0.25">
      <c r="A141" s="4" t="s">
        <v>519</v>
      </c>
    </row>
    <row r="144" spans="1:1" ht="90" x14ac:dyDescent="0.25">
      <c r="A144" s="4" t="s">
        <v>827</v>
      </c>
    </row>
    <row r="147" spans="1:1" x14ac:dyDescent="0.25">
      <c r="A147" s="4" t="s">
        <v>868</v>
      </c>
    </row>
    <row r="148" spans="1:1" x14ac:dyDescent="0.25">
      <c r="A148" s="4" t="s">
        <v>521</v>
      </c>
    </row>
    <row r="151" spans="1:1" x14ac:dyDescent="0.25">
      <c r="A151" s="4" t="s">
        <v>522</v>
      </c>
    </row>
    <row r="153" spans="1:1" ht="45" x14ac:dyDescent="0.25">
      <c r="A153" s="4" t="s">
        <v>869</v>
      </c>
    </row>
    <row r="155" spans="1:1" x14ac:dyDescent="0.25">
      <c r="A155" s="4" t="s">
        <v>870</v>
      </c>
    </row>
    <row r="156" spans="1:1" x14ac:dyDescent="0.25">
      <c r="A156" s="4" t="s">
        <v>523</v>
      </c>
    </row>
    <row r="159" spans="1:1" x14ac:dyDescent="0.25">
      <c r="A159" s="4" t="s">
        <v>522</v>
      </c>
    </row>
    <row r="161" spans="1:1" ht="60" x14ac:dyDescent="0.25">
      <c r="A161" s="4" t="s">
        <v>828</v>
      </c>
    </row>
    <row r="163" spans="1:1" x14ac:dyDescent="0.25">
      <c r="A163" s="4" t="s">
        <v>871</v>
      </c>
    </row>
    <row r="164" spans="1:1" x14ac:dyDescent="0.25">
      <c r="A164" s="4" t="s">
        <v>524</v>
      </c>
    </row>
    <row r="167" spans="1:1" x14ac:dyDescent="0.25">
      <c r="A167" s="4" t="s">
        <v>525</v>
      </c>
    </row>
    <row r="169" spans="1:1" ht="105" x14ac:dyDescent="0.25">
      <c r="A169" s="4" t="s">
        <v>872</v>
      </c>
    </row>
    <row r="171" spans="1:1" x14ac:dyDescent="0.25">
      <c r="A171" s="4" t="s">
        <v>873</v>
      </c>
    </row>
    <row r="172" spans="1:1" x14ac:dyDescent="0.25">
      <c r="A172" s="4" t="s">
        <v>526</v>
      </c>
    </row>
    <row r="175" spans="1:1" x14ac:dyDescent="0.25">
      <c r="A175" s="4" t="s">
        <v>527</v>
      </c>
    </row>
    <row r="177" spans="1:1" ht="60" x14ac:dyDescent="0.25">
      <c r="A177" s="4" t="s">
        <v>528</v>
      </c>
    </row>
    <row r="179" spans="1:1" x14ac:dyDescent="0.25">
      <c r="A179" s="4" t="s">
        <v>529</v>
      </c>
    </row>
    <row r="180" spans="1:1" x14ac:dyDescent="0.25">
      <c r="A180" s="4" t="s">
        <v>530</v>
      </c>
    </row>
    <row r="183" spans="1:1" x14ac:dyDescent="0.25">
      <c r="A183" s="4" t="s">
        <v>531</v>
      </c>
    </row>
    <row r="186" spans="1:1" ht="105" x14ac:dyDescent="0.25">
      <c r="A186" s="4" t="s">
        <v>874</v>
      </c>
    </row>
    <row r="188" spans="1:1" ht="60" x14ac:dyDescent="0.25">
      <c r="A188" s="4" t="s">
        <v>532</v>
      </c>
    </row>
    <row r="191" spans="1:1" x14ac:dyDescent="0.25">
      <c r="A191" s="4" t="s">
        <v>875</v>
      </c>
    </row>
    <row r="192" spans="1:1" ht="30" x14ac:dyDescent="0.25">
      <c r="A192" s="4" t="s">
        <v>533</v>
      </c>
    </row>
    <row r="195" spans="1:1" x14ac:dyDescent="0.25">
      <c r="A195" s="4" t="s">
        <v>534</v>
      </c>
    </row>
    <row r="198" spans="1:1" ht="75" x14ac:dyDescent="0.25">
      <c r="A198" s="4" t="s">
        <v>876</v>
      </c>
    </row>
    <row r="200" spans="1:1" ht="60" x14ac:dyDescent="0.25">
      <c r="A200" s="4" t="s">
        <v>535</v>
      </c>
    </row>
    <row r="203" spans="1:1" x14ac:dyDescent="0.25">
      <c r="A203" s="4" t="s">
        <v>877</v>
      </c>
    </row>
    <row r="204" spans="1:1" x14ac:dyDescent="0.25">
      <c r="A204" s="4" t="s">
        <v>536</v>
      </c>
    </row>
    <row r="207" spans="1:1" x14ac:dyDescent="0.25">
      <c r="A207" s="4" t="s">
        <v>534</v>
      </c>
    </row>
    <row r="209" spans="1:1" ht="105" x14ac:dyDescent="0.25">
      <c r="A209" s="4" t="s">
        <v>829</v>
      </c>
    </row>
    <row r="211" spans="1:1" x14ac:dyDescent="0.25">
      <c r="A211" s="4" t="s">
        <v>858</v>
      </c>
    </row>
    <row r="212" spans="1:1" x14ac:dyDescent="0.25">
      <c r="A212" s="4" t="s">
        <v>537</v>
      </c>
    </row>
    <row r="215" spans="1:1" x14ac:dyDescent="0.25">
      <c r="A215" s="4" t="s">
        <v>538</v>
      </c>
    </row>
    <row r="217" spans="1:1" ht="60" x14ac:dyDescent="0.25">
      <c r="A217" s="4" t="s">
        <v>539</v>
      </c>
    </row>
    <row r="219" spans="1:1" x14ac:dyDescent="0.25">
      <c r="A219" s="4" t="s">
        <v>540</v>
      </c>
    </row>
    <row r="220" spans="1:1" x14ac:dyDescent="0.25">
      <c r="A220" s="4" t="s">
        <v>541</v>
      </c>
    </row>
    <row r="223" spans="1:1" x14ac:dyDescent="0.25">
      <c r="A223" s="4" t="s">
        <v>542</v>
      </c>
    </row>
    <row r="225" spans="1:1" ht="60" x14ac:dyDescent="0.25">
      <c r="A225" s="4" t="s">
        <v>878</v>
      </c>
    </row>
    <row r="227" spans="1:1" x14ac:dyDescent="0.25">
      <c r="A227" s="4" t="s">
        <v>879</v>
      </c>
    </row>
    <row r="228" spans="1:1" x14ac:dyDescent="0.25">
      <c r="A228" s="4" t="s">
        <v>543</v>
      </c>
    </row>
    <row r="231" spans="1:1" x14ac:dyDescent="0.25">
      <c r="A231" s="4" t="s">
        <v>544</v>
      </c>
    </row>
    <row r="233" spans="1:1" ht="75" x14ac:dyDescent="0.25">
      <c r="A233" s="4" t="s">
        <v>545</v>
      </c>
    </row>
    <row r="235" spans="1:1" x14ac:dyDescent="0.25">
      <c r="A235" s="4" t="s">
        <v>858</v>
      </c>
    </row>
    <row r="236" spans="1:1" x14ac:dyDescent="0.25">
      <c r="A236" s="4" t="s">
        <v>546</v>
      </c>
    </row>
    <row r="239" spans="1:1" x14ac:dyDescent="0.25">
      <c r="A239" s="4" t="s">
        <v>544</v>
      </c>
    </row>
    <row r="241" spans="1:1" ht="75" x14ac:dyDescent="0.25">
      <c r="A241" s="4" t="s">
        <v>547</v>
      </c>
    </row>
    <row r="243" spans="1:1" x14ac:dyDescent="0.25">
      <c r="A243" s="4" t="s">
        <v>858</v>
      </c>
    </row>
    <row r="244" spans="1:1" x14ac:dyDescent="0.25">
      <c r="A244" s="4" t="s">
        <v>548</v>
      </c>
    </row>
    <row r="247" spans="1:1" x14ac:dyDescent="0.25">
      <c r="A247" s="4" t="s">
        <v>544</v>
      </c>
    </row>
    <row r="249" spans="1:1" ht="60" x14ac:dyDescent="0.25">
      <c r="A249" s="4" t="s">
        <v>549</v>
      </c>
    </row>
    <row r="251" spans="1:1" x14ac:dyDescent="0.25">
      <c r="A251" s="4" t="s">
        <v>880</v>
      </c>
    </row>
    <row r="252" spans="1:1" x14ac:dyDescent="0.25">
      <c r="A252" s="4" t="s">
        <v>550</v>
      </c>
    </row>
    <row r="255" spans="1:1" x14ac:dyDescent="0.25">
      <c r="A255" s="4" t="s">
        <v>551</v>
      </c>
    </row>
    <row r="257" spans="1:1" ht="60" x14ac:dyDescent="0.25">
      <c r="A257" s="4" t="s">
        <v>552</v>
      </c>
    </row>
    <row r="259" spans="1:1" x14ac:dyDescent="0.25">
      <c r="A259" s="4" t="s">
        <v>881</v>
      </c>
    </row>
    <row r="260" spans="1:1" x14ac:dyDescent="0.25">
      <c r="A260" s="4" t="s">
        <v>553</v>
      </c>
    </row>
    <row r="263" spans="1:1" x14ac:dyDescent="0.25">
      <c r="A263" s="4" t="s">
        <v>554</v>
      </c>
    </row>
    <row r="266" spans="1:1" ht="90" x14ac:dyDescent="0.25">
      <c r="A266" s="4" t="s">
        <v>830</v>
      </c>
    </row>
    <row r="269" spans="1:1" x14ac:dyDescent="0.25">
      <c r="A269" s="4" t="s">
        <v>882</v>
      </c>
    </row>
    <row r="270" spans="1:1" x14ac:dyDescent="0.25">
      <c r="A270" s="4" t="s">
        <v>555</v>
      </c>
    </row>
    <row r="273" spans="1:1" x14ac:dyDescent="0.25">
      <c r="A273" s="4" t="s">
        <v>556</v>
      </c>
    </row>
    <row r="275" spans="1:1" ht="75" x14ac:dyDescent="0.25">
      <c r="A275" s="4" t="s">
        <v>831</v>
      </c>
    </row>
    <row r="277" spans="1:1" x14ac:dyDescent="0.25">
      <c r="A277" s="4" t="s">
        <v>883</v>
      </c>
    </row>
    <row r="278" spans="1:1" x14ac:dyDescent="0.25">
      <c r="A278" s="4" t="s">
        <v>557</v>
      </c>
    </row>
    <row r="281" spans="1:1" x14ac:dyDescent="0.25">
      <c r="A281" s="4" t="s">
        <v>558</v>
      </c>
    </row>
    <row r="283" spans="1:1" ht="60" x14ac:dyDescent="0.25">
      <c r="A283" s="4" t="s">
        <v>832</v>
      </c>
    </row>
    <row r="285" spans="1:1" x14ac:dyDescent="0.25">
      <c r="A285" s="4" t="s">
        <v>884</v>
      </c>
    </row>
    <row r="286" spans="1:1" x14ac:dyDescent="0.25">
      <c r="A286" s="4" t="s">
        <v>559</v>
      </c>
    </row>
    <row r="289" spans="1:1" x14ac:dyDescent="0.25">
      <c r="A289" s="4" t="s">
        <v>560</v>
      </c>
    </row>
    <row r="291" spans="1:1" ht="60" x14ac:dyDescent="0.25">
      <c r="A291" s="4" t="s">
        <v>561</v>
      </c>
    </row>
    <row r="293" spans="1:1" x14ac:dyDescent="0.25">
      <c r="A293" s="4" t="s">
        <v>885</v>
      </c>
    </row>
    <row r="294" spans="1:1" x14ac:dyDescent="0.25">
      <c r="A294" s="4" t="s">
        <v>562</v>
      </c>
    </row>
    <row r="297" spans="1:1" x14ac:dyDescent="0.25">
      <c r="A297" s="4" t="s">
        <v>563</v>
      </c>
    </row>
    <row r="299" spans="1:1" ht="60" x14ac:dyDescent="0.25">
      <c r="A299" s="4" t="s">
        <v>564</v>
      </c>
    </row>
    <row r="301" spans="1:1" x14ac:dyDescent="0.25">
      <c r="A301" s="4" t="s">
        <v>886</v>
      </c>
    </row>
    <row r="302" spans="1:1" x14ac:dyDescent="0.25">
      <c r="A302" s="4" t="s">
        <v>565</v>
      </c>
    </row>
    <row r="305" spans="1:1" x14ac:dyDescent="0.25">
      <c r="A305" s="4" t="s">
        <v>566</v>
      </c>
    </row>
    <row r="307" spans="1:1" ht="45" x14ac:dyDescent="0.25">
      <c r="A307" s="4" t="s">
        <v>887</v>
      </c>
    </row>
    <row r="309" spans="1:1" x14ac:dyDescent="0.25">
      <c r="A309" s="4" t="s">
        <v>888</v>
      </c>
    </row>
    <row r="310" spans="1:1" x14ac:dyDescent="0.25">
      <c r="A310" s="4" t="s">
        <v>567</v>
      </c>
    </row>
    <row r="313" spans="1:1" x14ac:dyDescent="0.25">
      <c r="A313" s="4" t="s">
        <v>568</v>
      </c>
    </row>
    <row r="316" spans="1:1" ht="45" x14ac:dyDescent="0.25">
      <c r="A316" s="4" t="s">
        <v>569</v>
      </c>
    </row>
    <row r="319" spans="1:1" x14ac:dyDescent="0.25">
      <c r="A319" s="4" t="s">
        <v>889</v>
      </c>
    </row>
    <row r="320" spans="1:1" x14ac:dyDescent="0.25">
      <c r="A320" s="4" t="s">
        <v>570</v>
      </c>
    </row>
    <row r="323" spans="1:1" x14ac:dyDescent="0.25">
      <c r="A323" s="4" t="s">
        <v>571</v>
      </c>
    </row>
    <row r="326" spans="1:1" ht="90" x14ac:dyDescent="0.25">
      <c r="A326" s="4" t="s">
        <v>572</v>
      </c>
    </row>
    <row r="329" spans="1:1" x14ac:dyDescent="0.25">
      <c r="A329" s="4" t="s">
        <v>890</v>
      </c>
    </row>
    <row r="330" spans="1:1" x14ac:dyDescent="0.25">
      <c r="A330" s="4" t="s">
        <v>573</v>
      </c>
    </row>
    <row r="333" spans="1:1" x14ac:dyDescent="0.25">
      <c r="A333" s="4" t="s">
        <v>574</v>
      </c>
    </row>
    <row r="336" spans="1:1" ht="60" x14ac:dyDescent="0.25">
      <c r="A336" s="4" t="s">
        <v>575</v>
      </c>
    </row>
    <row r="339" spans="1:1" x14ac:dyDescent="0.25">
      <c r="A339" s="4" t="s">
        <v>891</v>
      </c>
    </row>
    <row r="340" spans="1:1" x14ac:dyDescent="0.25">
      <c r="A340" s="4" t="s">
        <v>576</v>
      </c>
    </row>
    <row r="343" spans="1:1" x14ac:dyDescent="0.25">
      <c r="A343" s="4" t="s">
        <v>577</v>
      </c>
    </row>
    <row r="346" spans="1:1" ht="60" x14ac:dyDescent="0.25">
      <c r="A346" s="4" t="s">
        <v>578</v>
      </c>
    </row>
    <row r="349" spans="1:1" x14ac:dyDescent="0.25">
      <c r="A349" s="4" t="s">
        <v>892</v>
      </c>
    </row>
    <row r="350" spans="1:1" x14ac:dyDescent="0.25">
      <c r="A350" s="4" t="s">
        <v>579</v>
      </c>
    </row>
    <row r="353" spans="1:1" x14ac:dyDescent="0.25">
      <c r="A353" s="4" t="s">
        <v>580</v>
      </c>
    </row>
    <row r="356" spans="1:1" ht="45" x14ac:dyDescent="0.25">
      <c r="A356" s="4" t="s">
        <v>581</v>
      </c>
    </row>
    <row r="361" spans="1:1" x14ac:dyDescent="0.25">
      <c r="A361" s="4" t="s">
        <v>893</v>
      </c>
    </row>
    <row r="362" spans="1:1" x14ac:dyDescent="0.25">
      <c r="A362" s="4" t="s">
        <v>582</v>
      </c>
    </row>
    <row r="365" spans="1:1" x14ac:dyDescent="0.25">
      <c r="A365" s="4" t="s">
        <v>583</v>
      </c>
    </row>
    <row r="368" spans="1:1" ht="90" x14ac:dyDescent="0.25">
      <c r="A368" s="4" t="s">
        <v>894</v>
      </c>
    </row>
    <row r="371" spans="1:1" x14ac:dyDescent="0.25">
      <c r="A371" s="4" t="s">
        <v>895</v>
      </c>
    </row>
    <row r="372" spans="1:1" x14ac:dyDescent="0.25">
      <c r="A372" s="4" t="s">
        <v>584</v>
      </c>
    </row>
    <row r="375" spans="1:1" x14ac:dyDescent="0.25">
      <c r="A375" s="4" t="s">
        <v>585</v>
      </c>
    </row>
    <row r="377" spans="1:1" ht="60" x14ac:dyDescent="0.25">
      <c r="A377" s="4" t="s">
        <v>586</v>
      </c>
    </row>
    <row r="379" spans="1:1" x14ac:dyDescent="0.25">
      <c r="A379" s="4" t="s">
        <v>896</v>
      </c>
    </row>
    <row r="380" spans="1:1" x14ac:dyDescent="0.25">
      <c r="A380" s="4" t="s">
        <v>587</v>
      </c>
    </row>
    <row r="383" spans="1:1" x14ac:dyDescent="0.25">
      <c r="A383" s="4" t="s">
        <v>588</v>
      </c>
    </row>
    <row r="385" spans="1:1" ht="60" x14ac:dyDescent="0.25">
      <c r="A385" s="4" t="s">
        <v>589</v>
      </c>
    </row>
    <row r="388" spans="1:1" x14ac:dyDescent="0.25">
      <c r="A388" s="4" t="s">
        <v>590</v>
      </c>
    </row>
    <row r="389" spans="1:1" x14ac:dyDescent="0.25">
      <c r="A389" s="4" t="s">
        <v>591</v>
      </c>
    </row>
    <row r="392" spans="1:1" x14ac:dyDescent="0.25">
      <c r="A392" s="4" t="s">
        <v>592</v>
      </c>
    </row>
    <row r="394" spans="1:1" ht="75" x14ac:dyDescent="0.25">
      <c r="A394" s="4" t="s">
        <v>593</v>
      </c>
    </row>
    <row r="396" spans="1:1" x14ac:dyDescent="0.25">
      <c r="A396" s="4" t="s">
        <v>897</v>
      </c>
    </row>
    <row r="397" spans="1:1" x14ac:dyDescent="0.25">
      <c r="A397" s="4" t="s">
        <v>594</v>
      </c>
    </row>
    <row r="400" spans="1:1" x14ac:dyDescent="0.25">
      <c r="A400" s="4" t="s">
        <v>595</v>
      </c>
    </row>
    <row r="402" spans="1:1" ht="120" x14ac:dyDescent="0.25">
      <c r="A402" s="4" t="s">
        <v>898</v>
      </c>
    </row>
    <row r="404" spans="1:1" x14ac:dyDescent="0.25">
      <c r="A404" s="4" t="s">
        <v>899</v>
      </c>
    </row>
    <row r="405" spans="1:1" x14ac:dyDescent="0.25">
      <c r="A405" s="4" t="s">
        <v>596</v>
      </c>
    </row>
    <row r="408" spans="1:1" x14ac:dyDescent="0.25">
      <c r="A408" s="4" t="s">
        <v>597</v>
      </c>
    </row>
    <row r="410" spans="1:1" ht="45" x14ac:dyDescent="0.25">
      <c r="A410" s="4" t="s">
        <v>900</v>
      </c>
    </row>
    <row r="412" spans="1:1" x14ac:dyDescent="0.25">
      <c r="A412" s="4" t="s">
        <v>901</v>
      </c>
    </row>
    <row r="413" spans="1:1" x14ac:dyDescent="0.25">
      <c r="A413" s="4" t="s">
        <v>598</v>
      </c>
    </row>
    <row r="416" spans="1:1" x14ac:dyDescent="0.25">
      <c r="A416" s="4" t="s">
        <v>597</v>
      </c>
    </row>
    <row r="419" spans="1:1" ht="45" x14ac:dyDescent="0.25">
      <c r="A419" s="4" t="s">
        <v>599</v>
      </c>
    </row>
    <row r="422" spans="1:1" x14ac:dyDescent="0.25">
      <c r="A422" s="4" t="s">
        <v>600</v>
      </c>
    </row>
    <row r="423" spans="1:1" x14ac:dyDescent="0.25">
      <c r="A423" s="4" t="s">
        <v>601</v>
      </c>
    </row>
    <row r="426" spans="1:1" x14ac:dyDescent="0.25">
      <c r="A426" s="4" t="s">
        <v>602</v>
      </c>
    </row>
    <row r="428" spans="1:1" ht="30" x14ac:dyDescent="0.25">
      <c r="A428" s="4" t="s">
        <v>603</v>
      </c>
    </row>
    <row r="430" spans="1:1" x14ac:dyDescent="0.25">
      <c r="A430" s="4" t="s">
        <v>902</v>
      </c>
    </row>
    <row r="431" spans="1:1" x14ac:dyDescent="0.25">
      <c r="A431" s="4" t="s">
        <v>604</v>
      </c>
    </row>
    <row r="434" spans="1:1" x14ac:dyDescent="0.25">
      <c r="A434" s="4" t="s">
        <v>605</v>
      </c>
    </row>
    <row r="436" spans="1:1" ht="30" x14ac:dyDescent="0.25">
      <c r="A436" s="4" t="s">
        <v>606</v>
      </c>
    </row>
    <row r="442" spans="1:1" x14ac:dyDescent="0.25">
      <c r="A442" s="4" t="s">
        <v>903</v>
      </c>
    </row>
    <row r="443" spans="1:1" x14ac:dyDescent="0.25">
      <c r="A443" s="4" t="s">
        <v>607</v>
      </c>
    </row>
    <row r="446" spans="1:1" x14ac:dyDescent="0.25">
      <c r="A446" s="4" t="s">
        <v>608</v>
      </c>
    </row>
    <row r="448" spans="1:1" ht="30" x14ac:dyDescent="0.25">
      <c r="A448" s="4" t="s">
        <v>833</v>
      </c>
    </row>
    <row r="450" spans="1:1" x14ac:dyDescent="0.25">
      <c r="A450" s="4" t="s">
        <v>904</v>
      </c>
    </row>
    <row r="451" spans="1:1" x14ac:dyDescent="0.25">
      <c r="A451" s="4" t="s">
        <v>609</v>
      </c>
    </row>
    <row r="454" spans="1:1" x14ac:dyDescent="0.25">
      <c r="A454" s="4" t="s">
        <v>610</v>
      </c>
    </row>
    <row r="456" spans="1:1" ht="75" x14ac:dyDescent="0.25">
      <c r="A456" s="4" t="s">
        <v>611</v>
      </c>
    </row>
    <row r="458" spans="1:1" x14ac:dyDescent="0.25">
      <c r="A458" s="4" t="s">
        <v>612</v>
      </c>
    </row>
    <row r="459" spans="1:1" x14ac:dyDescent="0.25">
      <c r="A459" s="4" t="s">
        <v>613</v>
      </c>
    </row>
    <row r="462" spans="1:1" x14ac:dyDescent="0.25">
      <c r="A462" s="4" t="s">
        <v>614</v>
      </c>
    </row>
    <row r="465" spans="1:1" ht="90" x14ac:dyDescent="0.25">
      <c r="A465" s="4" t="s">
        <v>905</v>
      </c>
    </row>
    <row r="468" spans="1:1" x14ac:dyDescent="0.25">
      <c r="A468" s="4" t="s">
        <v>906</v>
      </c>
    </row>
    <row r="469" spans="1:1" x14ac:dyDescent="0.25">
      <c r="A469" s="4" t="s">
        <v>615</v>
      </c>
    </row>
    <row r="472" spans="1:1" x14ac:dyDescent="0.25">
      <c r="A472" s="4" t="s">
        <v>616</v>
      </c>
    </row>
    <row r="474" spans="1:1" ht="75" x14ac:dyDescent="0.25">
      <c r="A474" s="4" t="s">
        <v>617</v>
      </c>
    </row>
    <row r="476" spans="1:1" x14ac:dyDescent="0.25">
      <c r="A476" s="4" t="s">
        <v>907</v>
      </c>
    </row>
    <row r="477" spans="1:1" x14ac:dyDescent="0.25">
      <c r="A477" s="4" t="s">
        <v>618</v>
      </c>
    </row>
    <row r="480" spans="1:1" x14ac:dyDescent="0.25">
      <c r="A480" s="4" t="s">
        <v>619</v>
      </c>
    </row>
    <row r="482" spans="1:1" ht="105" x14ac:dyDescent="0.25">
      <c r="A482" s="4" t="s">
        <v>834</v>
      </c>
    </row>
    <row r="485" spans="1:1" x14ac:dyDescent="0.25">
      <c r="A485" s="4" t="s">
        <v>908</v>
      </c>
    </row>
    <row r="486" spans="1:1" x14ac:dyDescent="0.25">
      <c r="A486" s="4" t="s">
        <v>620</v>
      </c>
    </row>
    <row r="489" spans="1:1" x14ac:dyDescent="0.25">
      <c r="A489" s="4" t="s">
        <v>621</v>
      </c>
    </row>
    <row r="491" spans="1:1" ht="90" x14ac:dyDescent="0.25">
      <c r="A491" s="4" t="s">
        <v>835</v>
      </c>
    </row>
    <row r="493" spans="1:1" x14ac:dyDescent="0.25">
      <c r="A493" s="4" t="s">
        <v>909</v>
      </c>
    </row>
    <row r="494" spans="1:1" x14ac:dyDescent="0.25">
      <c r="A494" s="4" t="s">
        <v>622</v>
      </c>
    </row>
    <row r="497" spans="1:1" x14ac:dyDescent="0.25">
      <c r="A497" s="4" t="s">
        <v>623</v>
      </c>
    </row>
    <row r="499" spans="1:1" ht="30" x14ac:dyDescent="0.25">
      <c r="A499" s="4" t="s">
        <v>624</v>
      </c>
    </row>
    <row r="501" spans="1:1" x14ac:dyDescent="0.25">
      <c r="A501" s="4" t="s">
        <v>910</v>
      </c>
    </row>
    <row r="502" spans="1:1" x14ac:dyDescent="0.25">
      <c r="A502" s="4" t="s">
        <v>625</v>
      </c>
    </row>
    <row r="505" spans="1:1" x14ac:dyDescent="0.25">
      <c r="A505" s="4" t="s">
        <v>626</v>
      </c>
    </row>
    <row r="508" spans="1:1" ht="30" x14ac:dyDescent="0.25">
      <c r="A508" s="4" t="s">
        <v>627</v>
      </c>
    </row>
    <row r="511" spans="1:1" x14ac:dyDescent="0.25">
      <c r="A511" s="4" t="s">
        <v>628</v>
      </c>
    </row>
    <row r="512" spans="1:1" x14ac:dyDescent="0.25">
      <c r="A512" s="4" t="s">
        <v>629</v>
      </c>
    </row>
    <row r="515" spans="1:1" x14ac:dyDescent="0.25">
      <c r="A515" s="4" t="s">
        <v>630</v>
      </c>
    </row>
    <row r="517" spans="1:1" ht="60" x14ac:dyDescent="0.25">
      <c r="A517" s="4" t="s">
        <v>836</v>
      </c>
    </row>
    <row r="519" spans="1:1" x14ac:dyDescent="0.25">
      <c r="A519" s="4" t="s">
        <v>911</v>
      </c>
    </row>
    <row r="520" spans="1:1" x14ac:dyDescent="0.25">
      <c r="A520" s="4" t="s">
        <v>631</v>
      </c>
    </row>
    <row r="523" spans="1:1" x14ac:dyDescent="0.25">
      <c r="A523" s="4" t="s">
        <v>632</v>
      </c>
    </row>
    <row r="525" spans="1:1" ht="30" x14ac:dyDescent="0.25">
      <c r="A525" s="4" t="s">
        <v>837</v>
      </c>
    </row>
    <row r="527" spans="1:1" x14ac:dyDescent="0.25">
      <c r="A527" s="4" t="s">
        <v>912</v>
      </c>
    </row>
    <row r="528" spans="1:1" x14ac:dyDescent="0.25">
      <c r="A528" s="4" t="s">
        <v>633</v>
      </c>
    </row>
    <row r="531" spans="1:1" x14ac:dyDescent="0.25">
      <c r="A531" s="4" t="s">
        <v>634</v>
      </c>
    </row>
    <row r="533" spans="1:1" ht="90" x14ac:dyDescent="0.25">
      <c r="A533" s="4" t="s">
        <v>635</v>
      </c>
    </row>
    <row r="535" spans="1:1" x14ac:dyDescent="0.25">
      <c r="A535" s="4" t="s">
        <v>636</v>
      </c>
    </row>
    <row r="536" spans="1:1" x14ac:dyDescent="0.25">
      <c r="A536" s="4" t="s">
        <v>637</v>
      </c>
    </row>
    <row r="539" spans="1:1" x14ac:dyDescent="0.25">
      <c r="A539" s="4" t="s">
        <v>638</v>
      </c>
    </row>
    <row r="541" spans="1:1" ht="45" x14ac:dyDescent="0.25">
      <c r="A541" s="4" t="s">
        <v>639</v>
      </c>
    </row>
    <row r="543" spans="1:1" x14ac:dyDescent="0.25">
      <c r="A543" s="4" t="s">
        <v>640</v>
      </c>
    </row>
    <row r="544" spans="1:1" x14ac:dyDescent="0.25">
      <c r="A544" s="4" t="s">
        <v>641</v>
      </c>
    </row>
    <row r="547" spans="1:1" x14ac:dyDescent="0.25">
      <c r="A547" s="4" t="s">
        <v>642</v>
      </c>
    </row>
    <row r="550" spans="1:1" ht="45" x14ac:dyDescent="0.25">
      <c r="A550" s="4" t="s">
        <v>838</v>
      </c>
    </row>
    <row r="553" spans="1:1" x14ac:dyDescent="0.25">
      <c r="A553" s="4" t="s">
        <v>913</v>
      </c>
    </row>
    <row r="554" spans="1:1" x14ac:dyDescent="0.25">
      <c r="A554" s="4" t="s">
        <v>643</v>
      </c>
    </row>
    <row r="557" spans="1:1" x14ac:dyDescent="0.25">
      <c r="A557" s="4" t="s">
        <v>642</v>
      </c>
    </row>
    <row r="560" spans="1:1" ht="60" x14ac:dyDescent="0.25">
      <c r="A560" s="4" t="s">
        <v>644</v>
      </c>
    </row>
    <row r="563" spans="1:1" x14ac:dyDescent="0.25">
      <c r="A563" s="4" t="s">
        <v>645</v>
      </c>
    </row>
    <row r="564" spans="1:1" x14ac:dyDescent="0.25">
      <c r="A564" s="4" t="s">
        <v>646</v>
      </c>
    </row>
    <row r="567" spans="1:1" x14ac:dyDescent="0.25">
      <c r="A567" s="4" t="s">
        <v>647</v>
      </c>
    </row>
    <row r="570" spans="1:1" ht="45" x14ac:dyDescent="0.25">
      <c r="A570" s="4" t="s">
        <v>839</v>
      </c>
    </row>
    <row r="573" spans="1:1" x14ac:dyDescent="0.25">
      <c r="A573" s="4" t="s">
        <v>914</v>
      </c>
    </row>
    <row r="574" spans="1:1" x14ac:dyDescent="0.25">
      <c r="A574" s="4" t="s">
        <v>648</v>
      </c>
    </row>
    <row r="577" spans="1:1" x14ac:dyDescent="0.25">
      <c r="A577" s="4" t="s">
        <v>649</v>
      </c>
    </row>
    <row r="579" spans="1:1" ht="90" x14ac:dyDescent="0.25">
      <c r="A579" s="4" t="s">
        <v>650</v>
      </c>
    </row>
    <row r="581" spans="1:1" x14ac:dyDescent="0.25">
      <c r="A581" s="4" t="s">
        <v>651</v>
      </c>
    </row>
    <row r="582" spans="1:1" x14ac:dyDescent="0.25">
      <c r="A582" s="4" t="s">
        <v>652</v>
      </c>
    </row>
    <row r="585" spans="1:1" x14ac:dyDescent="0.25">
      <c r="A585" s="4" t="s">
        <v>653</v>
      </c>
    </row>
    <row r="588" spans="1:1" ht="45" x14ac:dyDescent="0.25">
      <c r="A588" s="4" t="s">
        <v>654</v>
      </c>
    </row>
    <row r="591" spans="1:1" x14ac:dyDescent="0.25">
      <c r="A591" s="4" t="s">
        <v>655</v>
      </c>
    </row>
    <row r="592" spans="1:1" x14ac:dyDescent="0.25">
      <c r="A592" s="4" t="s">
        <v>656</v>
      </c>
    </row>
    <row r="595" spans="1:1" x14ac:dyDescent="0.25">
      <c r="A595" s="4" t="s">
        <v>657</v>
      </c>
    </row>
    <row r="598" spans="1:1" ht="60" x14ac:dyDescent="0.25">
      <c r="A598" s="4" t="s">
        <v>658</v>
      </c>
    </row>
    <row r="601" spans="1:1" x14ac:dyDescent="0.25">
      <c r="A601" s="4" t="s">
        <v>659</v>
      </c>
    </row>
    <row r="602" spans="1:1" x14ac:dyDescent="0.25">
      <c r="A602" s="4" t="s">
        <v>660</v>
      </c>
    </row>
    <row r="605" spans="1:1" x14ac:dyDescent="0.25">
      <c r="A605" s="4" t="s">
        <v>661</v>
      </c>
    </row>
    <row r="608" spans="1:1" ht="75" x14ac:dyDescent="0.25">
      <c r="A608" s="4" t="s">
        <v>662</v>
      </c>
    </row>
    <row r="611" spans="1:1" x14ac:dyDescent="0.25">
      <c r="A611" s="4" t="s">
        <v>663</v>
      </c>
    </row>
    <row r="612" spans="1:1" x14ac:dyDescent="0.25">
      <c r="A612" s="4" t="s">
        <v>664</v>
      </c>
    </row>
    <row r="615" spans="1:1" x14ac:dyDescent="0.25">
      <c r="A615" s="4" t="s">
        <v>665</v>
      </c>
    </row>
    <row r="618" spans="1:1" ht="105" x14ac:dyDescent="0.25">
      <c r="A618" s="4" t="s">
        <v>666</v>
      </c>
    </row>
    <row r="621" spans="1:1" x14ac:dyDescent="0.25">
      <c r="A621" s="4" t="s">
        <v>915</v>
      </c>
    </row>
    <row r="622" spans="1:1" x14ac:dyDescent="0.25">
      <c r="A622" s="4" t="s">
        <v>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Asset Allocation</vt:lpstr>
      <vt:lpstr>Peril Sheet</vt:lpstr>
      <vt:lpstr>Probabilty Distribution</vt:lpstr>
      <vt:lpstr>Input Sheet year 1</vt:lpstr>
      <vt:lpstr>Year 1 Results</vt:lpstr>
      <vt:lpstr>Input Sheet year 2</vt:lpstr>
      <vt:lpstr>Year 2 Results</vt:lpstr>
      <vt:lpstr>Event Trigger</vt:lpstr>
      <vt:lpstr>Asset Master</vt:lpstr>
      <vt:lpstr>Risk Master</vt:lpstr>
      <vt:lpstr>Probabilty Distribution (2)</vt:lpstr>
      <vt:lpstr>research</vt:lpstr>
      <vt:lpstr>Sheet4</vt:lpstr>
      <vt:lpstr>Event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Khanna, Vivek - INDIA</dc:creator>
  <cp:lastModifiedBy>User</cp:lastModifiedBy>
  <cp:lastPrinted>2014-09-15T12:28:20Z</cp:lastPrinted>
  <dcterms:created xsi:type="dcterms:W3CDTF">2014-08-28T10:21:08Z</dcterms:created>
  <dcterms:modified xsi:type="dcterms:W3CDTF">2023-06-19T17:18:31Z</dcterms:modified>
</cp:coreProperties>
</file>